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Sustainings" sheetId="2" r:id="rId6"/>
    <sheet state="visible" name="Status Board" sheetId="3" r:id="rId7"/>
    <sheet state="visible" name="Stake Conference" sheetId="4" r:id="rId8"/>
    <sheet state="visible" name="History" sheetId="5" r:id="rId9"/>
    <sheet state="hidden" name="Old Sustainings" sheetId="6" r:id="rId10"/>
    <sheet state="hidden" name="Archive" sheetId="7" r:id="rId11"/>
    <sheet state="visible" name="Recipients" sheetId="8" r:id="rId12"/>
    <sheet state="visible" name="Email Message" sheetId="9" r:id="rId13"/>
    <sheet state="visible" name="Char" sheetId="10" r:id="rId14"/>
    <sheet state="visible" name="Holt" sheetId="11" r:id="rId15"/>
    <sheet state="visible" name="Jack" sheetId="12" r:id="rId16"/>
    <sheet state="visible" name="Lans" sheetId="13" r:id="rId17"/>
    <sheet state="visible" name="Port" sheetId="14" r:id="rId18"/>
    <sheet state="visible" name="Owos" sheetId="15" r:id="rId19"/>
    <sheet state="visible" name="StJn" sheetId="16" r:id="rId20"/>
    <sheet state="visible" name="Wmst" sheetId="17" r:id="rId21"/>
    <sheet state="visible" name="YSA" sheetId="18" r:id="rId22"/>
  </sheets>
  <definedNames>
    <definedName hidden="1" localSheetId="1" name="_xlnm._FilterDatabase">Sustainings!$A$3:$P$200</definedName>
    <definedName hidden="1" localSheetId="4" name="_xlnm._FilterDatabase">History!$A$1:$F$59</definedName>
  </definedNames>
  <calcPr/>
</workbook>
</file>

<file path=xl/sharedStrings.xml><?xml version="1.0" encoding="utf-8"?>
<sst xmlns="http://schemas.openxmlformats.org/spreadsheetml/2006/main" count="1335" uniqueCount="343">
  <si>
    <t>Video Tutorial</t>
  </si>
  <si>
    <t>Status Board</t>
  </si>
  <si>
    <t>Pulpit Friendly Pages</t>
  </si>
  <si>
    <t>Assignments</t>
  </si>
  <si>
    <t>Charlotte</t>
  </si>
  <si>
    <t>Rawson</t>
  </si>
  <si>
    <t>Holt</t>
  </si>
  <si>
    <t>Earl</t>
  </si>
  <si>
    <t>Jackson</t>
  </si>
  <si>
    <t>Pierce</t>
  </si>
  <si>
    <t>Lansing</t>
  </si>
  <si>
    <t>Beam</t>
  </si>
  <si>
    <t>Portland</t>
  </si>
  <si>
    <t>Bills</t>
  </si>
  <si>
    <t>Owosso</t>
  </si>
  <si>
    <t>Conn</t>
  </si>
  <si>
    <t>St Johns</t>
  </si>
  <si>
    <t>Doty</t>
  </si>
  <si>
    <t>Williamston</t>
  </si>
  <si>
    <t>Joseph</t>
  </si>
  <si>
    <t>YSA</t>
  </si>
  <si>
    <t>McCrary</t>
  </si>
  <si>
    <t>Murdock</t>
  </si>
  <si>
    <t>Mobile Friendly Version</t>
  </si>
  <si>
    <t>Nelson</t>
  </si>
  <si>
    <t>Schafer</t>
  </si>
  <si>
    <t>B. Thorpe</t>
  </si>
  <si>
    <t>D. Thorpe</t>
  </si>
  <si>
    <t>Ward</t>
  </si>
  <si>
    <t>Leifson</t>
  </si>
  <si>
    <t>Hilgendorf</t>
  </si>
  <si>
    <t>Unit Sustainings &amp; Releases</t>
  </si>
  <si>
    <t>Link to Mobile Version</t>
  </si>
  <si>
    <t>Individual</t>
  </si>
  <si>
    <t>Unit</t>
  </si>
  <si>
    <t>Action</t>
  </si>
  <si>
    <t>Calling / Office</t>
  </si>
  <si>
    <t>Percent</t>
  </si>
  <si>
    <t>Status</t>
  </si>
  <si>
    <t>Stake Conf Sustain Date</t>
  </si>
  <si>
    <t>Brit Quarnberg Fathi</t>
  </si>
  <si>
    <t>Release &amp; Thank</t>
  </si>
  <si>
    <t>Stake Relief Society 2nd Counselor</t>
  </si>
  <si>
    <t>Complete</t>
  </si>
  <si>
    <t>Holly Hickman</t>
  </si>
  <si>
    <t>Sustain</t>
  </si>
  <si>
    <t>Dawn Meadows</t>
  </si>
  <si>
    <t>Assistant Just Serve Coordinator</t>
  </si>
  <si>
    <t>Eric Hunter</t>
  </si>
  <si>
    <t>Stake High Councilor and Stake Young Men President</t>
  </si>
  <si>
    <t>Curtis Ferrin</t>
  </si>
  <si>
    <t>Brooke Judd</t>
  </si>
  <si>
    <t>Stake Communication Director</t>
  </si>
  <si>
    <t>Stephanie Farero</t>
  </si>
  <si>
    <t>Don &amp; Nancy Ward</t>
  </si>
  <si>
    <t>Stake Clothing Distribution Specialists</t>
  </si>
  <si>
    <t>Victoria Hall</t>
  </si>
  <si>
    <t>Stake YW 2nd Counselor</t>
  </si>
  <si>
    <t>Brandon Howard</t>
  </si>
  <si>
    <t>Stake YM Secretary</t>
  </si>
  <si>
    <t>Laura Hunter</t>
  </si>
  <si>
    <t>Stake Primary 2nd Counselor</t>
  </si>
  <si>
    <t>Cheryl Kelly</t>
  </si>
  <si>
    <t>Carla Moore</t>
  </si>
  <si>
    <t>Stake RS Secretary</t>
  </si>
  <si>
    <t>Kirsten Rawson</t>
  </si>
  <si>
    <t>Thomas Smith</t>
  </si>
  <si>
    <t>Stake High Councilor</t>
  </si>
  <si>
    <t>David Hall</t>
  </si>
  <si>
    <t>Julie Potter</t>
  </si>
  <si>
    <t>Stake Single Adult Representative</t>
  </si>
  <si>
    <t>Jakob Bartlett</t>
  </si>
  <si>
    <t>Seminary and Institute Teacher</t>
  </si>
  <si>
    <t>Bethany Jeffery</t>
  </si>
  <si>
    <t>Seminary Teacher</t>
  </si>
  <si>
    <t>George and Colleen Owen</t>
  </si>
  <si>
    <t>Seminary Teachers</t>
  </si>
  <si>
    <t>Ginger Piatt</t>
  </si>
  <si>
    <t>Institute Teacher</t>
  </si>
  <si>
    <t>Sister Michael (Mickey) Jeanne Tuelle</t>
  </si>
  <si>
    <t>Bonnie Robison</t>
  </si>
  <si>
    <t>Stake Communication Council Specialist</t>
  </si>
  <si>
    <t>Melissa  Heiselt</t>
  </si>
  <si>
    <t>Stake Primary Secretary</t>
  </si>
  <si>
    <t>Karen Fitch</t>
  </si>
  <si>
    <t>Calvin Vos</t>
  </si>
  <si>
    <t>Stake Assistant Executive Secretary</t>
  </si>
  <si>
    <t>Kristi Weber</t>
  </si>
  <si>
    <t>Stake For the Strength of Youth Rep</t>
  </si>
  <si>
    <t>Nate Jones</t>
  </si>
  <si>
    <t>Allen Scheck</t>
  </si>
  <si>
    <t xml:space="preserve">Stake Executive Secretary </t>
  </si>
  <si>
    <t>Chris Hilgendorf</t>
  </si>
  <si>
    <t>Stake Executive Secretary</t>
  </si>
  <si>
    <t>Elliott Renin Earl</t>
  </si>
  <si>
    <t>Elder</t>
  </si>
  <si>
    <t>Mark Bell</t>
  </si>
  <si>
    <t>High Priest</t>
  </si>
  <si>
    <t>Nick Warren</t>
  </si>
  <si>
    <t>Ken Bills</t>
  </si>
  <si>
    <t>Ian McCrary</t>
  </si>
  <si>
    <t>Doug Neil</t>
  </si>
  <si>
    <t>Asst. Stake Clerk - Finance</t>
  </si>
  <si>
    <t>Don Ward</t>
  </si>
  <si>
    <t>Landon Bartlett</t>
  </si>
  <si>
    <t>Stake High Councilor - YM 2nd Counselor</t>
  </si>
  <si>
    <t>Stake Assistant executive security</t>
  </si>
  <si>
    <t>Stake High Council</t>
  </si>
  <si>
    <t>Tom and Stephanie Smith</t>
  </si>
  <si>
    <t>Stake Single Adult Advisers</t>
  </si>
  <si>
    <t>Stake YM Specialist</t>
  </si>
  <si>
    <t>Barry Godwin</t>
  </si>
  <si>
    <t>Conan Heiselt</t>
  </si>
  <si>
    <t>Stake Technology Specialist</t>
  </si>
  <si>
    <t>Noah Wood</t>
  </si>
  <si>
    <t>Travis Sybrowsky</t>
  </si>
  <si>
    <t>Stake Seminary Teacher</t>
  </si>
  <si>
    <t>Sue Zimmerlee</t>
  </si>
  <si>
    <t>Stake Temple and Family History Consultant</t>
  </si>
  <si>
    <t>Brit Fathi</t>
  </si>
  <si>
    <t>Maggie Gamble</t>
  </si>
  <si>
    <t>Stake JustServe Assistant Coordinator</t>
  </si>
  <si>
    <t>Stephanie Prosser</t>
  </si>
  <si>
    <t>Stake YW Assistant Camp Director</t>
  </si>
  <si>
    <t>Whitney Kirkham</t>
  </si>
  <si>
    <t>Stake Young Women Assistant Camp Director</t>
  </si>
  <si>
    <t>David Knighton</t>
  </si>
  <si>
    <t>Assistant Stake Clerk</t>
  </si>
  <si>
    <t>Angie Brantley</t>
  </si>
  <si>
    <t>Stake Welfare and Self-Reliance Specialist</t>
  </si>
  <si>
    <t>Mark and Susan Joseph</t>
  </si>
  <si>
    <t>Stake Welfare and Self Reliance Specialists</t>
  </si>
  <si>
    <t>Jesse Ward</t>
  </si>
  <si>
    <t>Rusty Joseph King</t>
  </si>
  <si>
    <t>Elizabeth Shawl</t>
  </si>
  <si>
    <t>Stake Disability Specilist</t>
  </si>
  <si>
    <t>Marjorie Knighton</t>
  </si>
  <si>
    <t>Stake Primary President</t>
  </si>
  <si>
    <t>Debra Bingham</t>
  </si>
  <si>
    <t>Stake Primary 1st Counselor</t>
  </si>
  <si>
    <t>Cheryl Kelley</t>
  </si>
  <si>
    <t xml:space="preserve">Keeley Condie </t>
  </si>
  <si>
    <t>Sarah Stradley</t>
  </si>
  <si>
    <t>Bailey Douglas</t>
  </si>
  <si>
    <t>George Owen</t>
  </si>
  <si>
    <t>Stake Clerk</t>
  </si>
  <si>
    <t>Kirk Leifson</t>
  </si>
  <si>
    <t>Scarlett Sybrowsky</t>
  </si>
  <si>
    <t>Stake JustServe Coordinator</t>
  </si>
  <si>
    <t>Sandra Reed</t>
  </si>
  <si>
    <t>Stake Food Delivery Coordinator</t>
  </si>
  <si>
    <t>Ernest Rivers</t>
  </si>
  <si>
    <t>Maggie Gambill</t>
  </si>
  <si>
    <t>Cheryl Smith</t>
  </si>
  <si>
    <t>James Lewis</t>
  </si>
  <si>
    <t>Prison Ministry Leader</t>
  </si>
  <si>
    <t>Thomas Erekson</t>
  </si>
  <si>
    <t>Chris Schafer</t>
  </si>
  <si>
    <t>Assistant Ward Clerk - Membership</t>
  </si>
  <si>
    <t>Scot Moncur</t>
  </si>
  <si>
    <t>Asst Ward Clerk, Membership</t>
  </si>
  <si>
    <t>John Foltz</t>
  </si>
  <si>
    <t>Donald Ward</t>
  </si>
  <si>
    <t>Stake High Councilor &amp; Stake Sunday School President</t>
  </si>
  <si>
    <t>Samuel Casellas</t>
  </si>
  <si>
    <t>Julie Nye</t>
  </si>
  <si>
    <t>Don Solomon</t>
  </si>
  <si>
    <t xml:space="preserve">Seminary Teacher </t>
  </si>
  <si>
    <t>Renee Solomon</t>
  </si>
  <si>
    <t>Derek Thorpe</t>
  </si>
  <si>
    <t>Elders Quorum President</t>
  </si>
  <si>
    <t xml:space="preserve">Rocky Shepard </t>
  </si>
  <si>
    <t>EQ 1st Counselor</t>
  </si>
  <si>
    <t>EQ 2nd Counselor</t>
  </si>
  <si>
    <t>David Quarnberg</t>
  </si>
  <si>
    <t>Harrison McKnight</t>
  </si>
  <si>
    <t>Dustin Horlacher</t>
  </si>
  <si>
    <t>George &amp; Colleen Owen</t>
  </si>
  <si>
    <t>Trinette Bartlett</t>
  </si>
  <si>
    <t>Mayte Archer</t>
  </si>
  <si>
    <t xml:space="preserve">Stake Seminary Teacher </t>
  </si>
  <si>
    <t>Travis Archer</t>
  </si>
  <si>
    <t>Don Swejkoski</t>
  </si>
  <si>
    <t>Steven Stradley</t>
  </si>
  <si>
    <t>Val Nelson</t>
  </si>
  <si>
    <t>Nicholas Pomroy</t>
  </si>
  <si>
    <t>Assistant Ward Clerk - Finance</t>
  </si>
  <si>
    <t>Rocky Shepard</t>
  </si>
  <si>
    <t>Nicholas Vernon Pomroy</t>
  </si>
  <si>
    <t>High Councilor &amp; Stake YM President</t>
  </si>
  <si>
    <t>High Council &amp; Stake YM 1st Counselor</t>
  </si>
  <si>
    <t>Jay Lewis</t>
  </si>
  <si>
    <t>Dan Murdock</t>
  </si>
  <si>
    <t>Christopher Schafer</t>
  </si>
  <si>
    <t>Mark Joseph</t>
  </si>
  <si>
    <t>Dallas Burdick</t>
  </si>
  <si>
    <t>Christopher Nye</t>
  </si>
  <si>
    <t>Matthew Pace</t>
  </si>
  <si>
    <t>Stake High Councilor &amp; Stake YM 2nd Counselor</t>
  </si>
  <si>
    <t>Brett Thorpe</t>
  </si>
  <si>
    <t>YSA Bishopric 1st Counselor</t>
  </si>
  <si>
    <t>Caton Weiberger</t>
  </si>
  <si>
    <t>Caton Weinberger</t>
  </si>
  <si>
    <t>YSA Bishopric 2nd Counselor</t>
  </si>
  <si>
    <t>Rowan Bauer</t>
  </si>
  <si>
    <t>Dennis Rinner</t>
  </si>
  <si>
    <t>Stake Young Single Adult Advisor</t>
  </si>
  <si>
    <t>Lindon Robison</t>
  </si>
  <si>
    <t>Timothy Conn</t>
  </si>
  <si>
    <t>Stake High Councilor &amp; Stake Young Single Adult Advisor</t>
  </si>
  <si>
    <t>Lori Conn</t>
  </si>
  <si>
    <t>Robert Berger</t>
  </si>
  <si>
    <t>Caleb Parent</t>
  </si>
  <si>
    <t>Adam Ferero</t>
  </si>
  <si>
    <t>Jeffrey Herrmann</t>
  </si>
  <si>
    <t>Nikolaus Schafer</t>
  </si>
  <si>
    <t>David Cramer</t>
  </si>
  <si>
    <t>Glen Cluff</t>
  </si>
  <si>
    <t>Ian Webster</t>
  </si>
  <si>
    <t>David Polhamus</t>
  </si>
  <si>
    <t>Grayson Gambill</t>
  </si>
  <si>
    <t>Stake Temple and Family History - Youth Leader</t>
  </si>
  <si>
    <t>Craig Walker</t>
  </si>
  <si>
    <t>Kathy Schafer</t>
  </si>
  <si>
    <t>Stake Relief Society President</t>
  </si>
  <si>
    <t>Emily Scheck</t>
  </si>
  <si>
    <t>Stake Relief Society 1st Counselor</t>
  </si>
  <si>
    <t>Gaylynn Doty</t>
  </si>
  <si>
    <t>Christina Gentile</t>
  </si>
  <si>
    <t>Lee Ann Laukka</t>
  </si>
  <si>
    <t>Logan Fuller</t>
  </si>
  <si>
    <t>Assistant Executive Secretary</t>
  </si>
  <si>
    <t>Bruce Dvorak</t>
  </si>
  <si>
    <t>Mark Witbeck</t>
  </si>
  <si>
    <t>Del Stirling</t>
  </si>
  <si>
    <t>Stake Relief Society Secretary</t>
  </si>
  <si>
    <t>Kate Rathka</t>
  </si>
  <si>
    <t>Stake Young Women First Counselor</t>
  </si>
  <si>
    <t>Wendy Wiersma</t>
  </si>
  <si>
    <t>Sean Potter</t>
  </si>
  <si>
    <t>Travis Stanton</t>
  </si>
  <si>
    <t>Cynthia Watson</t>
  </si>
  <si>
    <t>Stake FamilySearch Coordinator - Jackson Center</t>
  </si>
  <si>
    <t>Eugene Rivers</t>
  </si>
  <si>
    <t>Stake FamilySearch Coordinator - Owosso Center</t>
  </si>
  <si>
    <t>Cindy Merkley</t>
  </si>
  <si>
    <t>Stake Senior Missionary Specialists</t>
  </si>
  <si>
    <t>Matt Merkley</t>
  </si>
  <si>
    <t>Stake Senior Missionary Specialist</t>
  </si>
  <si>
    <t>Robert Ash</t>
  </si>
  <si>
    <t>Steven Coy</t>
  </si>
  <si>
    <t>Bryce Scott</t>
  </si>
  <si>
    <t>Executive Secretary</t>
  </si>
  <si>
    <t>Stake Young Women Camp Director</t>
  </si>
  <si>
    <t>Stephne Hilgendorf</t>
  </si>
  <si>
    <t>Andrea Lowder</t>
  </si>
  <si>
    <t>Stake YW 1st Counselor</t>
  </si>
  <si>
    <t>Lawrence Barrett</t>
  </si>
  <si>
    <t>Self Reliance Facilitator</t>
  </si>
  <si>
    <t>Kenneth Vansconis</t>
  </si>
  <si>
    <t>Barbara Miller</t>
  </si>
  <si>
    <t>Stake YW Secretary</t>
  </si>
  <si>
    <t>Jonathan Boegler</t>
  </si>
  <si>
    <t>Justin Call</t>
  </si>
  <si>
    <t>Branch President</t>
  </si>
  <si>
    <t>Kevin Cramer</t>
  </si>
  <si>
    <t>Branch Presidency 1st Counselor</t>
  </si>
  <si>
    <t>Skyler Roper</t>
  </si>
  <si>
    <t>Branch Presidency 2nd Counselor</t>
  </si>
  <si>
    <t>Del Sterling</t>
  </si>
  <si>
    <t>Christina Cochrane</t>
  </si>
  <si>
    <t>Clayton Hoekwater</t>
  </si>
  <si>
    <t>Stake Conf</t>
  </si>
  <si>
    <t>Boyd Lichtenberg</t>
  </si>
  <si>
    <t>Giacinto Lucci Jr.</t>
  </si>
  <si>
    <t>Ricky Henry</t>
  </si>
  <si>
    <t>Jordan Coker</t>
  </si>
  <si>
    <t>Giacinto Lucci Sr.</t>
  </si>
  <si>
    <t>Brad Taylor</t>
  </si>
  <si>
    <t>Bishop</t>
  </si>
  <si>
    <t>Tanner Hickman</t>
  </si>
  <si>
    <t>1st Counselor</t>
  </si>
  <si>
    <t>2nd Counselor</t>
  </si>
  <si>
    <t>Gavin Johnson</t>
  </si>
  <si>
    <t>Tristan Packard</t>
  </si>
  <si>
    <t>Sawyer Barney</t>
  </si>
  <si>
    <t>Callings &amp; Releases for Sustaining/Thanking in Units</t>
  </si>
  <si>
    <r>
      <rPr>
        <rFont val="Arial"/>
        <color theme="1"/>
      </rPr>
      <t xml:space="preserve">“[Name] has been  called as [position], and we propose that he [or she] be sustained. Those in favor may manifest it by the uplifted hand. 
[Pause briefly for the sustaining vote.] Those opposed, if any, may manifest it. [Pause briefly to allow for a dissenting vote, if any.]” 
“[Name] has been released as [position], and we propose that he [or she] be given a vote of thanks for his [or her] service. 
 Those who wish to express their appreciation may manifest it by the uplifted hand.” </t>
    </r>
    <r>
      <rPr>
        <rFont val="Arial"/>
        <i/>
        <color theme="1"/>
      </rPr>
      <t>(No dissenting vote is called for.)</t>
    </r>
    <r>
      <rPr>
        <rFont val="Arial"/>
        <color theme="1"/>
      </rPr>
      <t xml:space="preserve">
Please check the box for your unit when the sustain/release has been completed in the unit. </t>
    </r>
  </si>
  <si>
    <t>Calling</t>
  </si>
  <si>
    <t>Sustained / released in Stake Conference</t>
  </si>
  <si>
    <t>Williamston Ward</t>
  </si>
  <si>
    <t>Holt Ward</t>
  </si>
  <si>
    <t>Sept 2023</t>
  </si>
  <si>
    <t>Lansing Ward</t>
  </si>
  <si>
    <t>Charlotte Branch</t>
  </si>
  <si>
    <t>St Johns Branch</t>
  </si>
  <si>
    <r>
      <rPr>
        <b/>
        <color rgb="FFCC0000"/>
      </rPr>
      <t xml:space="preserve">This HC list pulls from the Callings and Releasings Tracker. Make changes there ...
</t>
    </r>
    <r>
      <rPr>
        <b/>
        <color rgb="FF1155CC"/>
        <u/>
      </rPr>
      <t>Callings and Sustainings HC List</t>
    </r>
  </si>
  <si>
    <r>
      <rPr>
        <rFont val="Arial"/>
        <b/>
        <color theme="1"/>
      </rPr>
      <t xml:space="preserve">Test Email: 
</t>
    </r>
    <r>
      <rPr>
        <rFont val="Arial"/>
        <b val="0"/>
        <color theme="1"/>
      </rPr>
      <t>Check the box below to use the email addresses in this column</t>
    </r>
  </si>
  <si>
    <t>High Councilor</t>
  </si>
  <si>
    <t>Last Name</t>
  </si>
  <si>
    <t>Email</t>
  </si>
  <si>
    <t>kenbillsbrazil@gmail.com</t>
  </si>
  <si>
    <t>kleifson82@gmail.com</t>
  </si>
  <si>
    <t>Mike Beam</t>
  </si>
  <si>
    <t>mbeam1949@gmail.com</t>
  </si>
  <si>
    <t>lansingstake@gmail.com</t>
  </si>
  <si>
    <t>brett.thorpe2@gmail.com</t>
  </si>
  <si>
    <t>Steven Doty</t>
  </si>
  <si>
    <t>steveandgaylynn@gmail.com</t>
  </si>
  <si>
    <t>dan.j.murdock@gmail.com</t>
  </si>
  <si>
    <t>josephm6349@gmail.com</t>
  </si>
  <si>
    <t>ian.mccrary4444@gmail.com</t>
  </si>
  <si>
    <t>Tim Conn</t>
  </si>
  <si>
    <t>timothy.conn@comcast.net</t>
  </si>
  <si>
    <t>schaferchristopher@live.com</t>
  </si>
  <si>
    <t>val.nelson49@gmail.com</t>
  </si>
  <si>
    <t>Thorpe</t>
  </si>
  <si>
    <t>ddthor2@hotmail.com</t>
  </si>
  <si>
    <t>chaytonsgrandpa@gmail.com</t>
  </si>
  <si>
    <t>Below, you can change what the subject and body of the email looks like that goes out to the high council.</t>
  </si>
  <si>
    <t>Subject</t>
  </si>
  <si>
    <t>New Unit Sustainings</t>
  </si>
  <si>
    <t>Greeting</t>
  </si>
  <si>
    <t>Dear High Council Members,</t>
  </si>
  <si>
    <t>Message</t>
  </si>
  <si>
    <r>
      <rPr>
        <sz val="13.0"/>
      </rPr>
      <t xml:space="preserve">We have made </t>
    </r>
    <r>
      <rPr>
        <b/>
        <sz val="13.0"/>
      </rPr>
      <t>new additions to the Unit Sustainings list</t>
    </r>
    <r>
      <rPr>
        <sz val="13.0"/>
      </rPr>
      <t xml:space="preserve"> (linked document below). This coming Sunday, if possible, </t>
    </r>
    <r>
      <rPr>
        <b/>
        <sz val="13.0"/>
      </rPr>
      <t>please present any releasings or sustainings over the pulpit during stake business.</t>
    </r>
    <r>
      <rPr>
        <sz val="13.0"/>
      </rPr>
      <t xml:space="preserve"> 
If you have any questions please contact Brother Leifson or Brother Hilgendorf.
</t>
    </r>
    <r>
      <rPr>
        <color rgb="FF1155CC"/>
        <sz val="14.0"/>
      </rPr>
      <t>Pulpit Friendly Release + Sustain List</t>
    </r>
    <r>
      <rPr>
        <color rgb="FF1155CC"/>
        <sz val="13.0"/>
        <u/>
      </rPr>
      <t xml:space="preserve">
</t>
    </r>
    <r>
      <rPr>
        <color rgb="FF000000"/>
        <sz val="13.0"/>
      </rPr>
      <t xml:space="preserve">
</t>
    </r>
    <r>
      <rPr>
        <color rgb="FF1155CC"/>
        <sz val="12.0"/>
      </rPr>
      <t>Unit Sustainings + Releases - Google Sheet</t>
    </r>
  </si>
  <si>
    <t>Salutation</t>
  </si>
  <si>
    <t>With Love,</t>
  </si>
  <si>
    <t>From</t>
  </si>
  <si>
    <t>The Lansing Stake Presidency</t>
  </si>
  <si>
    <t>Swipe to Show Release / Sustain List →</t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</si>
  <si>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</si>
  <si>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t>Please complete all of the following when you attend your unit</t>
  </si>
  <si>
    <t xml:space="preserve">The following have been released, and we propose that they be given a vote of thanks for their service ... </t>
  </si>
  <si>
    <t xml:space="preserve">The following have been called (ordained), 
and we propose that they be sustained ... </t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</si>
  <si>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</si>
  <si>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</si>
  <si>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</si>
  <si>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</si>
  <si>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</si>
  <si>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</si>
  <si>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</si>
  <si>
    <r>
      <rPr>
        <rFont val="Arial"/>
        <b/>
        <color rgb="FFFFFF00"/>
      </rPr>
      <t xml:space="preserve"> Unit To Do List </t>
    </r>
    <r>
      <rPr>
        <rFont val="Arial"/>
        <b/>
        <color rgb="FFFFFF00"/>
      </rPr>
      <t xml:space="preserve">
</t>
    </r>
    <r>
      <rPr>
        <rFont val="Arial"/>
        <b/>
        <color rgb="FF000000"/>
      </rPr>
      <t>(Setting Apart, Ordaining, Training)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</si>
</sst>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yyyy"/>
    <numFmt numFmtId="165" formatCode="mmm yyyy"/>
    <numFmt numFmtId="166" formatCode="mmmm yyyy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sz val="14.0"/>
      <color theme="1"/>
      <name val="Arial"/>
      <scheme val="minor"/>
    </font>
    <font>
      <u/>
      <sz val="14.0"/>
      <color rgb="FF0000FF"/>
    </font>
    <font>
      <sz val="20.0"/>
      <color rgb="FF000000"/>
      <name val="Arial"/>
    </font>
    <font>
      <sz val="20.0"/>
      <color rgb="FF4A86E8"/>
      <name val="Arial"/>
    </font>
    <font>
      <u/>
      <sz val="18.0"/>
      <color rgb="FF0000FF"/>
      <name val="Arial"/>
    </font>
    <font>
      <color theme="1"/>
      <name val="Arial"/>
    </font>
    <font>
      <sz val="11.0"/>
      <color rgb="FFFFFFFF"/>
      <name val="Arial"/>
    </font>
    <font>
      <sz val="11.0"/>
      <color rgb="FF000000"/>
      <name val="Arial"/>
    </font>
    <font>
      <sz val="14.0"/>
      <color theme="1"/>
      <name val="Arial"/>
    </font>
    <font>
      <u/>
      <color rgb="FF0000FF"/>
    </font>
    <font>
      <sz val="20.0"/>
      <color rgb="FF4A86E8"/>
      <name val="Arial"/>
      <scheme val="minor"/>
    </font>
    <font>
      <color rgb="FFFFFFFF"/>
      <name val="Arial"/>
      <scheme val="minor"/>
    </font>
    <font>
      <b/>
      <u/>
      <color rgb="FFCC0000"/>
    </font>
    <font>
      <color rgb="FF999999"/>
      <name val="Arial"/>
    </font>
    <font>
      <sz val="13.0"/>
      <color theme="1"/>
      <name val="Arial"/>
      <scheme val="minor"/>
    </font>
    <font>
      <u/>
      <sz val="13.0"/>
      <color rgb="FF0000FF"/>
    </font>
    <font>
      <b/>
      <sz val="16.0"/>
      <color theme="1"/>
      <name val="Arial"/>
      <scheme val="minor"/>
    </font>
    <font>
      <b/>
      <sz val="11.0"/>
      <color rgb="FFCC0000"/>
      <name val="Arial"/>
      <scheme val="minor"/>
    </font>
    <font>
      <sz val="18.0"/>
      <color rgb="FF0000FF"/>
      <name val="Arial"/>
      <scheme val="minor"/>
    </font>
    <font>
      <sz val="18.0"/>
      <color theme="1"/>
      <name val="Arial"/>
      <scheme val="minor"/>
    </font>
    <font>
      <u/>
      <sz val="18.0"/>
      <color rgb="FF0000FF"/>
    </font>
    <font>
      <color rgb="FF000000"/>
      <name val="Arial"/>
      <scheme val="minor"/>
    </font>
    <font>
      <b/>
      <color rgb="FFFFFF00"/>
      <name val="Arial"/>
      <scheme val="minor"/>
    </font>
    <font>
      <b/>
      <color rgb="FFFFFFFF"/>
      <name val="Arial"/>
      <scheme val="minor"/>
    </font>
    <font>
      <b/>
      <sz val="11.0"/>
      <color theme="1"/>
      <name val="Arial"/>
      <scheme val="minor"/>
    </font>
    <font>
      <u/>
      <sz val="11.0"/>
      <color rgb="FF0000FF"/>
    </font>
    <font>
      <sz val="11.0"/>
      <color theme="1"/>
      <name val="Arial"/>
      <scheme val="minor"/>
    </font>
    <font>
      <u/>
      <sz val="11.0"/>
      <color rgb="FF0000FF"/>
    </font>
    <font>
      <b/>
      <sz val="15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0000"/>
        <bgColor rgb="FF990000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3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4" fontId="6" numFmtId="0" xfId="0" applyAlignment="1" applyFill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vertical="bottom"/>
    </xf>
    <xf borderId="0" fillId="0" fontId="11" numFmtId="164" xfId="0" applyAlignment="1" applyFont="1" applyNumberFormat="1">
      <alignment readingOrder="0" vertical="bottom"/>
    </xf>
    <xf borderId="0" fillId="5" fontId="12" numFmtId="0" xfId="0" applyAlignment="1" applyFill="1" applyFont="1">
      <alignment horizontal="center" vertical="bottom"/>
    </xf>
    <xf borderId="0" fillId="5" fontId="12" numFmtId="0" xfId="0" applyAlignment="1" applyFont="1">
      <alignment horizontal="center" readingOrder="0" shrinkToFit="0" vertical="bottom" wrapText="1"/>
    </xf>
    <xf borderId="0" fillId="5" fontId="12" numFmtId="0" xfId="0" applyAlignment="1" applyFont="1">
      <alignment horizontal="center" textRotation="90" vertical="bottom"/>
    </xf>
    <xf borderId="0" fillId="6" fontId="13" numFmtId="0" xfId="0" applyAlignment="1" applyFill="1" applyFont="1">
      <alignment horizontal="center" readingOrder="0" shrinkToFit="0" vertical="bottom" wrapText="1"/>
    </xf>
    <xf borderId="0" fillId="2" fontId="13" numFmtId="164" xfId="0" applyAlignment="1" applyFont="1" applyNumberFormat="1">
      <alignment horizontal="center" readingOrder="0" shrinkToFit="0" vertical="bottom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1" numFmtId="9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0" fontId="11" numFmtId="0" xfId="0" applyFont="1"/>
    <xf borderId="0" fillId="0" fontId="11" numFmtId="0" xfId="0" applyAlignment="1" applyFont="1">
      <alignment shrinkToFit="0" wrapText="1"/>
    </xf>
    <xf borderId="0" fillId="0" fontId="14" numFmtId="0" xfId="0" applyFont="1"/>
    <xf borderId="0" fillId="0" fontId="11" numFmtId="9" xfId="0" applyFont="1" applyNumberFormat="1"/>
    <xf borderId="0" fillId="0" fontId="11" numFmtId="165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5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7" fontId="2" numFmtId="0" xfId="0" applyFill="1" applyFont="1"/>
    <xf borderId="0" fillId="0" fontId="1" numFmtId="0" xfId="0" applyFont="1"/>
    <xf borderId="0" fillId="8" fontId="2" numFmtId="0" xfId="0" applyFill="1" applyFont="1"/>
    <xf borderId="0" fillId="0" fontId="1" numFmtId="164" xfId="0" applyFont="1" applyNumberFormat="1"/>
    <xf borderId="0" fillId="0" fontId="16" numFmtId="0" xfId="0" applyAlignment="1" applyFont="1">
      <alignment readingOrder="0"/>
    </xf>
    <xf borderId="0" fillId="0" fontId="1" numFmtId="0" xfId="0" applyAlignment="1" applyFont="1">
      <alignment readingOrder="0"/>
    </xf>
    <xf borderId="1" fillId="5" fontId="17" numFmtId="0" xfId="0" applyAlignment="1" applyBorder="1" applyFont="1">
      <alignment horizontal="center" readingOrder="0" vertical="bottom"/>
    </xf>
    <xf borderId="2" fillId="5" fontId="17" numFmtId="0" xfId="0" applyAlignment="1" applyBorder="1" applyFont="1">
      <alignment horizontal="center" readingOrder="0" vertical="bottom"/>
    </xf>
    <xf borderId="2" fillId="5" fontId="17" numFmtId="0" xfId="0" applyAlignment="1" applyBorder="1" applyFont="1">
      <alignment horizontal="center" readingOrder="0" textRotation="90" vertical="bottom"/>
    </xf>
    <xf borderId="3" fillId="5" fontId="17" numFmtId="0" xfId="0" applyAlignment="1" applyBorder="1" applyFont="1">
      <alignment horizontal="center" readingOrder="0" textRotation="90" vertical="bottom"/>
    </xf>
    <xf borderId="0" fillId="0" fontId="2" numFmtId="0" xfId="0" applyAlignment="1" applyFont="1">
      <alignment readingOrder="0" shrinkToFit="0" wrapText="1"/>
    </xf>
    <xf borderId="4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left" readingOrder="0" vertical="center"/>
    </xf>
    <xf borderId="6" fillId="0" fontId="1" numFmtId="9" xfId="0" applyAlignment="1" applyBorder="1" applyFont="1" applyNumberFormat="1">
      <alignment horizontal="left" readingOrder="0" vertical="center"/>
    </xf>
    <xf borderId="0" fillId="0" fontId="1" numFmtId="9" xfId="0" applyFont="1" applyNumberFormat="1"/>
    <xf borderId="7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8" fillId="0" fontId="1" numFmtId="9" xfId="0" applyAlignment="1" applyBorder="1" applyFont="1" applyNumberFormat="1">
      <alignment horizontal="left" readingOrder="0" vertical="center"/>
    </xf>
    <xf borderId="9" fillId="0" fontId="1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left" readingOrder="0" vertical="center"/>
    </xf>
    <xf borderId="11" fillId="0" fontId="1" numFmtId="9" xfId="0" applyAlignment="1" applyBorder="1" applyFont="1" applyNumberFormat="1">
      <alignment horizontal="left" readingOrder="0" vertical="center"/>
    </xf>
    <xf borderId="7" fillId="2" fontId="1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8" fillId="2" fontId="1" numFmtId="9" xfId="0" applyAlignment="1" applyBorder="1" applyFont="1" applyNumberFormat="1">
      <alignment horizontal="left" readingOrder="0" vertical="center"/>
    </xf>
    <xf borderId="0" fillId="2" fontId="1" numFmtId="0" xfId="0" applyAlignment="1" applyFont="1">
      <alignment readingOrder="0" vertical="center"/>
    </xf>
    <xf borderId="5" fillId="2" fontId="1" numFmtId="0" xfId="0" applyAlignment="1" applyBorder="1" applyFont="1">
      <alignment horizontal="left" readingOrder="0" vertical="center"/>
    </xf>
    <xf borderId="0" fillId="0" fontId="1" numFmtId="166" xfId="0" applyAlignment="1" applyFont="1" applyNumberFormat="1">
      <alignment readingOrder="0"/>
    </xf>
    <xf borderId="12" fillId="8" fontId="18" numFmtId="0" xfId="0" applyAlignment="1" applyBorder="1" applyFont="1">
      <alignment readingOrder="0" vertical="top"/>
    </xf>
    <xf borderId="13" fillId="8" fontId="2" numFmtId="0" xfId="0" applyAlignment="1" applyBorder="1" applyFont="1">
      <alignment readingOrder="0"/>
    </xf>
    <xf borderId="14" fillId="8" fontId="2" numFmtId="0" xfId="0" applyAlignment="1" applyBorder="1" applyFont="1">
      <alignment readingOrder="0"/>
    </xf>
    <xf borderId="0" fillId="8" fontId="2" numFmtId="0" xfId="0" applyAlignment="1" applyFont="1">
      <alignment horizontal="center" readingOrder="0" shrinkToFit="0" wrapText="1"/>
    </xf>
    <xf borderId="0" fillId="8" fontId="2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9" fontId="19" numFmtId="0" xfId="0" applyAlignment="1" applyFill="1" applyFont="1">
      <alignment vertical="bottom"/>
    </xf>
    <xf borderId="0" fillId="9" fontId="19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8" fontId="1" numFmtId="0" xfId="0" applyFont="1"/>
    <xf borderId="0" fillId="8" fontId="2" numFmtId="0" xfId="0" applyAlignment="1" applyFont="1">
      <alignment readingOrder="0" vertical="center"/>
    </xf>
    <xf borderId="0" fillId="0" fontId="20" numFmtId="0" xfId="0" applyAlignment="1" applyFont="1">
      <alignment readingOrder="0" vertical="center"/>
    </xf>
    <xf borderId="0" fillId="8" fontId="2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21" numFmtId="0" xfId="0" applyAlignment="1" applyFont="1">
      <alignment readingOrder="0" shrinkToFit="0" vertical="top" wrapText="1"/>
    </xf>
    <xf borderId="0" fillId="0" fontId="20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0" fillId="0" fontId="23" numFmtId="49" xfId="0" applyAlignment="1" applyFont="1" applyNumberFormat="1">
      <alignment horizontal="left" readingOrder="0" vertical="center"/>
    </xf>
    <xf borderId="0" fillId="0" fontId="23" numFmtId="49" xfId="0" applyAlignment="1" applyFont="1" applyNumberFormat="1">
      <alignment horizontal="center" readingOrder="0" vertical="center"/>
    </xf>
    <xf borderId="0" fillId="0" fontId="24" numFmtId="49" xfId="0" applyAlignment="1" applyFont="1" applyNumberFormat="1">
      <alignment horizontal="center" readingOrder="0" vertical="center"/>
    </xf>
    <xf borderId="0" fillId="0" fontId="25" numFmtId="49" xfId="0" applyAlignment="1" applyFont="1" applyNumberFormat="1">
      <alignment horizontal="center" readingOrder="0" vertical="center"/>
    </xf>
    <xf borderId="0" fillId="0" fontId="26" numFmtId="49" xfId="0" applyAlignment="1" applyFont="1" applyNumberFormat="1">
      <alignment horizontal="center" readingOrder="0" vertical="center"/>
    </xf>
    <xf borderId="0" fillId="0" fontId="27" numFmtId="49" xfId="0" applyAlignment="1" applyFont="1" applyNumberFormat="1">
      <alignment horizontal="center" readingOrder="0" vertical="center"/>
    </xf>
    <xf borderId="0" fillId="6" fontId="28" numFmtId="0" xfId="0" applyAlignment="1" applyFont="1">
      <alignment readingOrder="0" vertical="center"/>
    </xf>
    <xf borderId="0" fillId="6" fontId="29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10" fontId="29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0" fillId="11" fontId="29" numFmtId="0" xfId="0" applyAlignment="1" applyFill="1" applyFont="1">
      <alignment readingOrder="0" vertical="center"/>
    </xf>
    <xf borderId="0" fillId="0" fontId="30" numFmtId="0" xfId="0" applyAlignment="1" applyFont="1">
      <alignment readingOrder="0" shrinkToFit="0" vertical="center" wrapText="1"/>
    </xf>
    <xf borderId="0" fillId="12" fontId="2" numFmtId="0" xfId="0" applyAlignment="1" applyFill="1" applyFont="1">
      <alignment readingOrder="0" shrinkToFit="0" wrapText="1"/>
    </xf>
    <xf borderId="0" fillId="12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13" fontId="2" numFmtId="0" xfId="0" applyFill="1" applyFont="1"/>
    <xf borderId="0" fillId="13" fontId="2" numFmtId="0" xfId="0" applyAlignment="1" applyFont="1">
      <alignment shrinkToFit="0" wrapText="1"/>
    </xf>
    <xf borderId="0" fillId="2" fontId="2" numFmtId="0" xfId="0" applyFont="1"/>
    <xf borderId="0" fillId="2" fontId="2" numFmtId="0" xfId="0" applyAlignment="1" applyFont="1">
      <alignment shrinkToFit="0" wrapText="1"/>
    </xf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shrinkToFit="0" wrapText="1"/>
    </xf>
    <xf borderId="0" fillId="0" fontId="32" numFmtId="0" xfId="0" applyAlignment="1" applyFont="1">
      <alignment shrinkToFit="0" wrapText="1"/>
    </xf>
    <xf borderId="0" fillId="0" fontId="32" numFmtId="0" xfId="0" applyFont="1"/>
    <xf borderId="0" fillId="0" fontId="32" numFmtId="0" xfId="0" applyFont="1"/>
    <xf borderId="0" fillId="0" fontId="33" numFmtId="0" xfId="0" applyAlignment="1" applyFont="1">
      <alignment shrinkToFit="0" wrapText="1"/>
    </xf>
    <xf borderId="0" fillId="0" fontId="32" numFmtId="0" xfId="0" applyAlignment="1" applyFont="1">
      <alignment readingOrder="0" shrinkToFit="0" wrapText="1"/>
    </xf>
    <xf borderId="0" fillId="0" fontId="34" numFmtId="0" xfId="0" applyAlignment="1" applyFont="1">
      <alignment horizontal="center" readingOrder="0"/>
    </xf>
  </cellXfs>
  <cellStyles count="1">
    <cellStyle xfId="0" name="Normal" builtinId="0"/>
  </cellStyles>
  <dxfs count="16">
    <dxf>
      <font>
        <b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color rgb="FF4A86E8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>
        <b/>
        <color rgb="FF99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1155CC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8">
    <tableStyle count="3" pivot="0" name="Status Board-style">
      <tableStyleElement dxfId="2" type="headerRow"/>
      <tableStyleElement dxfId="3" type="firstRowStripe"/>
      <tableStyleElement dxfId="4" type="secondRowStripe"/>
    </tableStyle>
    <tableStyle count="2" pivot="0" name="Char-style">
      <tableStyleElement dxfId="3" type="firstRowStripe"/>
      <tableStyleElement dxfId="15" type="secondRowStripe"/>
    </tableStyle>
    <tableStyle count="2" pivot="0" name="Char-style 2">
      <tableStyleElement dxfId="3" type="firstRowStripe"/>
      <tableStyleElement dxfId="15" type="secondRowStripe"/>
    </tableStyle>
    <tableStyle count="2" pivot="0" name="Char-style 3">
      <tableStyleElement dxfId="3" type="firstRowStripe"/>
      <tableStyleElement dxfId="15" type="secondRowStripe"/>
    </tableStyle>
    <tableStyle count="2" pivot="0" name="Holt-style">
      <tableStyleElement dxfId="3" type="firstRowStripe"/>
      <tableStyleElement dxfId="15" type="secondRowStripe"/>
    </tableStyle>
    <tableStyle count="2" pivot="0" name="Holt-style 2">
      <tableStyleElement dxfId="3" type="firstRowStripe"/>
      <tableStyleElement dxfId="15" type="secondRowStripe"/>
    </tableStyle>
    <tableStyle count="2" pivot="0" name="Holt-style 3">
      <tableStyleElement dxfId="3" type="firstRowStripe"/>
      <tableStyleElement dxfId="15" type="secondRowStripe"/>
    </tableStyle>
    <tableStyle count="2" pivot="0" name="Jack-style">
      <tableStyleElement dxfId="3" type="firstRowStripe"/>
      <tableStyleElement dxfId="15" type="secondRowStripe"/>
    </tableStyle>
    <tableStyle count="2" pivot="0" name="Jack-style 2">
      <tableStyleElement dxfId="3" type="firstRowStripe"/>
      <tableStyleElement dxfId="15" type="secondRowStripe"/>
    </tableStyle>
    <tableStyle count="2" pivot="0" name="Jack-style 3">
      <tableStyleElement dxfId="3" type="firstRowStripe"/>
      <tableStyleElement dxfId="15" type="secondRowStripe"/>
    </tableStyle>
    <tableStyle count="2" pivot="0" name="Lans-style">
      <tableStyleElement dxfId="3" type="firstRowStripe"/>
      <tableStyleElement dxfId="15" type="secondRowStripe"/>
    </tableStyle>
    <tableStyle count="2" pivot="0" name="Lans-style 2">
      <tableStyleElement dxfId="3" type="firstRowStripe"/>
      <tableStyleElement dxfId="15" type="secondRowStripe"/>
    </tableStyle>
    <tableStyle count="2" pivot="0" name="Lans-style 3">
      <tableStyleElement dxfId="3" type="firstRowStripe"/>
      <tableStyleElement dxfId="15" type="secondRowStripe"/>
    </tableStyle>
    <tableStyle count="2" pivot="0" name="Port-style">
      <tableStyleElement dxfId="3" type="firstRowStripe"/>
      <tableStyleElement dxfId="15" type="secondRowStripe"/>
    </tableStyle>
    <tableStyle count="2" pivot="0" name="Port-style 2">
      <tableStyleElement dxfId="3" type="firstRowStripe"/>
      <tableStyleElement dxfId="15" type="secondRowStripe"/>
    </tableStyle>
    <tableStyle count="2" pivot="0" name="Port-style 3">
      <tableStyleElement dxfId="3" type="firstRowStripe"/>
      <tableStyleElement dxfId="15" type="secondRowStripe"/>
    </tableStyle>
    <tableStyle count="2" pivot="0" name="Owos-style">
      <tableStyleElement dxfId="3" type="firstRowStripe"/>
      <tableStyleElement dxfId="15" type="secondRowStripe"/>
    </tableStyle>
    <tableStyle count="2" pivot="0" name="Owos-style 2">
      <tableStyleElement dxfId="3" type="firstRowStripe"/>
      <tableStyleElement dxfId="15" type="secondRowStripe"/>
    </tableStyle>
    <tableStyle count="2" pivot="0" name="Owos-style 3">
      <tableStyleElement dxfId="3" type="firstRowStripe"/>
      <tableStyleElement dxfId="15" type="secondRowStripe"/>
    </tableStyle>
    <tableStyle count="2" pivot="0" name="StJn-style">
      <tableStyleElement dxfId="3" type="firstRowStripe"/>
      <tableStyleElement dxfId="15" type="secondRowStripe"/>
    </tableStyle>
    <tableStyle count="2" pivot="0" name="StJn-style 2">
      <tableStyleElement dxfId="3" type="firstRowStripe"/>
      <tableStyleElement dxfId="15" type="secondRowStripe"/>
    </tableStyle>
    <tableStyle count="2" pivot="0" name="StJn-style 3">
      <tableStyleElement dxfId="3" type="firstRowStripe"/>
      <tableStyleElement dxfId="15" type="secondRowStripe"/>
    </tableStyle>
    <tableStyle count="2" pivot="0" name="Wmst-style">
      <tableStyleElement dxfId="3" type="firstRowStripe"/>
      <tableStyleElement dxfId="15" type="secondRowStripe"/>
    </tableStyle>
    <tableStyle count="2" pivot="0" name="Wmst-style 2">
      <tableStyleElement dxfId="3" type="firstRowStripe"/>
      <tableStyleElement dxfId="15" type="secondRowStripe"/>
    </tableStyle>
    <tableStyle count="2" pivot="0" name="Wmst-style 3">
      <tableStyleElement dxfId="3" type="firstRowStripe"/>
      <tableStyleElement dxfId="15" type="secondRowStripe"/>
    </tableStyle>
    <tableStyle count="2" pivot="0" name="YSA-style">
      <tableStyleElement dxfId="3" type="firstRowStripe"/>
      <tableStyleElement dxfId="15" type="secondRowStripe"/>
    </tableStyle>
    <tableStyle count="2" pivot="0" name="YSA-style 2">
      <tableStyleElement dxfId="3" type="firstRowStripe"/>
      <tableStyleElement dxfId="15" type="secondRowStripe"/>
    </tableStyle>
    <tableStyle count="2" pivot="0" name="YSA-style 3">
      <tableStyleElement dxfId="3" type="firstRowStripe"/>
      <tableStyleElement dxfId="1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0</xdr:row>
      <xdr:rowOff>104775</xdr:rowOff>
    </xdr:from>
    <xdr:ext cx="1562100" cy="285750"/>
    <xdr:sp>
      <xdr:nvSpPr>
        <xdr:cNvPr id="3" name="Shape 3"/>
        <xdr:cNvSpPr/>
      </xdr:nvSpPr>
      <xdr:spPr>
        <a:xfrm>
          <a:off x="81600" y="101500"/>
          <a:ext cx="1542300" cy="268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Send HC Email</a:t>
          </a:r>
          <a:endParaRPr sz="12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0" displayName="Table_1" name="Table_1" id="1">
  <tableColumns count="8">
    <tableColumn name="Type" id="1"/>
    <tableColumn name="Member Name" id="2"/>
    <tableColumn name="Calling" id="3"/>
    <tableColumn name="Unit" id="4"/>
    <tableColumn name="Current Step" id="5"/>
    <tableColumn name="Assigned to Extend Calling / Release" id="6"/>
    <tableColumn name="Assigned Trainer" id="7"/>
    <tableColumn name="Hyperlink" id="8"/>
  </tableColumns>
  <tableStyleInfo name="Status 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6:E2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har-style" showColumnStripes="0" showFirstColumn="1" showLastColumn="1" showRowStripes="1"/>
</table>
</file>

<file path=xl/tables/table3.xml><?xml version="1.0" encoding="utf-8"?>
<table xmlns="http://schemas.openxmlformats.org/spreadsheetml/2006/main" headerRowCount="0" ref="G6:I25" displayName="Table_3" name="Table_3" id="3">
  <tableColumns count="3">
    <tableColumn name="Column1" id="1"/>
    <tableColumn name="Column2" id="2"/>
    <tableColumn name="Column3" id="3"/>
  </tableColumns>
  <tableStyleInfo name="Char-style 2" showColumnStripes="0" showFirstColumn="1" showLastColumn="1" showRowStripes="1"/>
</table>
</file>

<file path=xl/tables/table4.xml><?xml version="1.0" encoding="utf-8"?>
<table xmlns="http://schemas.openxmlformats.org/spreadsheetml/2006/main" headerRowCount="0" ref="K6:M25" displayName="Table_4" name="Table_4" id="4">
  <tableColumns count="3">
    <tableColumn name="Column1" id="1"/>
    <tableColumn name="Column2" id="2"/>
    <tableColumn name="Column3" id="3"/>
  </tableColumns>
  <tableStyleInfo name="Char-style 3" showColumnStripes="0" showFirstColumn="1" showLastColumn="1" showRowStripes="1"/>
</table>
</file>

<file path=xl/tables/table5.xml><?xml version="1.0" encoding="utf-8"?>
<table xmlns="http://schemas.openxmlformats.org/spreadsheetml/2006/main" headerRowCount="0" ref="A6:E25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Holt-style" showColumnStripes="0" showFirstColumn="1" showLastColumn="1" showRowStripes="1"/>
</table>
</file>

<file path=xl/tables/table6.xml><?xml version="1.0" encoding="utf-8"?>
<table xmlns="http://schemas.openxmlformats.org/spreadsheetml/2006/main" headerRowCount="0" ref="G6:I25" displayName="Table_6" name="Table_6" id="6">
  <tableColumns count="3">
    <tableColumn name="Column1" id="1"/>
    <tableColumn name="Column2" id="2"/>
    <tableColumn name="Column3" id="3"/>
  </tableColumns>
  <tableStyleInfo name="Holt-style 2" showColumnStripes="0" showFirstColumn="1" showLastColumn="1" showRowStripes="1"/>
</table>
</file>

<file path=xl/tables/table7.xml><?xml version="1.0" encoding="utf-8"?>
<table xmlns="http://schemas.openxmlformats.org/spreadsheetml/2006/main" headerRowCount="0" ref="K6:M25" displayName="Table_7" name="Table_7" id="7">
  <tableColumns count="3">
    <tableColumn name="Column1" id="1"/>
    <tableColumn name="Column2" id="2"/>
    <tableColumn name="Column3" id="3"/>
  </tableColumns>
  <tableStyleInfo name="Holt-style 3" showColumnStripes="0" showFirstColumn="1" showLastColumn="1" showRowStripes="1"/>
</table>
</file>

<file path=xl/tables/table8.xml><?xml version="1.0" encoding="utf-8"?>
<table xmlns="http://schemas.openxmlformats.org/spreadsheetml/2006/main" headerRowCount="0" ref="A6:E25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Jack-style" showColumnStripes="0" showFirstColumn="1" showLastColumn="1" showRowStripes="1"/>
</table>
</file>

<file path=xl/tables/table9.xml><?xml version="1.0" encoding="utf-8"?>
<table xmlns="http://schemas.openxmlformats.org/spreadsheetml/2006/main" headerRowCount="0" ref="G6:I25" displayName="Table_9" name="Table_9" id="9">
  <tableColumns count="3">
    <tableColumn name="Column1" id="1"/>
    <tableColumn name="Column2" id="2"/>
    <tableColumn name="Column3" id="3"/>
  </tableColumns>
  <tableStyleInfo name="Jack-style 2" showColumnStripes="0" showFirstColumn="1" showLastColumn="1" showRowStripes="1"/>
</table>
</file>

<file path=xl/tables/table10.xml><?xml version="1.0" encoding="utf-8"?>
<table xmlns="http://schemas.openxmlformats.org/spreadsheetml/2006/main" headerRowCount="0" ref="K6:M25" displayName="Table_10" name="Table_10" id="10">
  <tableColumns count="3">
    <tableColumn name="Column1" id="1"/>
    <tableColumn name="Column2" id="2"/>
    <tableColumn name="Column3" id="3"/>
  </tableColumns>
  <tableStyleInfo name="Jack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6:E25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s-style" showColumnStripes="0" showFirstColumn="1" showLastColumn="1" showRowStripes="1"/>
</table>
</file>

<file path=xl/tables/table12.xml><?xml version="1.0" encoding="utf-8"?>
<table xmlns="http://schemas.openxmlformats.org/spreadsheetml/2006/main" headerRowCount="0" ref="G6:I25" displayName="Table_12" name="Table_12" id="12">
  <tableColumns count="3">
    <tableColumn name="Column1" id="1"/>
    <tableColumn name="Column2" id="2"/>
    <tableColumn name="Column3" id="3"/>
  </tableColumns>
  <tableStyleInfo name="Lans-style 2" showColumnStripes="0" showFirstColumn="1" showLastColumn="1" showRowStripes="1"/>
</table>
</file>

<file path=xl/tables/table13.xml><?xml version="1.0" encoding="utf-8"?>
<table xmlns="http://schemas.openxmlformats.org/spreadsheetml/2006/main" headerRowCount="0" ref="K6:M25" displayName="Table_13" name="Table_13" id="13">
  <tableColumns count="3">
    <tableColumn name="Column1" id="1"/>
    <tableColumn name="Column2" id="2"/>
    <tableColumn name="Column3" id="3"/>
  </tableColumns>
  <tableStyleInfo name="Lans-style 3" showColumnStripes="0" showFirstColumn="1" showLastColumn="1" showRowStripes="1"/>
</table>
</file>

<file path=xl/tables/table14.xml><?xml version="1.0" encoding="utf-8"?>
<table xmlns="http://schemas.openxmlformats.org/spreadsheetml/2006/main" headerRowCount="0" ref="A6:E25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Port-style" showColumnStripes="0" showFirstColumn="1" showLastColumn="1" showRowStripes="1"/>
</table>
</file>

<file path=xl/tables/table15.xml><?xml version="1.0" encoding="utf-8"?>
<table xmlns="http://schemas.openxmlformats.org/spreadsheetml/2006/main" headerRowCount="0" ref="G6:I25" displayName="Table_15" name="Table_15" id="15">
  <tableColumns count="3">
    <tableColumn name="Column1" id="1"/>
    <tableColumn name="Column2" id="2"/>
    <tableColumn name="Column3" id="3"/>
  </tableColumns>
  <tableStyleInfo name="Port-style 2" showColumnStripes="0" showFirstColumn="1" showLastColumn="1" showRowStripes="1"/>
</table>
</file>

<file path=xl/tables/table16.xml><?xml version="1.0" encoding="utf-8"?>
<table xmlns="http://schemas.openxmlformats.org/spreadsheetml/2006/main" headerRowCount="0" ref="K6:M25" displayName="Table_16" name="Table_16" id="16">
  <tableColumns count="3">
    <tableColumn name="Column1" id="1"/>
    <tableColumn name="Column2" id="2"/>
    <tableColumn name="Column3" id="3"/>
  </tableColumns>
  <tableStyleInfo name="Port-style 3" showColumnStripes="0" showFirstColumn="1" showLastColumn="1" showRowStripes="1"/>
</table>
</file>

<file path=xl/tables/table17.xml><?xml version="1.0" encoding="utf-8"?>
<table xmlns="http://schemas.openxmlformats.org/spreadsheetml/2006/main" headerRowCount="0" ref="A6:E25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Owos-style" showColumnStripes="0" showFirstColumn="1" showLastColumn="1" showRowStripes="1"/>
</table>
</file>

<file path=xl/tables/table18.xml><?xml version="1.0" encoding="utf-8"?>
<table xmlns="http://schemas.openxmlformats.org/spreadsheetml/2006/main" headerRowCount="0" ref="G6:I25" displayName="Table_18" name="Table_18" id="18">
  <tableColumns count="3">
    <tableColumn name="Column1" id="1"/>
    <tableColumn name="Column2" id="2"/>
    <tableColumn name="Column3" id="3"/>
  </tableColumns>
  <tableStyleInfo name="Owos-style 2" showColumnStripes="0" showFirstColumn="1" showLastColumn="1" showRowStripes="1"/>
</table>
</file>

<file path=xl/tables/table19.xml><?xml version="1.0" encoding="utf-8"?>
<table xmlns="http://schemas.openxmlformats.org/spreadsheetml/2006/main" headerRowCount="0" ref="K6:M25" displayName="Table_19" name="Table_19" id="19">
  <tableColumns count="3">
    <tableColumn name="Column1" id="1"/>
    <tableColumn name="Column2" id="2"/>
    <tableColumn name="Column3" id="3"/>
  </tableColumns>
  <tableStyleInfo name="Owos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6:E25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StJn-style" showColumnStripes="0" showFirstColumn="1" showLastColumn="1" showRowStripes="1"/>
</table>
</file>

<file path=xl/tables/table21.xml><?xml version="1.0" encoding="utf-8"?>
<table xmlns="http://schemas.openxmlformats.org/spreadsheetml/2006/main" headerRowCount="0" ref="G6:I25" displayName="Table_21" name="Table_21" id="21">
  <tableColumns count="3">
    <tableColumn name="Column1" id="1"/>
    <tableColumn name="Column2" id="2"/>
    <tableColumn name="Column3" id="3"/>
  </tableColumns>
  <tableStyleInfo name="StJn-style 2" showColumnStripes="0" showFirstColumn="1" showLastColumn="1" showRowStripes="1"/>
</table>
</file>

<file path=xl/tables/table22.xml><?xml version="1.0" encoding="utf-8"?>
<table xmlns="http://schemas.openxmlformats.org/spreadsheetml/2006/main" headerRowCount="0" ref="K6:M25" displayName="Table_22" name="Table_22" id="22">
  <tableColumns count="3">
    <tableColumn name="Column1" id="1"/>
    <tableColumn name="Column2" id="2"/>
    <tableColumn name="Column3" id="3"/>
  </tableColumns>
  <tableStyleInfo name="StJn-style 3" showColumnStripes="0" showFirstColumn="1" showLastColumn="1" showRowStripes="1"/>
</table>
</file>

<file path=xl/tables/table23.xml><?xml version="1.0" encoding="utf-8"?>
<table xmlns="http://schemas.openxmlformats.org/spreadsheetml/2006/main" headerRowCount="0" ref="A6:E25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Wmst-style" showColumnStripes="0" showFirstColumn="1" showLastColumn="1" showRowStripes="1"/>
</table>
</file>

<file path=xl/tables/table24.xml><?xml version="1.0" encoding="utf-8"?>
<table xmlns="http://schemas.openxmlformats.org/spreadsheetml/2006/main" headerRowCount="0" ref="G6:I25" displayName="Table_24" name="Table_24" id="24">
  <tableColumns count="3">
    <tableColumn name="Column1" id="1"/>
    <tableColumn name="Column2" id="2"/>
    <tableColumn name="Column3" id="3"/>
  </tableColumns>
  <tableStyleInfo name="Wmst-style 2" showColumnStripes="0" showFirstColumn="1" showLastColumn="1" showRowStripes="1"/>
</table>
</file>

<file path=xl/tables/table25.xml><?xml version="1.0" encoding="utf-8"?>
<table xmlns="http://schemas.openxmlformats.org/spreadsheetml/2006/main" headerRowCount="0" ref="K6:M25" displayName="Table_25" name="Table_25" id="25">
  <tableColumns count="3">
    <tableColumn name="Column1" id="1"/>
    <tableColumn name="Column2" id="2"/>
    <tableColumn name="Column3" id="3"/>
  </tableColumns>
  <tableStyleInfo name="Wmst-style 3" showColumnStripes="0" showFirstColumn="1" showLastColumn="1" showRowStripes="1"/>
</table>
</file>

<file path=xl/tables/table26.xml><?xml version="1.0" encoding="utf-8"?>
<table xmlns="http://schemas.openxmlformats.org/spreadsheetml/2006/main" headerRowCount="0" ref="A6:E25" displayName="Table_26" name="Table_26" id="26">
  <tableColumns count="5">
    <tableColumn name="Column1" id="1"/>
    <tableColumn name="Column2" id="2"/>
    <tableColumn name="Column3" id="3"/>
    <tableColumn name="Column4" id="4"/>
    <tableColumn name="Column5" id="5"/>
  </tableColumns>
  <tableStyleInfo name="YSA-style" showColumnStripes="0" showFirstColumn="1" showLastColumn="1" showRowStripes="1"/>
</table>
</file>

<file path=xl/tables/table27.xml><?xml version="1.0" encoding="utf-8"?>
<table xmlns="http://schemas.openxmlformats.org/spreadsheetml/2006/main" headerRowCount="0" ref="G6:I25" displayName="Table_27" name="Table_27" id="27">
  <tableColumns count="3">
    <tableColumn name="Column1" id="1"/>
    <tableColumn name="Column2" id="2"/>
    <tableColumn name="Column3" id="3"/>
  </tableColumns>
  <tableStyleInfo name="YSA-style 2" showColumnStripes="0" showFirstColumn="1" showLastColumn="1" showRowStripes="1"/>
</table>
</file>

<file path=xl/tables/table28.xml><?xml version="1.0" encoding="utf-8"?>
<table xmlns="http://schemas.openxmlformats.org/spreadsheetml/2006/main" headerRowCount="0" ref="K6:M25" displayName="Table_28" name="Table_28" id="28">
  <tableColumns count="3">
    <tableColumn name="Column1" id="1"/>
    <tableColumn name="Column2" id="2"/>
    <tableColumn name="Column3" id="3"/>
  </tableColumns>
  <tableStyleInfo name="YS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e/2PACX-1vRdvgHgxlkgyEUBwu2hdmnvoet2HB1B40cwSKeeHdpfLE097viXGmj7pc8z-jAi82o-GPZ7BHnf_yUx/pubhtml" TargetMode="External"/><Relationship Id="rId10" Type="http://schemas.openxmlformats.org/officeDocument/2006/relationships/hyperlink" Target="https://docs.google.com/spreadsheets/d/e/2PACX-1vRdvgHgxlkgyEUBwu2hdmnvoet2HB1B40cwSKeeHdpfLE097viXGmj7pc8z-jAi82o-GPZ7BHnf_yUx/pubhtml" TargetMode="External"/><Relationship Id="rId13" Type="http://schemas.openxmlformats.org/officeDocument/2006/relationships/hyperlink" Target="https://docs.google.com/spreadsheets/d/e/2PACX-1vRdvgHgxlkgyEUBwu2hdmnvoet2HB1B40cwSKeeHdpfLE097viXGmj7pc8z-jAi82o-GPZ7BHnf_yUx/pubhtml" TargetMode="External"/><Relationship Id="rId12" Type="http://schemas.openxmlformats.org/officeDocument/2006/relationships/hyperlink" Target="https://docs.google.com/spreadsheets/d/e/2PACX-1vRdvgHgxlkgyEUBwu2hdmnvoet2HB1B40cwSKeeHdpfLE097viXGmj7pc8z-jAi82o-GPZ7BHnf_yUx/pubhtml" TargetMode="External"/><Relationship Id="rId1" Type="http://schemas.openxmlformats.org/officeDocument/2006/relationships/hyperlink" Target="https://drive.google.com/file/d/1-FLJETGtRhOvccDAKJ-5ZSl7jyF8Z2eE/view?usp=sharing" TargetMode="External"/><Relationship Id="rId2" Type="http://schemas.openxmlformats.org/officeDocument/2006/relationships/hyperlink" Target="https://docs.google.com/spreadsheets/d/e/2PACX-1vRdvgHgxlkgyEUBwu2hdmnvoet2HB1B40cwSKeeHdpfLE097viXGmj7pc8z-jAi82o-GPZ7BHnf_yUx/pubhtml" TargetMode="External"/><Relationship Id="rId3" Type="http://schemas.openxmlformats.org/officeDocument/2006/relationships/hyperlink" Target="https://docs.google.com/spreadsheets/d/e/2PACX-1vRdvgHgxlkgyEUBwu2hdmnvoet2HB1B40cwSKeeHdpfLE097viXGmj7pc8z-jAi82o-GPZ7BHnf_yUx/pubhtml" TargetMode="External"/><Relationship Id="rId4" Type="http://schemas.openxmlformats.org/officeDocument/2006/relationships/hyperlink" Target="https://docs.google.com/spreadsheets/d/e/2PACX-1vRdvgHgxlkgyEUBwu2hdmnvoet2HB1B40cwSKeeHdpfLE097viXGmj7pc8z-jAi82o-GPZ7BHnf_yUx/pubhtml" TargetMode="External"/><Relationship Id="rId9" Type="http://schemas.openxmlformats.org/officeDocument/2006/relationships/hyperlink" Target="https://docs.google.com/spreadsheets/d/e/2PACX-1vRdvgHgxlkgyEUBwu2hdmnvoet2HB1B40cwSKeeHdpfLE097viXGmj7pc8z-jAi82o-GPZ7BHnf_yUx/pubhtml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spreadsheets/d/e/2PACX-1vRdvgHgxlkgyEUBwu2hdmnvoet2HB1B40cwSKeeHdpfLE097viXGmj7pc8z-jAi82o-GPZ7BHnf_yUx/pubhtml" TargetMode="External"/><Relationship Id="rId6" Type="http://schemas.openxmlformats.org/officeDocument/2006/relationships/hyperlink" Target="https://docs.google.com/spreadsheets/d/e/2PACX-1vRdvgHgxlkgyEUBwu2hdmnvoet2HB1B40cwSKeeHdpfLE097viXGmj7pc8z-jAi82o-GPZ7BHnf_yUx/pubhtml" TargetMode="External"/><Relationship Id="rId7" Type="http://schemas.openxmlformats.org/officeDocument/2006/relationships/hyperlink" Target="https://docs.google.com/spreadsheets/d/e/2PACX-1vRdvgHgxlkgyEUBwu2hdmnvoet2HB1B40cwSKeeHdpfLE097viXGmj7pc8z-jAi82o-GPZ7BHnf_yUx/pubhtml" TargetMode="External"/><Relationship Id="rId8" Type="http://schemas.openxmlformats.org/officeDocument/2006/relationships/hyperlink" Target="https://docs.google.com/spreadsheets/d/e/2PACX-1vRdvgHgxlkgyEUBwu2hdmnvoet2HB1B40cwSKeeHdpfLE097viXGmj7pc8z-jAi82o-GPZ7BHnf_yUx/pub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e/2PACX-1vRdvgHgxlkgyEUBwu2hdmnvoet2HB1B40cwSKeeHdpfLE097viXGmj7pc8z-jAi82o-GPZ7BHnf_yUx/pub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ocs.google.com/forms/d/e/1FAIpQLSd37AKX0Ca1Yeje6eC6NuliFZj5Spn7I7mXRsa9kBsXMqB-Ag/viewform?edit2=2_ABaOnuff1NqAKnZeZFWYAZ37X-J5lZZRuI-4HxjIyakngMffc9MgN7mqhOsy4yZwbSwlM5A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docs.google.com/forms/d/e/1FAIpQLSd37AKX0Ca1Yeje6eC6NuliFZj5Spn7I7mXRsa9kBsXMqB-Ag/viewform?edit2=2_ABaOnudeQNpZK8qo5P01o5m8u1nK-nidTP440bH0iWjs2673t7t6cup8pQiFCCzYZAU0aPQ" TargetMode="External"/><Relationship Id="rId13" Type="http://schemas.openxmlformats.org/officeDocument/2006/relationships/hyperlink" Target="https://docs.google.com/forms/d/e/1FAIpQLSd37AKX0Ca1Yeje6eC6NuliFZj5Spn7I7mXRsa9kBsXMqB-Ag/viewform?edit2=2_ABaOnucXYh7TXzTa8Eiqh6G2iI9SDkB9z7HxXc-muPtZY1lxw5j5SfdnONWyGViUYdQGjOE" TargetMode="External"/><Relationship Id="rId12" Type="http://schemas.openxmlformats.org/officeDocument/2006/relationships/hyperlink" Target="https://docs.google.com/forms/d/e/1FAIpQLSd37AKX0Ca1Yeje6eC6NuliFZj5Spn7I7mXRsa9kBsXMqB-Ag/viewform?edit2=2_ABaOnuf6drCWA-IZBlNqDAotDEssKORUs-S1i6ryHOYbNmm5r74FiPSdK2RgyzyGz8V24y8" TargetMode="External"/><Relationship Id="rId1" Type="http://schemas.openxmlformats.org/officeDocument/2006/relationships/hyperlink" Target="https://docs.google.com/forms/d/e/1FAIpQLSd37AKX0Ca1Yeje6eC6NuliFZj5Spn7I7mXRsa9kBsXMqB-Ag/viewform?edit2=2_ABaOnuc084FrjG7zAzRmpPq49Y4JP88xiAcq-g7-VvQwWFeceQLWBMs_PDHeU79-Vo2bATc" TargetMode="External"/><Relationship Id="rId2" Type="http://schemas.openxmlformats.org/officeDocument/2006/relationships/hyperlink" Target="https://docs.google.com/forms/d/e/1FAIpQLScKfK1Xq_AfFRyZkOlyT2n4Ugr8FdePyUxPct4kYLgKJ3YlMQ/viewform?edit2=2_ABaOnufrbZEpQ1VYeN9BXUBQ6v1OzvXmTFVGlu68JTR1rShH00C-sT1ViaSxcZ8c5g36hTc" TargetMode="External"/><Relationship Id="rId3" Type="http://schemas.openxmlformats.org/officeDocument/2006/relationships/hyperlink" Target="https://docs.google.com/forms/d/e/1FAIpQLScKfK1Xq_AfFRyZkOlyT2n4Ugr8FdePyUxPct4kYLgKJ3YlMQ/viewform?edit2=2_ABaOnucIF0bUlpImPx8G5Cbwlu76fG6A5FGJO9bhSnfweqQLIYVGJ5NGuH1wd-Vrzig1ARY" TargetMode="External"/><Relationship Id="rId4" Type="http://schemas.openxmlformats.org/officeDocument/2006/relationships/hyperlink" Target="https://docs.google.com/forms/d/e/1FAIpQLScKfK1Xq_AfFRyZkOlyT2n4Ugr8FdePyUxPct4kYLgKJ3YlMQ/viewform?edit2=2_ABaOnucvgZ8hcmHj8eo8Gttfaa2Xb_k25Mz2N0V6ThqYfwGsiep8vt9_VOKJTNSs6iScXCU" TargetMode="External"/><Relationship Id="rId9" Type="http://schemas.openxmlformats.org/officeDocument/2006/relationships/hyperlink" Target="https://docs.google.com/forms/d/e/1FAIpQLSd37AKX0Ca1Yeje6eC6NuliFZj5Spn7I7mXRsa9kBsXMqB-Ag/viewform?edit2=2_ABaOnueqOA9jOURj75fgFVzTPRoS4CvrWRrmHCOIfJ0-em66xU40R2VatgNoW4WQt5tTjMU" TargetMode="External"/><Relationship Id="rId15" Type="http://schemas.openxmlformats.org/officeDocument/2006/relationships/hyperlink" Target="https://docs.google.com/forms/d/e/1FAIpQLSd37AKX0Ca1Yeje6eC6NuliFZj5Spn7I7mXRsa9kBsXMqB-Ag/viewform?edit2=2_ABaOnueza0QWbrwz8T7sWbuoj8RQ0uTYVPMjIOquJLrwomLqVasBXKQ7q4oPdU42q5sebnY" TargetMode="External"/><Relationship Id="rId14" Type="http://schemas.openxmlformats.org/officeDocument/2006/relationships/hyperlink" Target="https://docs.google.com/forms/d/e/1FAIpQLSd37AKX0Ca1Yeje6eC6NuliFZj5Spn7I7mXRsa9kBsXMqB-Ag/viewform?edit2=2_ABaOnuf2j7989Basd7RqeWk5ShbfC9vglbQAYME_8G0y9KgxN5a2Sxu33yjZSF-7UYqZu8U" TargetMode="External"/><Relationship Id="rId17" Type="http://schemas.openxmlformats.org/officeDocument/2006/relationships/hyperlink" Target="https://docs.google.com/forms/d/e/1FAIpQLSd37AKX0Ca1Yeje6eC6NuliFZj5Spn7I7mXRsa9kBsXMqB-Ag/viewform?edit2=2_ABaOnufG4qkFQOtlvqNs92E6J7QIRFpabq77LhYs1EKoIUylzebWNv8mFo_PoidwofkyZ0Y" TargetMode="External"/><Relationship Id="rId16" Type="http://schemas.openxmlformats.org/officeDocument/2006/relationships/hyperlink" Target="https://docs.google.com/forms/d/e/1FAIpQLSd37AKX0Ca1Yeje6eC6NuliFZj5Spn7I7mXRsa9kBsXMqB-Ag/viewform?edit2=2_ABaOnue8mI5AYqilJnQ-23IHeU09ipqfAONkBPAhQ3a3okU2s71v_L1uHn7A2GfefVIT5vE" TargetMode="External"/><Relationship Id="rId5" Type="http://schemas.openxmlformats.org/officeDocument/2006/relationships/hyperlink" Target="https://docs.google.com/forms/d/e/1FAIpQLScKfK1Xq_AfFRyZkOlyT2n4Ugr8FdePyUxPct4kYLgKJ3YlMQ/viewform?edit2=2_ABaOnucYlNz1YoXLPBAYyST6WlmELb1kBnM9BfkUaTxKov-rM8gB0ieRnkyVKFnayrBrwdE" TargetMode="External"/><Relationship Id="rId19" Type="http://schemas.openxmlformats.org/officeDocument/2006/relationships/hyperlink" Target="https://docs.google.com/forms/d/e/1FAIpQLSd37AKX0Ca1Yeje6eC6NuliFZj5Spn7I7mXRsa9kBsXMqB-Ag/viewform?edit2=2_ABaOnucjwEQQpKVtkpHfLLSdr7wlsJ123jmny_Y0VAZ3t1dzFLz17xf1AylOpEj0gIyz5Dg" TargetMode="External"/><Relationship Id="rId6" Type="http://schemas.openxmlformats.org/officeDocument/2006/relationships/hyperlink" Target="https://docs.google.com/forms/d/e/1FAIpQLScKfK1Xq_AfFRyZkOlyT2n4Ugr8FdePyUxPct4kYLgKJ3YlMQ/viewform?edit2=2_ABaOnucINqfbL2HNtyT2-rdXO1PHIOPKQtPP-hALfOhqsXkOd_XPh6FLRTCqadIMuXnaou0" TargetMode="External"/><Relationship Id="rId18" Type="http://schemas.openxmlformats.org/officeDocument/2006/relationships/hyperlink" Target="https://docs.google.com/forms/d/e/1FAIpQLSd37AKX0Ca1Yeje6eC6NuliFZj5Spn7I7mXRsa9kBsXMqB-Ag/viewform?edit2=2_ABaOnueYWLUCkhOyJAhdd6sl35WX-SzQl1fVfL0acBK39C3PrSGDfh5FKCpV-EWK10pwrqQ" TargetMode="External"/><Relationship Id="rId7" Type="http://schemas.openxmlformats.org/officeDocument/2006/relationships/hyperlink" Target="https://docs.google.com/forms/d/e/1FAIpQLSd37AKX0Ca1Yeje6eC6NuliFZj5Spn7I7mXRsa9kBsXMqB-Ag/viewform?edit2=2_ABaOnucU6DOq6qcvz42zkHjhZlqUckdI_P7WQvTHT6kRvXPS0nedw-Lqwshw-TPP60rFl40" TargetMode="External"/><Relationship Id="rId8" Type="http://schemas.openxmlformats.org/officeDocument/2006/relationships/hyperlink" Target="https://docs.google.com/forms/d/e/1FAIpQLSd37AKX0Ca1Yeje6eC6NuliFZj5Spn7I7mXRsa9kBsXMqB-Ag/viewform?edit2=2_ABaOnuerF-9S-0PUnAo-xLIpSHuJa6TuFg8a5-HK4pKoELYuVYouRoOvSYDtqHqjDqv1WP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wIN3yeKgD8IBtajkBMA_Eo__Y1LtWBlom7LvQwfxH4/edit?gid=1185950065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e/2PACX-1vRdvgHgxlkgyEUBwu2hdmnvoet2HB1B40cwSKeeHdpfLE097viXGmj7pc8z-jAi82o-GPZ7BHnf_yUx/pubhtml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table" Target="../tables/table4.xml"/><Relationship Id="rId1" Type="http://schemas.openxmlformats.org/officeDocument/2006/relationships/hyperlink" Target="https://docs.google.com/forms/d/e/1FAIpQLSd37AKX0Ca1Yeje6eC6NuliFZj5Spn7I7mXRsa9kBsXMqB-Ag/viewform?edit2=2_ABaOnueYWLUCkhOyJAhdd6sl35WX-SzQl1fVfL0acBK39C3PrSGDfh5FKCpV-EWK10pwrqQ" TargetMode="External"/><Relationship Id="rId2" Type="http://schemas.openxmlformats.org/officeDocument/2006/relationships/hyperlink" Target="https://docs.google.com/forms/d/e/1FAIpQLSd37AKX0Ca1Yeje6eC6NuliFZj5Spn7I7mXRsa9kBsXMqB-Ag/viewform?edit2=2_ABaOnufG4qkFQOtlvqNs92E6J7QIRFpabq77LhYs1EKoIUylzebWNv8mFo_PoidwofkyZ0Y" TargetMode="External"/><Relationship Id="rId3" Type="http://schemas.openxmlformats.org/officeDocument/2006/relationships/hyperlink" Target="https://docs.google.com/forms/d/e/1FAIpQLSd37AKX0Ca1Yeje6eC6NuliFZj5Spn7I7mXRsa9kBsXMqB-Ag/viewform?edit2=2_ABaOnucjwEQQpKVtkpHfLLSdr7wlsJ123jmny_Y0VAZ3t1dzFLz17xf1AylOpEj0gIyz5Dg" TargetMode="External"/><Relationship Id="rId4" Type="http://schemas.openxmlformats.org/officeDocument/2006/relationships/drawing" Target="../drawings/drawing10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37AKX0Ca1Yeje6eC6NuliFZj5Spn7I7mXRsa9kBsXMqB-Ag/viewform?edit2=2_ABaOnudeQNpZK8qo5P01o5m8u1nK-nidTP440bH0iWjs2673t7t6cup8pQiFCCzYZAU0aPQ" TargetMode="External"/><Relationship Id="rId2" Type="http://schemas.openxmlformats.org/officeDocument/2006/relationships/drawing" Target="../drawings/drawing11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37AKX0Ca1Yeje6eC6NuliFZj5Spn7I7mXRsa9kBsXMqB-Ag/viewform?edit2=2_ABaOnuff1NqAKnZeZFWYAZ37X-J5lZZRuI-4HxjIyakngMffc9MgN7mqhOsy4yZwbSwlM5A" TargetMode="External"/><Relationship Id="rId2" Type="http://schemas.openxmlformats.org/officeDocument/2006/relationships/drawing" Target="../drawings/drawing12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3" Type="http://schemas.openxmlformats.org/officeDocument/2006/relationships/table" Target="../tables/table11.xml"/><Relationship Id="rId1" Type="http://schemas.openxmlformats.org/officeDocument/2006/relationships/hyperlink" Target="https://docs.google.com/forms/d/e/1FAIpQLSd37AKX0Ca1Yeje6eC6NuliFZj5Spn7I7mXRsa9kBsXMqB-Ag/viewform?edit2=2_ABaOnuc084FrjG7zAzRmpPq49Y4JP88xiAcq-g7-VvQwWFeceQLWBMs_PDHeU79-Vo2bATc" TargetMode="External"/><Relationship Id="rId2" Type="http://schemas.openxmlformats.org/officeDocument/2006/relationships/hyperlink" Target="https://docs.google.com/forms/d/e/1FAIpQLScKfK1Xq_AfFRyZkOlyT2n4Ugr8FdePyUxPct4kYLgKJ3YlMQ/viewform?edit2=2_ABaOnufrbZEpQ1VYeN9BXUBQ6v1OzvXmTFVGlu68JTR1rShH00C-sT1ViaSxcZ8c5g36hTc" TargetMode="External"/><Relationship Id="rId3" Type="http://schemas.openxmlformats.org/officeDocument/2006/relationships/hyperlink" Target="https://docs.google.com/forms/d/e/1FAIpQLScKfK1Xq_AfFRyZkOlyT2n4Ugr8FdePyUxPct4kYLgKJ3YlMQ/viewform?edit2=2_ABaOnucYlNz1YoXLPBAYyST6WlmELb1kBnM9BfkUaTxKov-rM8gB0ieRnkyVKFnayrBrwdE" TargetMode="External"/><Relationship Id="rId4" Type="http://schemas.openxmlformats.org/officeDocument/2006/relationships/hyperlink" Target="https://docs.google.com/forms/d/e/1FAIpQLScKfK1Xq_AfFRyZkOlyT2n4Ugr8FdePyUxPct4kYLgKJ3YlMQ/viewform?edit2=2_ABaOnucINqfbL2HNtyT2-rdXO1PHIOPKQtPP-hALfOhqsXkOd_XPh6FLRTCqadIMuXnaou0" TargetMode="External"/><Relationship Id="rId9" Type="http://schemas.openxmlformats.org/officeDocument/2006/relationships/drawing" Target="../drawings/drawing13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Relationship Id="rId5" Type="http://schemas.openxmlformats.org/officeDocument/2006/relationships/hyperlink" Target="https://docs.google.com/forms/d/e/1FAIpQLSd37AKX0Ca1Yeje6eC6NuliFZj5Spn7I7mXRsa9kBsXMqB-Ag/viewform?edit2=2_ABaOnuerF-9S-0PUnAo-xLIpSHuJa6TuFg8a5-HK4pKoELYuVYouRoOvSYDtqHqjDqv1WPE" TargetMode="External"/><Relationship Id="rId6" Type="http://schemas.openxmlformats.org/officeDocument/2006/relationships/hyperlink" Target="https://docs.google.com/forms/d/e/1FAIpQLSd37AKX0Ca1Yeje6eC6NuliFZj5Spn7I7mXRsa9kBsXMqB-Ag/viewform?edit2=2_ABaOnucU6DOq6qcvz42zkHjhZlqUckdI_P7WQvTHT6kRvXPS0nedw-Lqwshw-TPP60rFl40" TargetMode="External"/><Relationship Id="rId7" Type="http://schemas.openxmlformats.org/officeDocument/2006/relationships/hyperlink" Target="https://docs.google.com/forms/d/e/1FAIpQLSd37AKX0Ca1Yeje6eC6NuliFZj5Spn7I7mXRsa9kBsXMqB-Ag/viewform?edit2=2_ABaOnue8mI5AYqilJnQ-23IHeU09ipqfAONkBPAhQ3a3okU2s71v_L1uHn7A2GfefVIT5vE" TargetMode="External"/><Relationship Id="rId8" Type="http://schemas.openxmlformats.org/officeDocument/2006/relationships/hyperlink" Target="https://docs.google.com/forms/d/e/1FAIpQLSd37AKX0Ca1Yeje6eC6NuliFZj5Spn7I7mXRsa9kBsXMqB-Ag/viewform?edit2=2_ABaOnuf2j7989Basd7RqeWk5ShbfC9vglbQAYME_8G0y9KgxN5a2Sxu33yjZSF-7UYqZu8U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" Type="http://schemas.openxmlformats.org/officeDocument/2006/relationships/hyperlink" Target="https://docs.google.com/forms/d/e/1FAIpQLScKfK1Xq_AfFRyZkOlyT2n4Ugr8FdePyUxPct4kYLgKJ3YlMQ/viewform?edit2=2_ABaOnucvgZ8hcmHj8eo8Gttfaa2Xb_k25Mz2N0V6ThqYfwGsiep8vt9_VOKJTNSs6iScXCU" TargetMode="External"/><Relationship Id="rId2" Type="http://schemas.openxmlformats.org/officeDocument/2006/relationships/hyperlink" Target="https://docs.google.com/forms/d/e/1FAIpQLSd37AKX0Ca1Yeje6eC6NuliFZj5Spn7I7mXRsa9kBsXMqB-Ag/viewform?edit2=2_ABaOnucXYh7TXzTa8Eiqh6G2iI9SDkB9z7HxXc-muPtZY1lxw5j5SfdnONWyGViUYdQGjOE" TargetMode="External"/><Relationship Id="rId3" Type="http://schemas.openxmlformats.org/officeDocument/2006/relationships/hyperlink" Target="https://docs.google.com/forms/d/e/1FAIpQLSd37AKX0Ca1Yeje6eC6NuliFZj5Spn7I7mXRsa9kBsXMqB-Ag/viewform?edit2=2_ABaOnuf6drCWA-IZBlNqDAotDEssKORUs-S1i6ryHOYbNmm5r74FiPSdK2RgyzyGz8V24y8" TargetMode="External"/><Relationship Id="rId4" Type="http://schemas.openxmlformats.org/officeDocument/2006/relationships/hyperlink" Target="https://docs.google.com/forms/d/e/1FAIpQLSd37AKX0Ca1Yeje6eC6NuliFZj5Spn7I7mXRsa9kBsXMqB-Ag/viewform?edit2=2_ABaOnueza0QWbrwz8T7sWbuoj8RQ0uTYVPMjIOquJLrwomLqVasBXKQ7q4oPdU42q5sebnY" TargetMode="External"/><Relationship Id="rId9" Type="http://schemas.openxmlformats.org/officeDocument/2006/relationships/table" Target="../tables/table14.xm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5" Type="http://schemas.openxmlformats.org/officeDocument/2006/relationships/table" Target="../tables/table20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37AKX0Ca1Yeje6eC6NuliFZj5Spn7I7mXRsa9kBsXMqB-Ag/viewform?edit2=2_ABaOnueqOA9jOURj75fgFVzTPRoS4CvrWRrmHCOIfJ0-em66xU40R2VatgNoW4WQt5tTjMU" TargetMode="External"/><Relationship Id="rId2" Type="http://schemas.openxmlformats.org/officeDocument/2006/relationships/drawing" Target="../drawings/drawing17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Relationship Id="rId8" Type="http://schemas.openxmlformats.org/officeDocument/2006/relationships/table" Target="../tables/table2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KfK1Xq_AfFRyZkOlyT2n4Ugr8FdePyUxPct4kYLgKJ3YlMQ/viewform?edit2=2_ABaOnucIF0bUlpImPx8G5Cbwlu76fG6A5FGJO9bhSnfweqQLIYVGJ5NGuH1wd-Vrzig1ARY" TargetMode="External"/><Relationship Id="rId2" Type="http://schemas.openxmlformats.org/officeDocument/2006/relationships/drawing" Target="../drawings/drawing18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Relationship Id="rId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20.13"/>
    <col customWidth="1" min="3" max="3" width="6.0"/>
    <col customWidth="1" min="4" max="4" width="3.88"/>
    <col customWidth="1" min="5" max="5" width="12.5"/>
    <col customWidth="1" min="6" max="6" width="4.88"/>
    <col customWidth="1" min="7" max="7" width="3.63"/>
  </cols>
  <sheetData>
    <row r="1" ht="7.5" customHeight="1">
      <c r="A1" s="1"/>
      <c r="B1" s="1"/>
      <c r="C1" s="1"/>
      <c r="D1" s="1"/>
      <c r="E1" s="1"/>
      <c r="F1" s="2"/>
      <c r="G1" s="2"/>
    </row>
    <row r="2" ht="25.5" customHeight="1">
      <c r="A2" s="1"/>
      <c r="B2" s="3" t="s">
        <v>0</v>
      </c>
      <c r="D2" s="1"/>
      <c r="E2" s="1"/>
      <c r="F2" s="2"/>
      <c r="G2" s="2"/>
    </row>
    <row r="3" ht="33.75" customHeight="1">
      <c r="A3" s="4"/>
      <c r="B3" s="5" t="str">
        <f>HYPERLINK("https://docs.google.com/spreadsheets/d/1e2BOHVwG__zzJXOYlk6mqBmkq1gTDD6SafJrFhAFJMM/edit?gid=346688937#gid=346688937","Check Off Releases and Sustainings")</f>
        <v>Check Off Releases and Sustainings</v>
      </c>
      <c r="D3" s="2"/>
      <c r="E3" s="6" t="s">
        <v>1</v>
      </c>
      <c r="G3" s="2"/>
    </row>
    <row r="4" ht="10.5" customHeight="1">
      <c r="A4" s="7"/>
      <c r="B4" s="7"/>
      <c r="D4" s="7"/>
      <c r="E4" s="7"/>
      <c r="F4" s="2"/>
      <c r="G4" s="2"/>
    </row>
    <row r="5" ht="24.75" customHeight="1">
      <c r="A5" s="8"/>
      <c r="B5" s="8" t="s">
        <v>2</v>
      </c>
      <c r="D5" s="7"/>
      <c r="E5" s="8" t="s">
        <v>3</v>
      </c>
      <c r="G5" s="2"/>
    </row>
    <row r="6" ht="24.0" customHeight="1">
      <c r="A6" s="1"/>
      <c r="B6" s="3" t="s">
        <v>4</v>
      </c>
      <c r="C6" s="1">
        <f t="array" ref="C6">COUNTIFs(
  INDEX(Sustainings!$A:$Z, 0, MATCH(B6, Sustainings!$3:$3, 0)),
  FALSE,Sustainings!O:O,"Active"
)+COUNTIFs('Status Board'!$D:$D,$B6,'Status Board'!$E:$E,"Set Apart")+COUNTIFs('Status Board'!$D:$D,$B6,'Status Board'!$E:$E,"Ordaining")+COUNTIFs('Status Board'!$D:$D,$B6,'Status Board'!$E:$E,"Training")
</f>
        <v>3</v>
      </c>
      <c r="D6" s="1"/>
      <c r="E6" s="9" t="s">
        <v>5</v>
      </c>
      <c r="F6" s="1">
        <f>countifs('Status Board'!F:F,$E6,'Status Board'!E:E,"&lt;&gt;" &amp; "Training")+countifs('Status Board'!G:G,$E6,'Status Board'!E:E,"Training")</f>
        <v>0</v>
      </c>
      <c r="G6" s="2"/>
    </row>
    <row r="7" ht="24.0" customHeight="1">
      <c r="A7" s="1"/>
      <c r="B7" s="3" t="s">
        <v>6</v>
      </c>
      <c r="C7" s="1">
        <f t="array" ref="C7">COUNTIFs(
  INDEX(Sustainings!$A:$Z, 0, MATCH(B7, Sustainings!$3:$3, 0)),
  FALSE,Sustainings!O:O,"Active"
)+COUNTIFs('Status Board'!$D:$D,$B7,'Status Board'!$E:$E,"Set Apart")+COUNTIFs('Status Board'!$D:$D,$B7,'Status Board'!$E:$E,"Ordaining")+COUNTIFs('Status Board'!$D:$D,$B7,'Status Board'!$E:$E,"Training")
</f>
        <v>1</v>
      </c>
      <c r="D7" s="1"/>
      <c r="E7" s="9" t="s">
        <v>7</v>
      </c>
      <c r="F7" s="1">
        <f>countifs('Status Board'!F:F,$E7,'Status Board'!E:E,"&lt;&gt;" &amp; "Training")+countifs('Status Board'!G:G,$E7,'Status Board'!E:E,"Training")</f>
        <v>8</v>
      </c>
      <c r="G7" s="2"/>
    </row>
    <row r="8" ht="24.0" customHeight="1">
      <c r="A8" s="1"/>
      <c r="B8" s="3" t="s">
        <v>8</v>
      </c>
      <c r="C8" s="1">
        <f t="array" ref="C8">COUNTIFs(
  INDEX(Sustainings!$A:$Z, 0, MATCH(B8, Sustainings!$3:$3, 0)),
  FALSE,Sustainings!O:O,"Active"
)+COUNTIFs('Status Board'!$D:$D,$B8,'Status Board'!$E:$E,"Set Apart")+COUNTIFs('Status Board'!$D:$D,$B8,'Status Board'!$E:$E,"Ordaining")+COUNTIFs('Status Board'!$D:$D,$B8,'Status Board'!$E:$E,"Training")
</f>
        <v>1</v>
      </c>
      <c r="D8" s="1"/>
      <c r="E8" s="9" t="s">
        <v>9</v>
      </c>
      <c r="F8" s="1">
        <f>countifs('Status Board'!F:F,$E8,'Status Board'!E:E,"&lt;&gt;" &amp; "Training")+countifs('Status Board'!G:G,$E8,'Status Board'!E:E,"Training")</f>
        <v>1</v>
      </c>
      <c r="G8" s="2"/>
    </row>
    <row r="9" ht="24.0" customHeight="1">
      <c r="A9" s="1"/>
      <c r="B9" s="3" t="s">
        <v>10</v>
      </c>
      <c r="C9" s="1">
        <f t="array" ref="C9">COUNTIFs(
  INDEX(Sustainings!$A:$Z, 0, MATCH(B9, Sustainings!$3:$3, 0)),
  FALSE,Sustainings!O:O,"Active"
)+COUNTIFs('Status Board'!$D:$D,$B9,'Status Board'!$E:$E,"Set Apart")+COUNTIFs('Status Board'!$D:$D,$B9,'Status Board'!$E:$E,"Ordaining")+COUNTIFs('Status Board'!$D:$D,$B9,'Status Board'!$E:$E,"Training")
</f>
        <v>4</v>
      </c>
      <c r="D9" s="1"/>
      <c r="E9" s="9" t="s">
        <v>11</v>
      </c>
      <c r="F9" s="1">
        <f>countifs('Status Board'!F:F,$E9,'Status Board'!E:E,"&lt;&gt;" &amp; "Training")+countifs('Status Board'!G:G,$E9,'Status Board'!E:E,"Training")</f>
        <v>0</v>
      </c>
      <c r="G9" s="2"/>
    </row>
    <row r="10" ht="24.0" customHeight="1">
      <c r="A10" s="1"/>
      <c r="B10" s="3" t="s">
        <v>12</v>
      </c>
      <c r="C10" s="1">
        <f t="array" ref="C10">COUNTIFs(
  INDEX(Sustainings!$A:$Z, 0, MATCH(B10, Sustainings!$3:$3, 0)),
  FALSE,Sustainings!O:O,"Active"
)+COUNTIFs('Status Board'!$D:$D,$B10,'Status Board'!$E:$E,"Set Apart")+COUNTIFs('Status Board'!$D:$D,$B10,'Status Board'!$E:$E,"Ordaining")+COUNTIFs('Status Board'!$D:$D,$B10,'Status Board'!$E:$E,"Training")
</f>
        <v>3</v>
      </c>
      <c r="D10" s="1"/>
      <c r="E10" s="9" t="s">
        <v>13</v>
      </c>
      <c r="F10" s="1">
        <f>countifs('Status Board'!F:F,$E10,'Status Board'!E:E,"&lt;&gt;" &amp; "Training")+countifs('Status Board'!G:G,$E10,'Status Board'!E:E,"Training")</f>
        <v>0</v>
      </c>
      <c r="G10" s="2"/>
    </row>
    <row r="11" ht="24.0" customHeight="1">
      <c r="A11" s="1"/>
      <c r="B11" s="3" t="s">
        <v>14</v>
      </c>
      <c r="C11" s="1">
        <f t="array" ref="C11">COUNTIFs(
  INDEX(Sustainings!$A:$Z, 0, MATCH(B11, Sustainings!$3:$3, 0)),
  FALSE,Sustainings!O:O,"Active"
)+COUNTIFs('Status Board'!$D:$D,$B11,'Status Board'!$E:$E,"Set Apart")+COUNTIFs('Status Board'!$D:$D,$B11,'Status Board'!$E:$E,"Ordaining")+COUNTIFs('Status Board'!$D:$D,$B11,'Status Board'!$E:$E,"Training")
</f>
        <v>0</v>
      </c>
      <c r="D11" s="1"/>
      <c r="E11" s="9" t="s">
        <v>15</v>
      </c>
      <c r="F11" s="1">
        <f>countifs('Status Board'!F:F,$E11,'Status Board'!E:E,"&lt;&gt;" &amp; "Training")+countifs('Status Board'!G:G,$E11,'Status Board'!E:E,"Training")</f>
        <v>1</v>
      </c>
      <c r="G11" s="2"/>
    </row>
    <row r="12" ht="24.0" customHeight="1">
      <c r="A12" s="1"/>
      <c r="B12" s="3" t="s">
        <v>16</v>
      </c>
      <c r="C12" s="1">
        <f t="array" ref="C12">COUNTIFs(
  INDEX(Sustainings!$A:$Z, 0, MATCH(B12, Sustainings!$3:$3, 0)),
  FALSE,Sustainings!O:O,"Active"
)+COUNTIFs('Status Board'!$D:$D,$B12,'Status Board'!$E:$E,"Set Apart")+COUNTIFs('Status Board'!$D:$D,$B12,'Status Board'!$E:$E,"Ordaining")+COUNTIFs('Status Board'!$D:$D,$B12,'Status Board'!$E:$E,"Training")
</f>
        <v>0</v>
      </c>
      <c r="D12" s="1"/>
      <c r="E12" s="9" t="s">
        <v>17</v>
      </c>
      <c r="F12" s="1">
        <f>countifs('Status Board'!F:F,$E12,'Status Board'!E:E,"&lt;&gt;" &amp; "Training")+countifs('Status Board'!G:G,$E12,'Status Board'!E:E,"Training")</f>
        <v>1</v>
      </c>
      <c r="G12" s="2"/>
    </row>
    <row r="13" ht="24.0" customHeight="1">
      <c r="A13" s="1"/>
      <c r="B13" s="3" t="s">
        <v>18</v>
      </c>
      <c r="C13" s="1">
        <f t="array" ref="C13">COUNTIFs(
  INDEX(Sustainings!$A:$Z, 0, MATCH(B13, Sustainings!$3:$3, 0)),
  FALSE,Sustainings!O:O,"Active"
)+COUNTIFs('Status Board'!$D:$D,$B13,'Status Board'!$E:$E,"Set Apart")+COUNTIFs('Status Board'!$D:$D,$B13,'Status Board'!$E:$E,"Ordaining")+COUNTIFs('Status Board'!$D:$D,$B13,'Status Board'!$E:$E,"Training")
</f>
        <v>1</v>
      </c>
      <c r="D13" s="1"/>
      <c r="E13" s="9" t="s">
        <v>19</v>
      </c>
      <c r="F13" s="1">
        <f>countifs('Status Board'!F:F,$E13,'Status Board'!E:E,"&lt;&gt;" &amp; "Training")+countifs('Status Board'!G:G,$E13,'Status Board'!E:E,"Training")</f>
        <v>0</v>
      </c>
      <c r="G13" s="2"/>
    </row>
    <row r="14" ht="24.0" customHeight="1">
      <c r="A14" s="1"/>
      <c r="B14" s="3" t="s">
        <v>20</v>
      </c>
      <c r="C14" s="1">
        <f t="array" ref="C14">COUNTIFs(
  INDEX(Sustainings!$A:$Z, 0, MATCH(B14, Sustainings!$3:$3, 0)),
  FALSE,Sustainings!O:O,"Active"
)+COUNTIFs('Status Board'!$D:$D,$B14,'Status Board'!$E:$E,"Set Apart")+COUNTIFs('Status Board'!$D:$D,$B14,'Status Board'!$E:$E,"Ordaining")+COUNTIFs('Status Board'!$D:$D,$B14,'Status Board'!$E:$E,"Training")
</f>
        <v>0</v>
      </c>
      <c r="D14" s="1"/>
      <c r="E14" s="9" t="s">
        <v>21</v>
      </c>
      <c r="F14" s="1">
        <f>countifs('Status Board'!F:F,$E14,'Status Board'!E:E,"&lt;&gt;" &amp; "Training")+countifs('Status Board'!G:G,$E14,'Status Board'!E:E,"Training")</f>
        <v>0</v>
      </c>
      <c r="G14" s="2"/>
    </row>
    <row r="15" ht="14.25" customHeight="1">
      <c r="A15" s="1"/>
      <c r="B15" s="1"/>
      <c r="C15" s="1"/>
      <c r="D15" s="1"/>
      <c r="E15" s="9" t="s">
        <v>22</v>
      </c>
      <c r="F15" s="1">
        <f>countifs('Status Board'!F:F,$E15,'Status Board'!E:E,"&lt;&gt;" &amp; "Training")+countifs('Status Board'!G:G,$E15,'Status Board'!E:E,"Training")</f>
        <v>0</v>
      </c>
      <c r="G15" s="2"/>
    </row>
    <row r="16" ht="24.0" customHeight="1">
      <c r="A16" s="10"/>
      <c r="B16" s="11" t="s">
        <v>23</v>
      </c>
      <c r="D16" s="7"/>
      <c r="E16" s="9" t="s">
        <v>24</v>
      </c>
      <c r="F16" s="1">
        <f>countifs('Status Board'!F:F,$E16,'Status Board'!E:E,"&lt;&gt;" &amp; "Training")+countifs('Status Board'!G:G,$E16,'Status Board'!E:E,"Training")</f>
        <v>3</v>
      </c>
      <c r="G16" s="2"/>
    </row>
    <row r="17" ht="24.0" customHeight="1">
      <c r="A17" s="10"/>
      <c r="B17" s="10"/>
      <c r="C17" s="10"/>
      <c r="D17" s="7"/>
      <c r="E17" s="9" t="s">
        <v>25</v>
      </c>
      <c r="F17" s="1">
        <f>countifs('Status Board'!F:F,$E17,'Status Board'!E:E,"&lt;&gt;" &amp; "Training")+countifs('Status Board'!G:G,$E17,'Status Board'!E:E,"Training")</f>
        <v>0</v>
      </c>
      <c r="G17" s="2"/>
    </row>
    <row r="18" ht="24.0" customHeight="1">
      <c r="A18" s="10"/>
      <c r="B18" s="10"/>
      <c r="C18" s="10"/>
      <c r="D18" s="7"/>
      <c r="E18" s="9" t="s">
        <v>26</v>
      </c>
      <c r="F18" s="1">
        <f>countifs('Status Board'!F:F,$E18,'Status Board'!E:E,"&lt;&gt;" &amp; "Training")+countifs('Status Board'!G:G,$E18,'Status Board'!E:E,"Training")</f>
        <v>2</v>
      </c>
      <c r="G18" s="2"/>
    </row>
    <row r="19" ht="24.0" customHeight="1">
      <c r="A19" s="10"/>
      <c r="B19" s="10"/>
      <c r="C19" s="10"/>
      <c r="D19" s="7"/>
      <c r="E19" s="9" t="s">
        <v>27</v>
      </c>
      <c r="F19" s="1">
        <f>countifs('Status Board'!F:F,$E19,'Status Board'!E:E,"&lt;&gt;" &amp; "Training")+countifs('Status Board'!G:G,$E19,'Status Board'!E:E,"Training")</f>
        <v>1</v>
      </c>
      <c r="G19" s="2"/>
    </row>
    <row r="20" ht="24.0" customHeight="1">
      <c r="A20" s="10"/>
      <c r="B20" s="10"/>
      <c r="C20" s="10"/>
      <c r="D20" s="7"/>
      <c r="E20" s="9" t="s">
        <v>28</v>
      </c>
      <c r="F20" s="1">
        <f>countifs('Status Board'!F:F,$E20,'Status Board'!E:E,"&lt;&gt;" &amp; "Training")+countifs('Status Board'!G:G,$E20,'Status Board'!E:E,"Training")</f>
        <v>0</v>
      </c>
      <c r="G20" s="2"/>
    </row>
    <row r="21" ht="24.0" customHeight="1">
      <c r="A21" s="10"/>
      <c r="B21" s="10"/>
      <c r="C21" s="10"/>
      <c r="D21" s="7"/>
      <c r="E21" s="9" t="s">
        <v>29</v>
      </c>
      <c r="F21" s="1">
        <f>countifs('Status Board'!F:F,$E21,'Status Board'!E:E,"&lt;&gt;" &amp; "Training")+countifs('Status Board'!G:G,$E21,'Status Board'!E:E,"Training")</f>
        <v>0</v>
      </c>
      <c r="G21" s="2"/>
    </row>
    <row r="22" ht="24.0" customHeight="1">
      <c r="A22" s="10"/>
      <c r="B22" s="10"/>
      <c r="C22" s="10"/>
      <c r="D22" s="7"/>
      <c r="E22" s="9" t="s">
        <v>30</v>
      </c>
      <c r="F22" s="1">
        <f>countifs('Status Board'!F:F,$E22,'Status Board'!E:E,"&lt;&gt;" &amp; "Training")+countifs('Status Board'!G:G,$E22,'Status Board'!E:E,"Training")</f>
        <v>1</v>
      </c>
      <c r="G22" s="2"/>
    </row>
    <row r="23" ht="24.0" customHeight="1">
      <c r="A23" s="10"/>
      <c r="B23" s="10"/>
      <c r="C23" s="10"/>
      <c r="D23" s="7"/>
      <c r="E23" s="6" t="s">
        <v>1</v>
      </c>
      <c r="G23" s="2"/>
    </row>
  </sheetData>
  <mergeCells count="8">
    <mergeCell ref="B2:C2"/>
    <mergeCell ref="B3:C3"/>
    <mergeCell ref="E3:F3"/>
    <mergeCell ref="B4:C4"/>
    <mergeCell ref="B5:C5"/>
    <mergeCell ref="E5:F5"/>
    <mergeCell ref="B16:C16"/>
    <mergeCell ref="E23:F23"/>
  </mergeCells>
  <conditionalFormatting sqref="C6:E14">
    <cfRule type="colorScale" priority="1">
      <colorScale>
        <cfvo type="min"/>
        <cfvo type="formula" val="0"/>
        <cfvo type="max"/>
        <color rgb="FFFFFFFF"/>
        <color rgb="FFFFFFFF"/>
        <color rgb="FFFFD666"/>
      </colorScale>
    </cfRule>
  </conditionalFormatting>
  <conditionalFormatting sqref="F6:F22">
    <cfRule type="colorScale" priority="2">
      <colorScale>
        <cfvo type="min"/>
        <cfvo type="formula" val="0"/>
        <cfvo type="max"/>
        <color rgb="FFFFFFFF"/>
        <color rgb="FFFFEBB3"/>
        <color rgb="FFFFD666"/>
      </colorScale>
    </cfRule>
  </conditionalFormatting>
  <conditionalFormatting sqref="E6:E22">
    <cfRule type="expression" dxfId="0" priority="3">
      <formula>$F6&gt;0</formula>
    </cfRule>
  </conditionalFormatting>
  <hyperlinks>
    <hyperlink r:id="rId1" ref="B2"/>
    <hyperlink r:id="rId2" location="gid=1616505864" ref="E3"/>
    <hyperlink r:id="rId3" location="gid=1438528221" ref="B6"/>
    <hyperlink r:id="rId4" location="gid=1177000659" ref="B7"/>
    <hyperlink r:id="rId5" location="gid=1940757804" ref="B8"/>
    <hyperlink r:id="rId6" location="gid=1337649220" ref="B9"/>
    <hyperlink r:id="rId7" location="gid=578860466" ref="B10"/>
    <hyperlink r:id="rId8" location="gid=1813779154" ref="B11"/>
    <hyperlink r:id="rId9" location="gid=1683359080" ref="B12"/>
    <hyperlink r:id="rId10" location="gid=785322281" ref="B13"/>
    <hyperlink r:id="rId11" location="gid=1311968464" ref="B14"/>
    <hyperlink r:id="rId12" ref="B16"/>
    <hyperlink r:id="rId13" location="gid=1616505864" ref="E23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5.13"/>
    <col customWidth="1" min="3" max="3" width="18.75"/>
    <col customWidth="1" min="4" max="4" width="29.25"/>
    <col customWidth="1" min="5" max="13" width="5.13"/>
    <col customWidth="1" min="14" max="14" width="10.38"/>
    <col customWidth="1" min="15" max="15" width="18.0"/>
    <col customWidth="1" min="16" max="16" width="13.38"/>
  </cols>
  <sheetData>
    <row r="1">
      <c r="A1" s="12" t="s">
        <v>31</v>
      </c>
      <c r="O1" s="13"/>
      <c r="P1" s="14"/>
    </row>
    <row r="2">
      <c r="A2" s="15" t="s">
        <v>32</v>
      </c>
      <c r="D2" s="16"/>
      <c r="O2" s="17"/>
      <c r="P2" s="18"/>
    </row>
    <row r="3" ht="82.5" customHeight="1">
      <c r="A3" s="19" t="s">
        <v>33</v>
      </c>
      <c r="B3" s="19" t="s">
        <v>34</v>
      </c>
      <c r="C3" s="19" t="s">
        <v>35</v>
      </c>
      <c r="D3" s="20" t="s">
        <v>36</v>
      </c>
      <c r="E3" s="21" t="s">
        <v>4</v>
      </c>
      <c r="F3" s="21" t="s">
        <v>20</v>
      </c>
      <c r="G3" s="21" t="s">
        <v>6</v>
      </c>
      <c r="H3" s="21" t="s">
        <v>8</v>
      </c>
      <c r="I3" s="21" t="s">
        <v>10</v>
      </c>
      <c r="J3" s="21" t="s">
        <v>14</v>
      </c>
      <c r="K3" s="21" t="s">
        <v>12</v>
      </c>
      <c r="L3" s="21" t="s">
        <v>16</v>
      </c>
      <c r="M3" s="21" t="s">
        <v>18</v>
      </c>
      <c r="N3" s="19" t="s">
        <v>37</v>
      </c>
      <c r="O3" s="22" t="s">
        <v>38</v>
      </c>
      <c r="P3" s="23" t="s">
        <v>39</v>
      </c>
    </row>
    <row r="4" hidden="1">
      <c r="A4" s="24" t="s">
        <v>40</v>
      </c>
      <c r="B4" s="24" t="s">
        <v>6</v>
      </c>
      <c r="C4" s="24" t="s">
        <v>41</v>
      </c>
      <c r="D4" s="25" t="s">
        <v>42</v>
      </c>
      <c r="E4" s="26" t="b">
        <v>1</v>
      </c>
      <c r="F4" s="26" t="b">
        <v>1</v>
      </c>
      <c r="G4" s="26" t="b">
        <v>1</v>
      </c>
      <c r="H4" s="26" t="b">
        <v>1</v>
      </c>
      <c r="I4" s="26" t="b">
        <v>1</v>
      </c>
      <c r="J4" s="26" t="b">
        <v>1</v>
      </c>
      <c r="K4" s="26" t="b">
        <v>1</v>
      </c>
      <c r="L4" s="26" t="b">
        <v>1</v>
      </c>
      <c r="M4" s="26" t="b">
        <v>1</v>
      </c>
      <c r="N4" s="27">
        <v>1.0</v>
      </c>
      <c r="O4" s="24" t="s">
        <v>43</v>
      </c>
      <c r="P4" s="28">
        <v>45170.0</v>
      </c>
    </row>
    <row r="5" hidden="1">
      <c r="A5" s="24" t="s">
        <v>44</v>
      </c>
      <c r="B5" s="24" t="s">
        <v>10</v>
      </c>
      <c r="C5" s="24" t="s">
        <v>45</v>
      </c>
      <c r="D5" s="25" t="s">
        <v>42</v>
      </c>
      <c r="E5" s="26" t="b">
        <v>1</v>
      </c>
      <c r="F5" s="26" t="b">
        <v>1</v>
      </c>
      <c r="G5" s="26" t="b">
        <v>1</v>
      </c>
      <c r="H5" s="26" t="b">
        <v>1</v>
      </c>
      <c r="I5" s="26" t="b">
        <v>1</v>
      </c>
      <c r="J5" s="26" t="b">
        <v>1</v>
      </c>
      <c r="K5" s="26" t="b">
        <v>1</v>
      </c>
      <c r="L5" s="26" t="b">
        <v>1</v>
      </c>
      <c r="M5" s="26" t="b">
        <v>1</v>
      </c>
      <c r="N5" s="27">
        <v>1.0</v>
      </c>
      <c r="O5" s="24" t="s">
        <v>43</v>
      </c>
      <c r="P5" s="28">
        <v>45170.0</v>
      </c>
    </row>
    <row r="6" hidden="1">
      <c r="A6" s="24" t="s">
        <v>46</v>
      </c>
      <c r="B6" s="24" t="s">
        <v>18</v>
      </c>
      <c r="C6" s="24" t="s">
        <v>45</v>
      </c>
      <c r="D6" s="25" t="s">
        <v>47</v>
      </c>
      <c r="E6" s="26" t="b">
        <v>1</v>
      </c>
      <c r="F6" s="26" t="b">
        <v>1</v>
      </c>
      <c r="G6" s="26" t="b">
        <v>1</v>
      </c>
      <c r="H6" s="26" t="b">
        <v>1</v>
      </c>
      <c r="I6" s="26" t="b">
        <v>1</v>
      </c>
      <c r="J6" s="26" t="b">
        <v>1</v>
      </c>
      <c r="K6" s="26" t="b">
        <v>1</v>
      </c>
      <c r="L6" s="26" t="b">
        <v>1</v>
      </c>
      <c r="M6" s="26" t="b">
        <v>1</v>
      </c>
      <c r="N6" s="27">
        <v>1.0</v>
      </c>
      <c r="O6" s="24" t="s">
        <v>43</v>
      </c>
      <c r="P6" s="28">
        <v>45170.0</v>
      </c>
    </row>
    <row r="7" hidden="1">
      <c r="A7" s="24" t="s">
        <v>48</v>
      </c>
      <c r="B7" s="24" t="s">
        <v>18</v>
      </c>
      <c r="C7" s="24" t="s">
        <v>41</v>
      </c>
      <c r="D7" s="25" t="s">
        <v>49</v>
      </c>
      <c r="E7" s="26" t="b">
        <v>1</v>
      </c>
      <c r="F7" s="26" t="b">
        <v>1</v>
      </c>
      <c r="G7" s="26" t="b">
        <v>1</v>
      </c>
      <c r="H7" s="26" t="b">
        <v>1</v>
      </c>
      <c r="I7" s="26" t="b">
        <v>1</v>
      </c>
      <c r="J7" s="26" t="b">
        <v>1</v>
      </c>
      <c r="K7" s="26" t="b">
        <v>1</v>
      </c>
      <c r="L7" s="26" t="b">
        <v>1</v>
      </c>
      <c r="M7" s="26" t="b">
        <v>1</v>
      </c>
      <c r="N7" s="27">
        <v>1.0</v>
      </c>
      <c r="O7" s="24" t="s">
        <v>43</v>
      </c>
      <c r="P7" s="28">
        <v>45170.0</v>
      </c>
    </row>
    <row r="8" hidden="1">
      <c r="A8" s="24" t="s">
        <v>50</v>
      </c>
      <c r="B8" s="24" t="s">
        <v>10</v>
      </c>
      <c r="C8" s="24" t="s">
        <v>45</v>
      </c>
      <c r="D8" s="25" t="s">
        <v>49</v>
      </c>
      <c r="E8" s="26" t="b">
        <v>1</v>
      </c>
      <c r="F8" s="26" t="b">
        <v>1</v>
      </c>
      <c r="G8" s="26" t="b">
        <v>1</v>
      </c>
      <c r="H8" s="26" t="b">
        <v>1</v>
      </c>
      <c r="I8" s="26" t="b">
        <v>1</v>
      </c>
      <c r="J8" s="26" t="b">
        <v>1</v>
      </c>
      <c r="K8" s="26" t="b">
        <v>1</v>
      </c>
      <c r="L8" s="26" t="b">
        <v>1</v>
      </c>
      <c r="M8" s="26" t="b">
        <v>1</v>
      </c>
      <c r="N8" s="27">
        <v>1.0</v>
      </c>
      <c r="O8" s="24" t="s">
        <v>43</v>
      </c>
      <c r="P8" s="28">
        <v>45170.0</v>
      </c>
    </row>
    <row r="9" hidden="1">
      <c r="A9" s="24" t="s">
        <v>51</v>
      </c>
      <c r="B9" s="24" t="s">
        <v>4</v>
      </c>
      <c r="C9" s="24" t="s">
        <v>41</v>
      </c>
      <c r="D9" s="25" t="s">
        <v>52</v>
      </c>
      <c r="E9" s="26" t="b">
        <v>1</v>
      </c>
      <c r="F9" s="26" t="b">
        <v>1</v>
      </c>
      <c r="G9" s="26" t="b">
        <v>1</v>
      </c>
      <c r="H9" s="26" t="b">
        <v>1</v>
      </c>
      <c r="I9" s="26" t="b">
        <v>1</v>
      </c>
      <c r="J9" s="26" t="b">
        <v>1</v>
      </c>
      <c r="K9" s="26" t="b">
        <v>1</v>
      </c>
      <c r="L9" s="26" t="b">
        <v>1</v>
      </c>
      <c r="M9" s="26" t="b">
        <v>1</v>
      </c>
      <c r="N9" s="27">
        <v>1.0</v>
      </c>
      <c r="O9" s="24" t="s">
        <v>43</v>
      </c>
      <c r="P9" s="28">
        <v>45170.0</v>
      </c>
    </row>
    <row r="10" hidden="1">
      <c r="A10" s="24" t="s">
        <v>53</v>
      </c>
      <c r="B10" s="24" t="s">
        <v>6</v>
      </c>
      <c r="C10" s="24" t="s">
        <v>45</v>
      </c>
      <c r="D10" s="25" t="s">
        <v>52</v>
      </c>
      <c r="E10" s="26" t="b">
        <v>1</v>
      </c>
      <c r="F10" s="26" t="b">
        <v>1</v>
      </c>
      <c r="G10" s="26" t="b">
        <v>1</v>
      </c>
      <c r="H10" s="26" t="b">
        <v>1</v>
      </c>
      <c r="I10" s="26" t="b">
        <v>1</v>
      </c>
      <c r="J10" s="26" t="b">
        <v>1</v>
      </c>
      <c r="K10" s="26" t="b">
        <v>1</v>
      </c>
      <c r="L10" s="26" t="b">
        <v>1</v>
      </c>
      <c r="M10" s="26" t="b">
        <v>1</v>
      </c>
      <c r="N10" s="27">
        <v>1.0</v>
      </c>
      <c r="O10" s="24" t="s">
        <v>43</v>
      </c>
      <c r="P10" s="28">
        <v>45170.0</v>
      </c>
    </row>
    <row r="11" hidden="1">
      <c r="A11" s="24" t="s">
        <v>54</v>
      </c>
      <c r="B11" s="24" t="s">
        <v>18</v>
      </c>
      <c r="C11" s="24" t="s">
        <v>45</v>
      </c>
      <c r="D11" s="25" t="s">
        <v>55</v>
      </c>
      <c r="E11" s="26" t="b">
        <v>1</v>
      </c>
      <c r="F11" s="26" t="b">
        <v>1</v>
      </c>
      <c r="G11" s="26" t="b">
        <v>1</v>
      </c>
      <c r="H11" s="26" t="b">
        <v>1</v>
      </c>
      <c r="I11" s="26" t="b">
        <v>1</v>
      </c>
      <c r="J11" s="26" t="b">
        <v>1</v>
      </c>
      <c r="K11" s="26" t="b">
        <v>1</v>
      </c>
      <c r="L11" s="26" t="b">
        <v>1</v>
      </c>
      <c r="M11" s="26" t="b">
        <v>1</v>
      </c>
      <c r="N11" s="27">
        <v>1.0</v>
      </c>
      <c r="O11" s="24" t="s">
        <v>43</v>
      </c>
      <c r="P11" s="28">
        <v>45170.0</v>
      </c>
    </row>
    <row r="12" hidden="1">
      <c r="A12" s="24" t="s">
        <v>56</v>
      </c>
      <c r="B12" s="24" t="s">
        <v>18</v>
      </c>
      <c r="C12" s="24" t="s">
        <v>45</v>
      </c>
      <c r="D12" s="25" t="s">
        <v>57</v>
      </c>
      <c r="E12" s="26" t="b">
        <v>1</v>
      </c>
      <c r="F12" s="26" t="b">
        <v>1</v>
      </c>
      <c r="G12" s="26" t="b">
        <v>1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1</v>
      </c>
      <c r="M12" s="26" t="b">
        <v>1</v>
      </c>
      <c r="N12" s="27">
        <v>1.0</v>
      </c>
      <c r="O12" s="24" t="s">
        <v>43</v>
      </c>
      <c r="P12" s="28">
        <v>45170.0</v>
      </c>
    </row>
    <row r="13" hidden="1">
      <c r="A13" s="24" t="s">
        <v>58</v>
      </c>
      <c r="B13" s="24" t="s">
        <v>10</v>
      </c>
      <c r="C13" s="24" t="s">
        <v>45</v>
      </c>
      <c r="D13" s="25" t="s">
        <v>59</v>
      </c>
      <c r="E13" s="26" t="b">
        <v>1</v>
      </c>
      <c r="F13" s="26" t="b">
        <v>1</v>
      </c>
      <c r="G13" s="26" t="b">
        <v>1</v>
      </c>
      <c r="H13" s="26" t="b">
        <v>1</v>
      </c>
      <c r="I13" s="26" t="b">
        <v>1</v>
      </c>
      <c r="J13" s="26" t="b">
        <v>1</v>
      </c>
      <c r="K13" s="26" t="b">
        <v>1</v>
      </c>
      <c r="L13" s="26" t="b">
        <v>1</v>
      </c>
      <c r="M13" s="26" t="b">
        <v>1</v>
      </c>
      <c r="N13" s="27">
        <v>1.0</v>
      </c>
      <c r="O13" s="24" t="s">
        <v>43</v>
      </c>
      <c r="P13" s="28">
        <v>45170.0</v>
      </c>
    </row>
    <row r="14" hidden="1">
      <c r="A14" s="24" t="s">
        <v>60</v>
      </c>
      <c r="B14" s="24" t="s">
        <v>18</v>
      </c>
      <c r="C14" s="24" t="s">
        <v>41</v>
      </c>
      <c r="D14" s="25" t="s">
        <v>61</v>
      </c>
      <c r="E14" s="26" t="b">
        <v>1</v>
      </c>
      <c r="F14" s="26" t="b">
        <v>1</v>
      </c>
      <c r="G14" s="26" t="b">
        <v>1</v>
      </c>
      <c r="H14" s="26" t="b">
        <v>1</v>
      </c>
      <c r="I14" s="26" t="b">
        <v>1</v>
      </c>
      <c r="J14" s="26" t="b">
        <v>1</v>
      </c>
      <c r="K14" s="26" t="b">
        <v>1</v>
      </c>
      <c r="L14" s="26" t="b">
        <v>1</v>
      </c>
      <c r="M14" s="26" t="b">
        <v>1</v>
      </c>
      <c r="N14" s="27">
        <v>1.0</v>
      </c>
      <c r="O14" s="24" t="s">
        <v>43</v>
      </c>
      <c r="P14" s="28">
        <v>45170.0</v>
      </c>
    </row>
    <row r="15" hidden="1">
      <c r="A15" s="24" t="s">
        <v>62</v>
      </c>
      <c r="B15" s="24" t="s">
        <v>18</v>
      </c>
      <c r="C15" s="24" t="s">
        <v>45</v>
      </c>
      <c r="D15" s="25" t="s">
        <v>61</v>
      </c>
      <c r="E15" s="26" t="b">
        <v>1</v>
      </c>
      <c r="F15" s="26" t="b">
        <v>1</v>
      </c>
      <c r="G15" s="26" t="b">
        <v>1</v>
      </c>
      <c r="H15" s="26" t="b">
        <v>1</v>
      </c>
      <c r="I15" s="26" t="b">
        <v>1</v>
      </c>
      <c r="J15" s="26" t="b">
        <v>1</v>
      </c>
      <c r="K15" s="26" t="b">
        <v>1</v>
      </c>
      <c r="L15" s="26" t="b">
        <v>1</v>
      </c>
      <c r="M15" s="26" t="b">
        <v>1</v>
      </c>
      <c r="N15" s="27">
        <v>1.0</v>
      </c>
      <c r="O15" s="24" t="s">
        <v>43</v>
      </c>
      <c r="P15" s="28">
        <v>45170.0</v>
      </c>
    </row>
    <row r="16" hidden="1">
      <c r="A16" s="24" t="s">
        <v>63</v>
      </c>
      <c r="B16" s="24" t="s">
        <v>16</v>
      </c>
      <c r="C16" s="24" t="s">
        <v>41</v>
      </c>
      <c r="D16" s="25" t="s">
        <v>64</v>
      </c>
      <c r="E16" s="26" t="b">
        <v>1</v>
      </c>
      <c r="F16" s="26" t="b">
        <v>1</v>
      </c>
      <c r="G16" s="26" t="b">
        <v>1</v>
      </c>
      <c r="H16" s="26" t="b">
        <v>1</v>
      </c>
      <c r="I16" s="26" t="b">
        <v>1</v>
      </c>
      <c r="J16" s="26" t="b">
        <v>1</v>
      </c>
      <c r="K16" s="26" t="b">
        <v>1</v>
      </c>
      <c r="L16" s="26" t="b">
        <v>1</v>
      </c>
      <c r="M16" s="26" t="b">
        <v>1</v>
      </c>
      <c r="N16" s="27">
        <v>1.0</v>
      </c>
      <c r="O16" s="24" t="s">
        <v>43</v>
      </c>
      <c r="P16" s="28">
        <v>45170.0</v>
      </c>
    </row>
    <row r="17" hidden="1">
      <c r="A17" s="24" t="s">
        <v>65</v>
      </c>
      <c r="B17" s="24" t="s">
        <v>18</v>
      </c>
      <c r="C17" s="24" t="s">
        <v>45</v>
      </c>
      <c r="D17" s="25" t="s">
        <v>64</v>
      </c>
      <c r="E17" s="26" t="b">
        <v>1</v>
      </c>
      <c r="F17" s="26" t="b">
        <v>1</v>
      </c>
      <c r="G17" s="26" t="b">
        <v>1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1</v>
      </c>
      <c r="M17" s="26" t="b">
        <v>1</v>
      </c>
      <c r="N17" s="27">
        <v>1.0</v>
      </c>
      <c r="O17" s="24" t="s">
        <v>43</v>
      </c>
      <c r="P17" s="28">
        <v>45170.0</v>
      </c>
    </row>
    <row r="18" hidden="1">
      <c r="A18" s="24" t="s">
        <v>66</v>
      </c>
      <c r="B18" s="24" t="s">
        <v>16</v>
      </c>
      <c r="C18" s="24" t="s">
        <v>41</v>
      </c>
      <c r="D18" s="25" t="s">
        <v>67</v>
      </c>
      <c r="E18" s="26" t="b">
        <v>1</v>
      </c>
      <c r="F18" s="26" t="b">
        <v>1</v>
      </c>
      <c r="G18" s="26" t="b">
        <v>1</v>
      </c>
      <c r="H18" s="26" t="b">
        <v>1</v>
      </c>
      <c r="I18" s="26" t="b">
        <v>1</v>
      </c>
      <c r="J18" s="26" t="b">
        <v>1</v>
      </c>
      <c r="K18" s="26" t="b">
        <v>1</v>
      </c>
      <c r="L18" s="26" t="b">
        <v>1</v>
      </c>
      <c r="M18" s="26" t="b">
        <v>1</v>
      </c>
      <c r="N18" s="27">
        <v>1.0</v>
      </c>
      <c r="O18" s="24" t="s">
        <v>43</v>
      </c>
      <c r="P18" s="28">
        <v>45170.0</v>
      </c>
    </row>
    <row r="19" hidden="1">
      <c r="A19" s="24" t="s">
        <v>68</v>
      </c>
      <c r="B19" s="24" t="s">
        <v>18</v>
      </c>
      <c r="C19" s="24" t="s">
        <v>45</v>
      </c>
      <c r="D19" s="25" t="s">
        <v>67</v>
      </c>
      <c r="E19" s="26" t="b">
        <v>1</v>
      </c>
      <c r="F19" s="26" t="b">
        <v>1</v>
      </c>
      <c r="G19" s="26" t="b">
        <v>1</v>
      </c>
      <c r="H19" s="26" t="b">
        <v>1</v>
      </c>
      <c r="I19" s="26" t="b">
        <v>1</v>
      </c>
      <c r="J19" s="26" t="b">
        <v>1</v>
      </c>
      <c r="K19" s="26" t="b">
        <v>1</v>
      </c>
      <c r="L19" s="26" t="b">
        <v>1</v>
      </c>
      <c r="M19" s="26" t="b">
        <v>1</v>
      </c>
      <c r="N19" s="27">
        <v>1.0</v>
      </c>
      <c r="O19" s="24" t="s">
        <v>43</v>
      </c>
      <c r="P19" s="28">
        <v>45170.0</v>
      </c>
    </row>
    <row r="20" hidden="1">
      <c r="A20" s="24" t="s">
        <v>69</v>
      </c>
      <c r="B20" s="24" t="s">
        <v>6</v>
      </c>
      <c r="C20" s="24" t="s">
        <v>41</v>
      </c>
      <c r="D20" s="25" t="s">
        <v>70</v>
      </c>
      <c r="E20" s="26" t="b">
        <v>1</v>
      </c>
      <c r="F20" s="26" t="b">
        <v>1</v>
      </c>
      <c r="G20" s="26" t="b">
        <v>1</v>
      </c>
      <c r="H20" s="26" t="b">
        <v>1</v>
      </c>
      <c r="I20" s="26" t="b">
        <v>1</v>
      </c>
      <c r="J20" s="26" t="b">
        <v>1</v>
      </c>
      <c r="K20" s="26" t="b">
        <v>1</v>
      </c>
      <c r="L20" s="26" t="b">
        <v>1</v>
      </c>
      <c r="M20" s="26" t="b">
        <v>1</v>
      </c>
      <c r="N20" s="27">
        <v>1.0</v>
      </c>
      <c r="O20" s="24" t="s">
        <v>43</v>
      </c>
      <c r="P20" s="28">
        <v>45170.0</v>
      </c>
    </row>
    <row r="21" hidden="1">
      <c r="A21" s="24" t="s">
        <v>71</v>
      </c>
      <c r="B21" s="24" t="s">
        <v>10</v>
      </c>
      <c r="C21" s="24" t="s">
        <v>41</v>
      </c>
      <c r="D21" s="25" t="s">
        <v>72</v>
      </c>
      <c r="E21" s="26" t="b">
        <v>1</v>
      </c>
      <c r="F21" s="26" t="b">
        <v>1</v>
      </c>
      <c r="G21" s="26" t="b">
        <v>1</v>
      </c>
      <c r="H21" s="26" t="b">
        <v>1</v>
      </c>
      <c r="I21" s="26" t="b">
        <v>1</v>
      </c>
      <c r="J21" s="26" t="b">
        <v>1</v>
      </c>
      <c r="K21" s="26" t="b">
        <v>1</v>
      </c>
      <c r="L21" s="26" t="b">
        <v>1</v>
      </c>
      <c r="M21" s="26" t="b">
        <v>1</v>
      </c>
      <c r="N21" s="27">
        <v>1.0</v>
      </c>
      <c r="O21" s="24" t="s">
        <v>43</v>
      </c>
      <c r="P21" s="28">
        <v>45170.0</v>
      </c>
    </row>
    <row r="22" hidden="1">
      <c r="A22" s="24" t="s">
        <v>73</v>
      </c>
      <c r="B22" s="24" t="s">
        <v>18</v>
      </c>
      <c r="C22" s="24" t="s">
        <v>41</v>
      </c>
      <c r="D22" s="25" t="s">
        <v>74</v>
      </c>
      <c r="E22" s="26" t="b">
        <v>1</v>
      </c>
      <c r="F22" s="26" t="b">
        <v>1</v>
      </c>
      <c r="G22" s="26" t="b">
        <v>1</v>
      </c>
      <c r="H22" s="26" t="b">
        <v>1</v>
      </c>
      <c r="I22" s="26" t="b">
        <v>1</v>
      </c>
      <c r="J22" s="26" t="b">
        <v>1</v>
      </c>
      <c r="K22" s="26" t="b">
        <v>1</v>
      </c>
      <c r="L22" s="26" t="b">
        <v>1</v>
      </c>
      <c r="M22" s="26" t="b">
        <v>1</v>
      </c>
      <c r="N22" s="27">
        <v>1.0</v>
      </c>
      <c r="O22" s="24" t="s">
        <v>43</v>
      </c>
      <c r="P22" s="28">
        <v>45170.0</v>
      </c>
    </row>
    <row r="23" hidden="1">
      <c r="A23" s="24" t="s">
        <v>75</v>
      </c>
      <c r="B23" s="24" t="s">
        <v>18</v>
      </c>
      <c r="C23" s="24" t="s">
        <v>45</v>
      </c>
      <c r="D23" s="25" t="s">
        <v>76</v>
      </c>
      <c r="E23" s="26" t="b">
        <v>1</v>
      </c>
      <c r="F23" s="26" t="b">
        <v>1</v>
      </c>
      <c r="G23" s="26" t="b">
        <v>1</v>
      </c>
      <c r="H23" s="26" t="b">
        <v>1</v>
      </c>
      <c r="I23" s="26" t="b">
        <v>1</v>
      </c>
      <c r="J23" s="26" t="b">
        <v>1</v>
      </c>
      <c r="K23" s="26" t="b">
        <v>1</v>
      </c>
      <c r="L23" s="26" t="b">
        <v>1</v>
      </c>
      <c r="M23" s="26" t="b">
        <v>1</v>
      </c>
      <c r="N23" s="27">
        <v>1.0</v>
      </c>
      <c r="O23" s="24" t="s">
        <v>43</v>
      </c>
      <c r="P23" s="28">
        <v>45170.0</v>
      </c>
    </row>
    <row r="24" hidden="1">
      <c r="A24" s="24" t="s">
        <v>77</v>
      </c>
      <c r="B24" s="24" t="s">
        <v>6</v>
      </c>
      <c r="C24" s="24" t="s">
        <v>45</v>
      </c>
      <c r="D24" s="25" t="s">
        <v>78</v>
      </c>
      <c r="E24" s="26" t="b">
        <v>1</v>
      </c>
      <c r="F24" s="26" t="b">
        <v>1</v>
      </c>
      <c r="G24" s="26" t="b">
        <v>1</v>
      </c>
      <c r="H24" s="26" t="b">
        <v>1</v>
      </c>
      <c r="I24" s="26" t="b">
        <v>1</v>
      </c>
      <c r="J24" s="26" t="b">
        <v>1</v>
      </c>
      <c r="K24" s="26" t="b">
        <v>1</v>
      </c>
      <c r="L24" s="26" t="b">
        <v>1</v>
      </c>
      <c r="M24" s="26" t="b">
        <v>1</v>
      </c>
      <c r="N24" s="27">
        <v>1.0</v>
      </c>
      <c r="O24" s="24" t="s">
        <v>43</v>
      </c>
      <c r="P24" s="28">
        <v>45170.0</v>
      </c>
    </row>
    <row r="25" hidden="1">
      <c r="A25" s="24" t="s">
        <v>79</v>
      </c>
      <c r="B25" s="24" t="s">
        <v>4</v>
      </c>
      <c r="C25" s="24" t="s">
        <v>45</v>
      </c>
      <c r="D25" s="25" t="s">
        <v>70</v>
      </c>
      <c r="E25" s="26" t="b">
        <v>1</v>
      </c>
      <c r="F25" s="26" t="b">
        <v>1</v>
      </c>
      <c r="G25" s="26" t="b">
        <v>1</v>
      </c>
      <c r="H25" s="26" t="b">
        <v>1</v>
      </c>
      <c r="I25" s="26" t="b">
        <v>1</v>
      </c>
      <c r="J25" s="26" t="b">
        <v>1</v>
      </c>
      <c r="K25" s="26" t="b">
        <v>1</v>
      </c>
      <c r="L25" s="26" t="b">
        <v>1</v>
      </c>
      <c r="M25" s="26" t="b">
        <v>1</v>
      </c>
      <c r="N25" s="27">
        <v>1.0</v>
      </c>
      <c r="O25" s="24" t="s">
        <v>43</v>
      </c>
      <c r="P25" s="28">
        <v>45352.0</v>
      </c>
    </row>
    <row r="26" hidden="1">
      <c r="A26" s="24" t="s">
        <v>80</v>
      </c>
      <c r="B26" s="24" t="s">
        <v>18</v>
      </c>
      <c r="C26" s="24" t="s">
        <v>45</v>
      </c>
      <c r="D26" s="25" t="s">
        <v>81</v>
      </c>
      <c r="E26" s="26" t="b">
        <v>1</v>
      </c>
      <c r="F26" s="26" t="b">
        <v>1</v>
      </c>
      <c r="G26" s="26" t="b">
        <v>1</v>
      </c>
      <c r="H26" s="26" t="b">
        <v>1</v>
      </c>
      <c r="I26" s="26" t="b">
        <v>1</v>
      </c>
      <c r="J26" s="26" t="b">
        <v>1</v>
      </c>
      <c r="K26" s="26" t="b">
        <v>1</v>
      </c>
      <c r="L26" s="26" t="b">
        <v>1</v>
      </c>
      <c r="M26" s="26" t="b">
        <v>1</v>
      </c>
      <c r="N26" s="27">
        <v>1.0</v>
      </c>
      <c r="O26" s="24" t="s">
        <v>43</v>
      </c>
      <c r="P26" s="28">
        <v>45352.0</v>
      </c>
    </row>
    <row r="27" hidden="1">
      <c r="A27" s="24" t="s">
        <v>82</v>
      </c>
      <c r="B27" s="24" t="s">
        <v>6</v>
      </c>
      <c r="C27" s="24" t="s">
        <v>41</v>
      </c>
      <c r="D27" s="25" t="s">
        <v>83</v>
      </c>
      <c r="E27" s="26" t="b">
        <v>1</v>
      </c>
      <c r="F27" s="26" t="b">
        <v>1</v>
      </c>
      <c r="G27" s="26" t="b">
        <v>1</v>
      </c>
      <c r="H27" s="26" t="b">
        <v>1</v>
      </c>
      <c r="I27" s="26" t="b">
        <v>1</v>
      </c>
      <c r="J27" s="26" t="b">
        <v>1</v>
      </c>
      <c r="K27" s="26" t="b">
        <v>1</v>
      </c>
      <c r="L27" s="26" t="b">
        <v>1</v>
      </c>
      <c r="M27" s="26" t="b">
        <v>1</v>
      </c>
      <c r="N27" s="27">
        <v>1.0</v>
      </c>
      <c r="O27" s="24" t="s">
        <v>43</v>
      </c>
      <c r="P27" s="28">
        <v>45352.0</v>
      </c>
    </row>
    <row r="28" hidden="1">
      <c r="A28" s="24" t="s">
        <v>84</v>
      </c>
      <c r="B28" s="24" t="s">
        <v>18</v>
      </c>
      <c r="C28" s="24" t="s">
        <v>45</v>
      </c>
      <c r="D28" s="25" t="s">
        <v>83</v>
      </c>
      <c r="E28" s="26" t="b">
        <v>1</v>
      </c>
      <c r="F28" s="26" t="b">
        <v>1</v>
      </c>
      <c r="G28" s="26" t="b">
        <v>1</v>
      </c>
      <c r="H28" s="26" t="b">
        <v>1</v>
      </c>
      <c r="I28" s="26" t="b">
        <v>1</v>
      </c>
      <c r="J28" s="26" t="b">
        <v>1</v>
      </c>
      <c r="K28" s="26" t="b">
        <v>1</v>
      </c>
      <c r="L28" s="26" t="b">
        <v>1</v>
      </c>
      <c r="M28" s="26" t="b">
        <v>1</v>
      </c>
      <c r="N28" s="27">
        <v>1.0</v>
      </c>
      <c r="O28" s="24" t="s">
        <v>43</v>
      </c>
      <c r="P28" s="28">
        <v>45352.0</v>
      </c>
    </row>
    <row r="29" hidden="1">
      <c r="A29" s="24" t="s">
        <v>85</v>
      </c>
      <c r="B29" s="24" t="s">
        <v>10</v>
      </c>
      <c r="C29" s="24" t="s">
        <v>45</v>
      </c>
      <c r="D29" s="25" t="s">
        <v>86</v>
      </c>
      <c r="E29" s="26" t="b">
        <v>1</v>
      </c>
      <c r="F29" s="26" t="b">
        <v>1</v>
      </c>
      <c r="G29" s="26" t="b">
        <v>1</v>
      </c>
      <c r="H29" s="26" t="b">
        <v>1</v>
      </c>
      <c r="I29" s="26" t="b">
        <v>1</v>
      </c>
      <c r="J29" s="26" t="b">
        <v>1</v>
      </c>
      <c r="K29" s="26" t="b">
        <v>1</v>
      </c>
      <c r="L29" s="26" t="b">
        <v>1</v>
      </c>
      <c r="M29" s="26" t="b">
        <v>1</v>
      </c>
      <c r="N29" s="27">
        <v>1.0</v>
      </c>
      <c r="O29" s="24" t="s">
        <v>43</v>
      </c>
      <c r="P29" s="28">
        <v>45352.0</v>
      </c>
    </row>
    <row r="30" hidden="1">
      <c r="A30" s="24" t="s">
        <v>87</v>
      </c>
      <c r="B30" s="24" t="s">
        <v>16</v>
      </c>
      <c r="C30" s="24" t="s">
        <v>41</v>
      </c>
      <c r="D30" s="25" t="s">
        <v>88</v>
      </c>
      <c r="E30" s="26" t="b">
        <v>1</v>
      </c>
      <c r="F30" s="26" t="b">
        <v>1</v>
      </c>
      <c r="G30" s="26" t="b">
        <v>1</v>
      </c>
      <c r="H30" s="26" t="b">
        <v>1</v>
      </c>
      <c r="I30" s="26" t="b">
        <v>1</v>
      </c>
      <c r="J30" s="26" t="b">
        <v>1</v>
      </c>
      <c r="K30" s="26" t="b">
        <v>1</v>
      </c>
      <c r="L30" s="26" t="b">
        <v>1</v>
      </c>
      <c r="M30" s="26" t="b">
        <v>1</v>
      </c>
      <c r="N30" s="27">
        <v>1.0</v>
      </c>
      <c r="O30" s="24" t="s">
        <v>43</v>
      </c>
      <c r="P30" s="28">
        <v>45352.0</v>
      </c>
    </row>
    <row r="31" hidden="1">
      <c r="A31" s="24" t="s">
        <v>89</v>
      </c>
      <c r="B31" s="24" t="s">
        <v>16</v>
      </c>
      <c r="C31" s="24" t="s">
        <v>45</v>
      </c>
      <c r="D31" s="25" t="s">
        <v>88</v>
      </c>
      <c r="E31" s="26" t="b">
        <v>1</v>
      </c>
      <c r="F31" s="26" t="b">
        <v>1</v>
      </c>
      <c r="G31" s="26" t="b">
        <v>1</v>
      </c>
      <c r="H31" s="26" t="b">
        <v>1</v>
      </c>
      <c r="I31" s="26" t="b">
        <v>1</v>
      </c>
      <c r="J31" s="26" t="b">
        <v>1</v>
      </c>
      <c r="K31" s="26" t="b">
        <v>1</v>
      </c>
      <c r="L31" s="26" t="b">
        <v>1</v>
      </c>
      <c r="M31" s="26" t="b">
        <v>1</v>
      </c>
      <c r="N31" s="27">
        <v>1.0</v>
      </c>
      <c r="O31" s="24" t="s">
        <v>43</v>
      </c>
      <c r="P31" s="28">
        <v>45352.0</v>
      </c>
    </row>
    <row r="32" hidden="1">
      <c r="A32" s="29" t="s">
        <v>90</v>
      </c>
      <c r="B32" s="24" t="s">
        <v>18</v>
      </c>
      <c r="C32" s="29" t="s">
        <v>41</v>
      </c>
      <c r="D32" s="30" t="s">
        <v>91</v>
      </c>
      <c r="E32" s="31" t="b">
        <v>1</v>
      </c>
      <c r="F32" s="26" t="b">
        <v>1</v>
      </c>
      <c r="G32" s="31" t="b">
        <v>1</v>
      </c>
      <c r="H32" s="31" t="b">
        <v>1</v>
      </c>
      <c r="I32" s="26" t="b">
        <v>1</v>
      </c>
      <c r="J32" s="31" t="b">
        <v>1</v>
      </c>
      <c r="K32" s="31" t="b">
        <v>1</v>
      </c>
      <c r="L32" s="31" t="b">
        <v>1</v>
      </c>
      <c r="M32" s="31" t="b">
        <v>1</v>
      </c>
      <c r="N32" s="32">
        <f t="shared" ref="N32:N33" si="1">IF(A32="","",COUNTIF(E32:M32,TRUE)/COUNTA(E32:M32))</f>
        <v>1</v>
      </c>
      <c r="O32" s="24" t="s">
        <v>43</v>
      </c>
      <c r="P32" s="28">
        <v>45536.0</v>
      </c>
    </row>
    <row r="33" hidden="1">
      <c r="A33" s="29" t="s">
        <v>92</v>
      </c>
      <c r="B33" s="24" t="s">
        <v>18</v>
      </c>
      <c r="C33" s="29" t="s">
        <v>45</v>
      </c>
      <c r="D33" s="30" t="s">
        <v>93</v>
      </c>
      <c r="E33" s="31" t="b">
        <v>1</v>
      </c>
      <c r="F33" s="26" t="b">
        <v>1</v>
      </c>
      <c r="G33" s="31" t="b">
        <v>1</v>
      </c>
      <c r="H33" s="26" t="b">
        <v>1</v>
      </c>
      <c r="I33" s="26" t="b">
        <v>1</v>
      </c>
      <c r="J33" s="31" t="b">
        <v>1</v>
      </c>
      <c r="K33" s="31" t="b">
        <v>1</v>
      </c>
      <c r="L33" s="31" t="b">
        <v>1</v>
      </c>
      <c r="M33" s="31" t="b">
        <v>1</v>
      </c>
      <c r="N33" s="32">
        <f t="shared" si="1"/>
        <v>1</v>
      </c>
      <c r="O33" s="24" t="s">
        <v>43</v>
      </c>
      <c r="P33" s="28">
        <v>45536.0</v>
      </c>
    </row>
    <row r="34" hidden="1">
      <c r="A34" s="24" t="s">
        <v>94</v>
      </c>
      <c r="B34" s="24" t="s">
        <v>16</v>
      </c>
      <c r="C34" s="24" t="s">
        <v>45</v>
      </c>
      <c r="D34" s="25" t="s">
        <v>95</v>
      </c>
      <c r="E34" s="31"/>
      <c r="F34" s="31"/>
      <c r="G34" s="31"/>
      <c r="H34" s="31"/>
      <c r="I34" s="31"/>
      <c r="J34" s="31"/>
      <c r="K34" s="31"/>
      <c r="L34" s="26" t="b">
        <v>1</v>
      </c>
      <c r="M34" s="31"/>
      <c r="N34" s="32">
        <f t="shared" ref="N34:N36" si="2">If(A34="","",COUNTIF(E34:M34,TRUE)/COUNTA(E34:M34))</f>
        <v>1</v>
      </c>
      <c r="O34" s="24" t="s">
        <v>43</v>
      </c>
      <c r="P34" s="28">
        <v>45536.0</v>
      </c>
    </row>
    <row r="35" hidden="1">
      <c r="A35" s="24" t="s">
        <v>96</v>
      </c>
      <c r="B35" s="24" t="s">
        <v>6</v>
      </c>
      <c r="C35" s="24" t="s">
        <v>45</v>
      </c>
      <c r="D35" s="25" t="s">
        <v>97</v>
      </c>
      <c r="E35" s="31"/>
      <c r="F35" s="31"/>
      <c r="G35" s="26" t="b">
        <v>1</v>
      </c>
      <c r="H35" s="31"/>
      <c r="I35" s="31"/>
      <c r="J35" s="31"/>
      <c r="K35" s="31"/>
      <c r="L35" s="26"/>
      <c r="M35" s="31"/>
      <c r="N35" s="32">
        <f t="shared" si="2"/>
        <v>1</v>
      </c>
      <c r="O35" s="24" t="s">
        <v>43</v>
      </c>
      <c r="P35" s="28">
        <v>45536.0</v>
      </c>
    </row>
    <row r="36" hidden="1">
      <c r="A36" s="24" t="s">
        <v>98</v>
      </c>
      <c r="B36" s="24" t="s">
        <v>10</v>
      </c>
      <c r="C36" s="24" t="s">
        <v>41</v>
      </c>
      <c r="D36" s="25" t="s">
        <v>67</v>
      </c>
      <c r="E36" s="26" t="b">
        <v>1</v>
      </c>
      <c r="F36" s="26" t="b">
        <v>1</v>
      </c>
      <c r="G36" s="26" t="b">
        <v>1</v>
      </c>
      <c r="H36" s="26" t="b">
        <v>1</v>
      </c>
      <c r="I36" s="26" t="b">
        <v>1</v>
      </c>
      <c r="J36" s="26" t="b">
        <v>1</v>
      </c>
      <c r="K36" s="26" t="b">
        <v>1</v>
      </c>
      <c r="L36" s="26" t="b">
        <v>1</v>
      </c>
      <c r="M36" s="26" t="b">
        <v>1</v>
      </c>
      <c r="N36" s="32">
        <f t="shared" si="2"/>
        <v>1</v>
      </c>
      <c r="O36" s="24" t="s">
        <v>43</v>
      </c>
      <c r="P36" s="28">
        <v>45536.0</v>
      </c>
    </row>
    <row r="37" hidden="1">
      <c r="A37" s="24" t="s">
        <v>99</v>
      </c>
      <c r="B37" s="24" t="s">
        <v>18</v>
      </c>
      <c r="C37" s="24" t="s">
        <v>45</v>
      </c>
      <c r="D37" s="25" t="s">
        <v>67</v>
      </c>
      <c r="E37" s="26" t="b">
        <v>1</v>
      </c>
      <c r="F37" s="26" t="b">
        <v>1</v>
      </c>
      <c r="G37" s="26" t="b">
        <v>1</v>
      </c>
      <c r="H37" s="26" t="b">
        <v>1</v>
      </c>
      <c r="I37" s="26" t="b">
        <v>1</v>
      </c>
      <c r="J37" s="26" t="b">
        <v>1</v>
      </c>
      <c r="K37" s="26" t="b">
        <v>1</v>
      </c>
      <c r="L37" s="26" t="b">
        <v>1</v>
      </c>
      <c r="M37" s="26" t="b">
        <v>1</v>
      </c>
      <c r="N37" s="32">
        <f t="shared" ref="N37:N38" si="3">If(A36="","",COUNTIF(E36:M36,TRUE)/COUNTA(E36:M36))</f>
        <v>1</v>
      </c>
      <c r="O37" s="24" t="s">
        <v>43</v>
      </c>
      <c r="P37" s="28">
        <v>45536.0</v>
      </c>
    </row>
    <row r="38" hidden="1">
      <c r="A38" s="24" t="s">
        <v>100</v>
      </c>
      <c r="B38" s="24" t="s">
        <v>10</v>
      </c>
      <c r="C38" s="24" t="s">
        <v>45</v>
      </c>
      <c r="D38" s="25" t="s">
        <v>67</v>
      </c>
      <c r="E38" s="26" t="b">
        <v>1</v>
      </c>
      <c r="F38" s="26" t="b">
        <v>1</v>
      </c>
      <c r="G38" s="26" t="b">
        <v>1</v>
      </c>
      <c r="H38" s="26" t="b">
        <v>1</v>
      </c>
      <c r="I38" s="26" t="b">
        <v>1</v>
      </c>
      <c r="J38" s="26" t="b">
        <v>1</v>
      </c>
      <c r="K38" s="26" t="b">
        <v>1</v>
      </c>
      <c r="L38" s="26" t="b">
        <v>1</v>
      </c>
      <c r="M38" s="26" t="b">
        <v>1</v>
      </c>
      <c r="N38" s="32">
        <f t="shared" si="3"/>
        <v>1</v>
      </c>
      <c r="O38" s="24" t="s">
        <v>43</v>
      </c>
      <c r="P38" s="28">
        <v>45536.0</v>
      </c>
    </row>
    <row r="39" hidden="1">
      <c r="A39" s="24" t="s">
        <v>101</v>
      </c>
      <c r="B39" s="24" t="s">
        <v>18</v>
      </c>
      <c r="C39" s="24" t="s">
        <v>41</v>
      </c>
      <c r="D39" s="25" t="s">
        <v>102</v>
      </c>
      <c r="E39" s="26" t="b">
        <v>1</v>
      </c>
      <c r="F39" s="26" t="b">
        <v>1</v>
      </c>
      <c r="G39" s="26" t="b">
        <v>1</v>
      </c>
      <c r="H39" s="26" t="b">
        <v>1</v>
      </c>
      <c r="I39" s="26" t="b">
        <v>1</v>
      </c>
      <c r="J39" s="26" t="b">
        <v>1</v>
      </c>
      <c r="K39" s="26" t="b">
        <v>1</v>
      </c>
      <c r="L39" s="26" t="b">
        <v>1</v>
      </c>
      <c r="M39" s="26" t="b">
        <v>1</v>
      </c>
      <c r="N39" s="32">
        <f>If(A39="","",COUNTIF(E39:M39,TRUE)/COUNTA(E39:M39))</f>
        <v>1</v>
      </c>
      <c r="O39" s="24" t="s">
        <v>43</v>
      </c>
      <c r="P39" s="28">
        <v>45536.0</v>
      </c>
    </row>
    <row r="40" hidden="1">
      <c r="A40" s="24" t="s">
        <v>103</v>
      </c>
      <c r="B40" s="24" t="s">
        <v>18</v>
      </c>
      <c r="C40" s="24" t="s">
        <v>45</v>
      </c>
      <c r="D40" s="25" t="s">
        <v>102</v>
      </c>
      <c r="E40" s="26" t="b">
        <v>1</v>
      </c>
      <c r="F40" s="26" t="b">
        <v>1</v>
      </c>
      <c r="G40" s="26" t="b">
        <v>1</v>
      </c>
      <c r="H40" s="26" t="b">
        <v>1</v>
      </c>
      <c r="I40" s="26" t="b">
        <v>1</v>
      </c>
      <c r="J40" s="26" t="b">
        <v>1</v>
      </c>
      <c r="K40" s="26" t="b">
        <v>1</v>
      </c>
      <c r="L40" s="26" t="b">
        <v>1</v>
      </c>
      <c r="M40" s="26" t="b">
        <v>1</v>
      </c>
      <c r="N40" s="32">
        <f>If(A39="","",COUNTIF(E39:M39,TRUE)/COUNTA(E39:M39))</f>
        <v>1</v>
      </c>
      <c r="O40" s="24" t="s">
        <v>43</v>
      </c>
      <c r="P40" s="28">
        <v>45536.0</v>
      </c>
    </row>
    <row r="41" hidden="1">
      <c r="A41" s="24" t="s">
        <v>104</v>
      </c>
      <c r="B41" s="24" t="s">
        <v>18</v>
      </c>
      <c r="C41" s="24" t="s">
        <v>41</v>
      </c>
      <c r="D41" s="25" t="s">
        <v>105</v>
      </c>
      <c r="E41" s="26" t="b">
        <v>1</v>
      </c>
      <c r="F41" s="26" t="b">
        <v>1</v>
      </c>
      <c r="G41" s="26" t="b">
        <v>1</v>
      </c>
      <c r="H41" s="26" t="b">
        <v>1</v>
      </c>
      <c r="I41" s="26" t="b">
        <v>1</v>
      </c>
      <c r="J41" s="26" t="b">
        <v>1</v>
      </c>
      <c r="K41" s="26" t="b">
        <v>1</v>
      </c>
      <c r="L41" s="26" t="b">
        <v>1</v>
      </c>
      <c r="M41" s="26" t="b">
        <v>1</v>
      </c>
      <c r="N41" s="32">
        <f>If(A41="","",COUNTIF(E41:M41,TRUE)/COUNTA(E41:M41))</f>
        <v>1</v>
      </c>
      <c r="O41" s="24" t="s">
        <v>43</v>
      </c>
      <c r="P41" s="28">
        <v>45536.0</v>
      </c>
    </row>
    <row r="42" hidden="1">
      <c r="A42" s="24" t="s">
        <v>96</v>
      </c>
      <c r="B42" s="24" t="s">
        <v>6</v>
      </c>
      <c r="C42" s="24" t="s">
        <v>45</v>
      </c>
      <c r="D42" s="25" t="s">
        <v>105</v>
      </c>
      <c r="E42" s="26" t="b">
        <v>1</v>
      </c>
      <c r="F42" s="26" t="b">
        <v>1</v>
      </c>
      <c r="G42" s="26" t="b">
        <v>1</v>
      </c>
      <c r="H42" s="26" t="b">
        <v>1</v>
      </c>
      <c r="I42" s="26" t="b">
        <v>1</v>
      </c>
      <c r="J42" s="26" t="b">
        <v>1</v>
      </c>
      <c r="K42" s="26" t="b">
        <v>1</v>
      </c>
      <c r="L42" s="26" t="b">
        <v>1</v>
      </c>
      <c r="M42" s="26" t="b">
        <v>1</v>
      </c>
      <c r="N42" s="32">
        <f>If(A41="","",COUNTIF(E41:M41,TRUE)/COUNTA(E41:M41))</f>
        <v>1</v>
      </c>
      <c r="O42" s="24" t="s">
        <v>43</v>
      </c>
      <c r="P42" s="28">
        <v>45536.0</v>
      </c>
    </row>
    <row r="43" hidden="1">
      <c r="A43" s="24" t="s">
        <v>85</v>
      </c>
      <c r="B43" s="24" t="s">
        <v>20</v>
      </c>
      <c r="C43" s="24" t="s">
        <v>41</v>
      </c>
      <c r="D43" s="25" t="s">
        <v>106</v>
      </c>
      <c r="E43" s="26" t="b">
        <v>1</v>
      </c>
      <c r="F43" s="26" t="b">
        <v>1</v>
      </c>
      <c r="G43" s="26" t="b">
        <v>1</v>
      </c>
      <c r="H43" s="26" t="b">
        <v>1</v>
      </c>
      <c r="I43" s="26" t="b">
        <v>1</v>
      </c>
      <c r="J43" s="26" t="b">
        <v>1</v>
      </c>
      <c r="K43" s="26" t="b">
        <v>1</v>
      </c>
      <c r="L43" s="26" t="b">
        <v>1</v>
      </c>
      <c r="M43" s="26" t="b">
        <v>1</v>
      </c>
      <c r="N43" s="32">
        <f t="shared" ref="N43:N66" si="4">If(A43="","",COUNTIF(E43:M43,TRUE)/COUNTA(E43:M43))</f>
        <v>1</v>
      </c>
      <c r="O43" s="24" t="s">
        <v>43</v>
      </c>
      <c r="P43" s="28">
        <v>45536.0</v>
      </c>
    </row>
    <row r="44" hidden="1">
      <c r="A44" s="24" t="s">
        <v>68</v>
      </c>
      <c r="B44" s="24" t="s">
        <v>18</v>
      </c>
      <c r="C44" s="24" t="s">
        <v>41</v>
      </c>
      <c r="D44" s="25" t="s">
        <v>107</v>
      </c>
      <c r="E44" s="26" t="b">
        <v>1</v>
      </c>
      <c r="F44" s="26" t="b">
        <v>1</v>
      </c>
      <c r="G44" s="26" t="b">
        <v>1</v>
      </c>
      <c r="H44" s="26" t="b">
        <v>1</v>
      </c>
      <c r="I44" s="26" t="b">
        <v>1</v>
      </c>
      <c r="J44" s="26" t="b">
        <v>1</v>
      </c>
      <c r="K44" s="26" t="b">
        <v>1</v>
      </c>
      <c r="L44" s="26" t="b">
        <v>1</v>
      </c>
      <c r="M44" s="26" t="b">
        <v>1</v>
      </c>
      <c r="N44" s="32">
        <f t="shared" si="4"/>
        <v>1</v>
      </c>
      <c r="O44" s="24" t="s">
        <v>43</v>
      </c>
      <c r="P44" s="28">
        <v>45536.0</v>
      </c>
    </row>
    <row r="45" hidden="1">
      <c r="A45" s="24" t="s">
        <v>108</v>
      </c>
      <c r="B45" s="24" t="s">
        <v>16</v>
      </c>
      <c r="C45" s="24" t="s">
        <v>41</v>
      </c>
      <c r="D45" s="25" t="s">
        <v>109</v>
      </c>
      <c r="E45" s="26" t="b">
        <v>1</v>
      </c>
      <c r="F45" s="26" t="b">
        <v>1</v>
      </c>
      <c r="G45" s="26" t="b">
        <v>1</v>
      </c>
      <c r="H45" s="26" t="b">
        <v>1</v>
      </c>
      <c r="I45" s="26" t="b">
        <v>1</v>
      </c>
      <c r="J45" s="26" t="b">
        <v>1</v>
      </c>
      <c r="K45" s="26" t="b">
        <v>1</v>
      </c>
      <c r="L45" s="26" t="b">
        <v>1</v>
      </c>
      <c r="M45" s="26" t="b">
        <v>1</v>
      </c>
      <c r="N45" s="32">
        <f t="shared" si="4"/>
        <v>1</v>
      </c>
      <c r="O45" s="24" t="s">
        <v>43</v>
      </c>
      <c r="P45" s="28">
        <v>45536.0</v>
      </c>
    </row>
    <row r="46" hidden="1">
      <c r="A46" s="24" t="s">
        <v>68</v>
      </c>
      <c r="B46" s="24" t="s">
        <v>18</v>
      </c>
      <c r="C46" s="24" t="s">
        <v>45</v>
      </c>
      <c r="D46" s="25" t="s">
        <v>110</v>
      </c>
      <c r="E46" s="26" t="b">
        <v>1</v>
      </c>
      <c r="F46" s="26" t="b">
        <v>1</v>
      </c>
      <c r="G46" s="26" t="b">
        <v>1</v>
      </c>
      <c r="H46" s="26" t="b">
        <v>1</v>
      </c>
      <c r="I46" s="26" t="b">
        <v>1</v>
      </c>
      <c r="J46" s="26" t="b">
        <v>1</v>
      </c>
      <c r="K46" s="26" t="b">
        <v>1</v>
      </c>
      <c r="L46" s="26" t="b">
        <v>1</v>
      </c>
      <c r="M46" s="26" t="b">
        <v>1</v>
      </c>
      <c r="N46" s="32">
        <f t="shared" si="4"/>
        <v>1</v>
      </c>
      <c r="O46" s="24" t="s">
        <v>43</v>
      </c>
      <c r="P46" s="28">
        <v>45536.0</v>
      </c>
    </row>
    <row r="47" hidden="1">
      <c r="A47" s="24" t="s">
        <v>111</v>
      </c>
      <c r="B47" s="24" t="s">
        <v>18</v>
      </c>
      <c r="C47" s="24" t="s">
        <v>45</v>
      </c>
      <c r="D47" s="25" t="s">
        <v>70</v>
      </c>
      <c r="E47" s="26" t="b">
        <v>1</v>
      </c>
      <c r="F47" s="26" t="b">
        <v>1</v>
      </c>
      <c r="G47" s="26" t="b">
        <v>1</v>
      </c>
      <c r="H47" s="26" t="b">
        <v>1</v>
      </c>
      <c r="I47" s="26" t="b">
        <v>1</v>
      </c>
      <c r="J47" s="26" t="b">
        <v>1</v>
      </c>
      <c r="K47" s="26" t="b">
        <v>1</v>
      </c>
      <c r="L47" s="26" t="b">
        <v>1</v>
      </c>
      <c r="M47" s="26" t="b">
        <v>1</v>
      </c>
      <c r="N47" s="32">
        <f t="shared" si="4"/>
        <v>1</v>
      </c>
      <c r="O47" s="24" t="s">
        <v>43</v>
      </c>
      <c r="P47" s="28">
        <v>45536.0</v>
      </c>
    </row>
    <row r="48" hidden="1">
      <c r="A48" s="24" t="s">
        <v>112</v>
      </c>
      <c r="B48" s="24" t="s">
        <v>6</v>
      </c>
      <c r="C48" s="24" t="s">
        <v>45</v>
      </c>
      <c r="D48" s="25" t="s">
        <v>113</v>
      </c>
      <c r="E48" s="26" t="b">
        <v>1</v>
      </c>
      <c r="F48" s="26" t="b">
        <v>1</v>
      </c>
      <c r="G48" s="26" t="b">
        <v>1</v>
      </c>
      <c r="H48" s="26" t="b">
        <v>1</v>
      </c>
      <c r="I48" s="26" t="b">
        <v>1</v>
      </c>
      <c r="J48" s="26" t="b">
        <v>1</v>
      </c>
      <c r="K48" s="26" t="b">
        <v>1</v>
      </c>
      <c r="L48" s="26" t="b">
        <v>1</v>
      </c>
      <c r="M48" s="26" t="b">
        <v>1</v>
      </c>
      <c r="N48" s="32">
        <f t="shared" si="4"/>
        <v>1</v>
      </c>
      <c r="O48" s="24" t="s">
        <v>43</v>
      </c>
      <c r="P48" s="28">
        <v>45536.0</v>
      </c>
    </row>
    <row r="49" hidden="1">
      <c r="A49" s="24" t="s">
        <v>114</v>
      </c>
      <c r="B49" s="24" t="s">
        <v>8</v>
      </c>
      <c r="C49" s="24" t="s">
        <v>45</v>
      </c>
      <c r="D49" s="25" t="s">
        <v>95</v>
      </c>
      <c r="E49" s="26"/>
      <c r="F49" s="26"/>
      <c r="G49" s="26"/>
      <c r="H49" s="26" t="b">
        <v>1</v>
      </c>
      <c r="I49" s="26"/>
      <c r="J49" s="26"/>
      <c r="K49" s="26"/>
      <c r="L49" s="26"/>
      <c r="M49" s="26"/>
      <c r="N49" s="32">
        <f t="shared" si="4"/>
        <v>1</v>
      </c>
      <c r="O49" s="24" t="s">
        <v>43</v>
      </c>
      <c r="P49" s="28">
        <v>45536.0</v>
      </c>
    </row>
    <row r="50" hidden="1">
      <c r="A50" s="24" t="s">
        <v>115</v>
      </c>
      <c r="B50" s="24" t="s">
        <v>12</v>
      </c>
      <c r="C50" s="24" t="s">
        <v>45</v>
      </c>
      <c r="D50" s="25" t="s">
        <v>116</v>
      </c>
      <c r="E50" s="26" t="b">
        <v>1</v>
      </c>
      <c r="F50" s="26" t="b">
        <v>1</v>
      </c>
      <c r="G50" s="26" t="b">
        <v>1</v>
      </c>
      <c r="H50" s="26" t="b">
        <v>1</v>
      </c>
      <c r="I50" s="26" t="b">
        <v>1</v>
      </c>
      <c r="J50" s="26" t="b">
        <v>1</v>
      </c>
      <c r="K50" s="26" t="b">
        <v>1</v>
      </c>
      <c r="L50" s="26" t="b">
        <v>1</v>
      </c>
      <c r="M50" s="26" t="b">
        <v>1</v>
      </c>
      <c r="N50" s="32">
        <f t="shared" si="4"/>
        <v>1</v>
      </c>
      <c r="O50" s="24" t="s">
        <v>43</v>
      </c>
      <c r="P50" s="28">
        <v>45536.0</v>
      </c>
    </row>
    <row r="51" hidden="1">
      <c r="A51" s="24" t="s">
        <v>117</v>
      </c>
      <c r="B51" s="24" t="s">
        <v>6</v>
      </c>
      <c r="C51" s="24" t="s">
        <v>45</v>
      </c>
      <c r="D51" s="25" t="s">
        <v>118</v>
      </c>
      <c r="E51" s="26" t="b">
        <v>1</v>
      </c>
      <c r="F51" s="26" t="b">
        <v>1</v>
      </c>
      <c r="G51" s="26" t="b">
        <v>1</v>
      </c>
      <c r="H51" s="26" t="b">
        <v>1</v>
      </c>
      <c r="I51" s="26" t="b">
        <v>1</v>
      </c>
      <c r="J51" s="26" t="b">
        <v>1</v>
      </c>
      <c r="K51" s="26" t="b">
        <v>1</v>
      </c>
      <c r="L51" s="26" t="b">
        <v>1</v>
      </c>
      <c r="M51" s="26" t="b">
        <v>1</v>
      </c>
      <c r="N51" s="32">
        <f t="shared" si="4"/>
        <v>1</v>
      </c>
      <c r="O51" s="24" t="s">
        <v>43</v>
      </c>
      <c r="P51" s="33">
        <v>45717.0</v>
      </c>
    </row>
    <row r="52" hidden="1">
      <c r="A52" s="24" t="s">
        <v>119</v>
      </c>
      <c r="B52" s="24" t="s">
        <v>6</v>
      </c>
      <c r="C52" s="24" t="s">
        <v>45</v>
      </c>
      <c r="D52" s="25" t="s">
        <v>118</v>
      </c>
      <c r="E52" s="26" t="b">
        <v>1</v>
      </c>
      <c r="F52" s="26" t="b">
        <v>1</v>
      </c>
      <c r="G52" s="26" t="b">
        <v>1</v>
      </c>
      <c r="H52" s="26" t="b">
        <v>1</v>
      </c>
      <c r="I52" s="26" t="b">
        <v>1</v>
      </c>
      <c r="J52" s="26" t="b">
        <v>1</v>
      </c>
      <c r="K52" s="26" t="b">
        <v>1</v>
      </c>
      <c r="L52" s="26" t="b">
        <v>1</v>
      </c>
      <c r="M52" s="26" t="b">
        <v>1</v>
      </c>
      <c r="N52" s="32">
        <f t="shared" si="4"/>
        <v>1</v>
      </c>
      <c r="O52" s="24" t="s">
        <v>43</v>
      </c>
      <c r="P52" s="33">
        <v>45717.0</v>
      </c>
    </row>
    <row r="53" hidden="1">
      <c r="A53" s="24" t="s">
        <v>120</v>
      </c>
      <c r="B53" s="24" t="s">
        <v>18</v>
      </c>
      <c r="C53" s="24" t="s">
        <v>45</v>
      </c>
      <c r="D53" s="25" t="s">
        <v>121</v>
      </c>
      <c r="E53" s="26" t="b">
        <v>1</v>
      </c>
      <c r="F53" s="26" t="b">
        <v>1</v>
      </c>
      <c r="G53" s="26" t="b">
        <v>1</v>
      </c>
      <c r="H53" s="26" t="b">
        <v>1</v>
      </c>
      <c r="I53" s="26" t="b">
        <v>1</v>
      </c>
      <c r="J53" s="26" t="b">
        <v>1</v>
      </c>
      <c r="K53" s="26" t="b">
        <v>1</v>
      </c>
      <c r="L53" s="26" t="b">
        <v>1</v>
      </c>
      <c r="M53" s="26" t="b">
        <v>1</v>
      </c>
      <c r="N53" s="32">
        <f t="shared" si="4"/>
        <v>1</v>
      </c>
      <c r="O53" s="24" t="s">
        <v>43</v>
      </c>
      <c r="P53" s="33">
        <v>45717.0</v>
      </c>
    </row>
    <row r="54" hidden="1">
      <c r="A54" s="24" t="s">
        <v>122</v>
      </c>
      <c r="B54" s="24" t="s">
        <v>6</v>
      </c>
      <c r="C54" s="24" t="s">
        <v>41</v>
      </c>
      <c r="D54" s="25" t="s">
        <v>123</v>
      </c>
      <c r="E54" s="26" t="b">
        <v>1</v>
      </c>
      <c r="F54" s="26" t="b">
        <v>1</v>
      </c>
      <c r="G54" s="26" t="b">
        <v>1</v>
      </c>
      <c r="H54" s="26" t="b">
        <v>1</v>
      </c>
      <c r="I54" s="26" t="b">
        <v>1</v>
      </c>
      <c r="J54" s="26" t="b">
        <v>1</v>
      </c>
      <c r="K54" s="26" t="b">
        <v>1</v>
      </c>
      <c r="L54" s="26" t="b">
        <v>1</v>
      </c>
      <c r="M54" s="26" t="b">
        <v>1</v>
      </c>
      <c r="N54" s="32">
        <f t="shared" si="4"/>
        <v>1</v>
      </c>
      <c r="O54" s="24" t="s">
        <v>43</v>
      </c>
      <c r="P54" s="33">
        <v>45717.0</v>
      </c>
    </row>
    <row r="55" hidden="1">
      <c r="A55" s="24" t="s">
        <v>124</v>
      </c>
      <c r="B55" s="24" t="s">
        <v>16</v>
      </c>
      <c r="C55" s="24" t="s">
        <v>45</v>
      </c>
      <c r="D55" s="25" t="s">
        <v>125</v>
      </c>
      <c r="E55" s="26" t="b">
        <v>1</v>
      </c>
      <c r="F55" s="26" t="b">
        <v>1</v>
      </c>
      <c r="G55" s="26" t="b">
        <v>1</v>
      </c>
      <c r="H55" s="26" t="b">
        <v>1</v>
      </c>
      <c r="I55" s="26" t="b">
        <v>1</v>
      </c>
      <c r="J55" s="26" t="b">
        <v>1</v>
      </c>
      <c r="K55" s="26" t="b">
        <v>1</v>
      </c>
      <c r="L55" s="26" t="b">
        <v>1</v>
      </c>
      <c r="M55" s="26" t="b">
        <v>1</v>
      </c>
      <c r="N55" s="32">
        <f t="shared" si="4"/>
        <v>1</v>
      </c>
      <c r="O55" s="24" t="s">
        <v>43</v>
      </c>
      <c r="P55" s="33">
        <v>45717.0</v>
      </c>
    </row>
    <row r="56" hidden="1">
      <c r="A56" s="24" t="s">
        <v>126</v>
      </c>
      <c r="B56" s="24" t="s">
        <v>6</v>
      </c>
      <c r="C56" s="24" t="s">
        <v>41</v>
      </c>
      <c r="D56" s="25" t="s">
        <v>127</v>
      </c>
      <c r="E56" s="26" t="b">
        <v>1</v>
      </c>
      <c r="F56" s="26" t="b">
        <v>1</v>
      </c>
      <c r="G56" s="26" t="b">
        <v>1</v>
      </c>
      <c r="H56" s="26" t="b">
        <v>1</v>
      </c>
      <c r="I56" s="26" t="b">
        <v>1</v>
      </c>
      <c r="J56" s="26" t="b">
        <v>1</v>
      </c>
      <c r="K56" s="26" t="b">
        <v>1</v>
      </c>
      <c r="L56" s="26" t="b">
        <v>1</v>
      </c>
      <c r="M56" s="26" t="b">
        <v>1</v>
      </c>
      <c r="N56" s="32">
        <f t="shared" si="4"/>
        <v>1</v>
      </c>
      <c r="O56" s="24" t="s">
        <v>43</v>
      </c>
      <c r="P56" s="33">
        <v>45717.0</v>
      </c>
    </row>
    <row r="57" hidden="1">
      <c r="A57" s="24" t="s">
        <v>111</v>
      </c>
      <c r="B57" s="24" t="s">
        <v>18</v>
      </c>
      <c r="C57" s="24" t="s">
        <v>41</v>
      </c>
      <c r="D57" s="25" t="s">
        <v>70</v>
      </c>
      <c r="E57" s="26" t="b">
        <v>1</v>
      </c>
      <c r="F57" s="26" t="b">
        <v>1</v>
      </c>
      <c r="G57" s="26" t="b">
        <v>1</v>
      </c>
      <c r="H57" s="26" t="b">
        <v>1</v>
      </c>
      <c r="I57" s="26" t="b">
        <v>1</v>
      </c>
      <c r="J57" s="26" t="b">
        <v>1</v>
      </c>
      <c r="K57" s="26" t="b">
        <v>1</v>
      </c>
      <c r="L57" s="26" t="b">
        <v>1</v>
      </c>
      <c r="M57" s="26" t="b">
        <v>1</v>
      </c>
      <c r="N57" s="32">
        <f t="shared" si="4"/>
        <v>1</v>
      </c>
      <c r="O57" s="24" t="s">
        <v>43</v>
      </c>
      <c r="P57" s="33">
        <v>45717.0</v>
      </c>
    </row>
    <row r="58" hidden="1">
      <c r="A58" s="24" t="s">
        <v>128</v>
      </c>
      <c r="B58" s="24" t="s">
        <v>8</v>
      </c>
      <c r="C58" s="24" t="s">
        <v>41</v>
      </c>
      <c r="D58" s="25" t="s">
        <v>129</v>
      </c>
      <c r="E58" s="26" t="b">
        <v>1</v>
      </c>
      <c r="F58" s="26" t="b">
        <v>1</v>
      </c>
      <c r="G58" s="26" t="b">
        <v>1</v>
      </c>
      <c r="H58" s="26" t="b">
        <v>1</v>
      </c>
      <c r="I58" s="26" t="b">
        <v>1</v>
      </c>
      <c r="J58" s="26" t="b">
        <v>1</v>
      </c>
      <c r="K58" s="26" t="b">
        <v>1</v>
      </c>
      <c r="L58" s="26" t="b">
        <v>1</v>
      </c>
      <c r="M58" s="26" t="b">
        <v>1</v>
      </c>
      <c r="N58" s="32">
        <f t="shared" si="4"/>
        <v>1</v>
      </c>
      <c r="O58" s="24" t="s">
        <v>43</v>
      </c>
      <c r="P58" s="33">
        <v>45717.0</v>
      </c>
    </row>
    <row r="59" hidden="1">
      <c r="A59" s="24" t="s">
        <v>130</v>
      </c>
      <c r="B59" s="24" t="s">
        <v>16</v>
      </c>
      <c r="C59" s="24" t="s">
        <v>45</v>
      </c>
      <c r="D59" s="25" t="s">
        <v>131</v>
      </c>
      <c r="E59" s="26" t="b">
        <v>1</v>
      </c>
      <c r="F59" s="26" t="b">
        <v>1</v>
      </c>
      <c r="G59" s="26" t="b">
        <v>1</v>
      </c>
      <c r="H59" s="26" t="b">
        <v>1</v>
      </c>
      <c r="I59" s="26" t="b">
        <v>1</v>
      </c>
      <c r="J59" s="26" t="b">
        <v>1</v>
      </c>
      <c r="K59" s="26" t="b">
        <v>1</v>
      </c>
      <c r="L59" s="26" t="b">
        <v>1</v>
      </c>
      <c r="M59" s="26" t="b">
        <v>1</v>
      </c>
      <c r="N59" s="32">
        <f t="shared" si="4"/>
        <v>1</v>
      </c>
      <c r="O59" s="24" t="s">
        <v>43</v>
      </c>
      <c r="P59" s="33">
        <v>45717.0</v>
      </c>
    </row>
    <row r="60" hidden="1">
      <c r="A60" s="24" t="s">
        <v>132</v>
      </c>
      <c r="B60" s="24" t="s">
        <v>12</v>
      </c>
      <c r="C60" s="24" t="s">
        <v>45</v>
      </c>
      <c r="D60" s="25" t="s">
        <v>95</v>
      </c>
      <c r="E60" s="26"/>
      <c r="F60" s="26"/>
      <c r="G60" s="26"/>
      <c r="H60" s="26"/>
      <c r="I60" s="26"/>
      <c r="J60" s="26"/>
      <c r="K60" s="26" t="b">
        <v>1</v>
      </c>
      <c r="L60" s="26"/>
      <c r="M60" s="26"/>
      <c r="N60" s="32">
        <f t="shared" si="4"/>
        <v>1</v>
      </c>
      <c r="O60" s="24" t="s">
        <v>43</v>
      </c>
      <c r="P60" s="33">
        <v>45717.0</v>
      </c>
    </row>
    <row r="61" hidden="1">
      <c r="A61" s="24" t="s">
        <v>133</v>
      </c>
      <c r="B61" s="24" t="s">
        <v>8</v>
      </c>
      <c r="C61" s="24" t="s">
        <v>45</v>
      </c>
      <c r="D61" s="25" t="s">
        <v>95</v>
      </c>
      <c r="E61" s="26"/>
      <c r="F61" s="26"/>
      <c r="G61" s="26"/>
      <c r="H61" s="26" t="b">
        <v>1</v>
      </c>
      <c r="I61" s="26"/>
      <c r="J61" s="26"/>
      <c r="K61" s="26"/>
      <c r="L61" s="26"/>
      <c r="M61" s="26"/>
      <c r="N61" s="32">
        <f t="shared" si="4"/>
        <v>1</v>
      </c>
      <c r="O61" s="24" t="s">
        <v>43</v>
      </c>
      <c r="P61" s="33">
        <v>45717.0</v>
      </c>
    </row>
    <row r="62" hidden="1">
      <c r="A62" s="24" t="s">
        <v>134</v>
      </c>
      <c r="B62" s="24" t="s">
        <v>18</v>
      </c>
      <c r="C62" s="24" t="s">
        <v>41</v>
      </c>
      <c r="D62" s="25" t="s">
        <v>135</v>
      </c>
      <c r="E62" s="26" t="b">
        <v>1</v>
      </c>
      <c r="F62" s="26" t="b">
        <v>1</v>
      </c>
      <c r="G62" s="26" t="b">
        <v>1</v>
      </c>
      <c r="H62" s="26" t="b">
        <v>1</v>
      </c>
      <c r="I62" s="26" t="b">
        <v>1</v>
      </c>
      <c r="J62" s="26" t="b">
        <v>1</v>
      </c>
      <c r="K62" s="26" t="b">
        <v>1</v>
      </c>
      <c r="L62" s="26" t="b">
        <v>1</v>
      </c>
      <c r="M62" s="26" t="b">
        <v>1</v>
      </c>
      <c r="N62" s="32">
        <f t="shared" si="4"/>
        <v>1</v>
      </c>
      <c r="O62" s="24" t="s">
        <v>43</v>
      </c>
      <c r="P62" s="33"/>
    </row>
    <row r="63" hidden="1">
      <c r="A63" s="24" t="s">
        <v>136</v>
      </c>
      <c r="B63" s="24" t="s">
        <v>6</v>
      </c>
      <c r="C63" s="24" t="s">
        <v>41</v>
      </c>
      <c r="D63" s="25" t="s">
        <v>137</v>
      </c>
      <c r="E63" s="26" t="b">
        <v>1</v>
      </c>
      <c r="F63" s="26" t="b">
        <v>1</v>
      </c>
      <c r="G63" s="26" t="b">
        <v>1</v>
      </c>
      <c r="H63" s="26" t="b">
        <v>1</v>
      </c>
      <c r="I63" s="26" t="b">
        <v>1</v>
      </c>
      <c r="J63" s="26" t="b">
        <v>1</v>
      </c>
      <c r="K63" s="26" t="b">
        <v>1</v>
      </c>
      <c r="L63" s="26" t="b">
        <v>1</v>
      </c>
      <c r="M63" s="26" t="b">
        <v>1</v>
      </c>
      <c r="N63" s="32">
        <f t="shared" si="4"/>
        <v>1</v>
      </c>
      <c r="O63" s="24" t="s">
        <v>43</v>
      </c>
      <c r="P63" s="33"/>
    </row>
    <row r="64" hidden="1">
      <c r="A64" s="24" t="s">
        <v>138</v>
      </c>
      <c r="B64" s="24" t="s">
        <v>12</v>
      </c>
      <c r="C64" s="24" t="s">
        <v>41</v>
      </c>
      <c r="D64" s="25" t="s">
        <v>139</v>
      </c>
      <c r="E64" s="26" t="b">
        <v>1</v>
      </c>
      <c r="F64" s="26" t="b">
        <v>1</v>
      </c>
      <c r="G64" s="26" t="b">
        <v>1</v>
      </c>
      <c r="H64" s="26" t="b">
        <v>1</v>
      </c>
      <c r="I64" s="26" t="b">
        <v>1</v>
      </c>
      <c r="J64" s="26" t="b">
        <v>1</v>
      </c>
      <c r="K64" s="26" t="b">
        <v>1</v>
      </c>
      <c r="L64" s="26" t="b">
        <v>1</v>
      </c>
      <c r="M64" s="26" t="b">
        <v>1</v>
      </c>
      <c r="N64" s="32">
        <f t="shared" si="4"/>
        <v>1</v>
      </c>
      <c r="O64" s="24" t="s">
        <v>43</v>
      </c>
      <c r="P64" s="33"/>
    </row>
    <row r="65" hidden="1">
      <c r="A65" s="24" t="s">
        <v>140</v>
      </c>
      <c r="B65" s="24" t="s">
        <v>18</v>
      </c>
      <c r="C65" s="24" t="s">
        <v>41</v>
      </c>
      <c r="D65" s="25" t="s">
        <v>61</v>
      </c>
      <c r="E65" s="26" t="b">
        <v>1</v>
      </c>
      <c r="F65" s="26" t="b">
        <v>1</v>
      </c>
      <c r="G65" s="26" t="b">
        <v>1</v>
      </c>
      <c r="H65" s="26" t="b">
        <v>1</v>
      </c>
      <c r="I65" s="26" t="b">
        <v>1</v>
      </c>
      <c r="J65" s="26" t="b">
        <v>1</v>
      </c>
      <c r="K65" s="26" t="b">
        <v>1</v>
      </c>
      <c r="L65" s="26" t="b">
        <v>1</v>
      </c>
      <c r="M65" s="26" t="b">
        <v>1</v>
      </c>
      <c r="N65" s="32">
        <f t="shared" si="4"/>
        <v>1</v>
      </c>
      <c r="O65" s="24" t="s">
        <v>43</v>
      </c>
      <c r="P65" s="33"/>
    </row>
    <row r="66" hidden="1">
      <c r="A66" s="24" t="s">
        <v>84</v>
      </c>
      <c r="B66" s="24" t="s">
        <v>18</v>
      </c>
      <c r="C66" s="24" t="s">
        <v>41</v>
      </c>
      <c r="D66" s="25" t="s">
        <v>83</v>
      </c>
      <c r="E66" s="26" t="b">
        <v>1</v>
      </c>
      <c r="F66" s="26" t="b">
        <v>1</v>
      </c>
      <c r="G66" s="26" t="b">
        <v>1</v>
      </c>
      <c r="H66" s="26" t="b">
        <v>1</v>
      </c>
      <c r="I66" s="26" t="b">
        <v>1</v>
      </c>
      <c r="J66" s="26" t="b">
        <v>1</v>
      </c>
      <c r="K66" s="26" t="b">
        <v>1</v>
      </c>
      <c r="L66" s="26" t="b">
        <v>1</v>
      </c>
      <c r="M66" s="26" t="b">
        <v>1</v>
      </c>
      <c r="N66" s="32">
        <f t="shared" si="4"/>
        <v>1</v>
      </c>
      <c r="O66" s="24" t="s">
        <v>43</v>
      </c>
      <c r="P66" s="33"/>
    </row>
    <row r="67" hidden="1">
      <c r="A67" s="24" t="s">
        <v>141</v>
      </c>
      <c r="B67" s="24" t="s">
        <v>6</v>
      </c>
      <c r="C67" s="24" t="s">
        <v>45</v>
      </c>
      <c r="D67" s="25" t="s">
        <v>137</v>
      </c>
      <c r="E67" s="26" t="b">
        <v>1</v>
      </c>
      <c r="F67" s="26" t="b">
        <v>1</v>
      </c>
      <c r="G67" s="26" t="b">
        <v>1</v>
      </c>
      <c r="H67" s="26" t="b">
        <v>1</v>
      </c>
      <c r="I67" s="26" t="b">
        <v>1</v>
      </c>
      <c r="J67" s="26" t="b">
        <v>1</v>
      </c>
      <c r="K67" s="26" t="b">
        <v>1</v>
      </c>
      <c r="L67" s="26" t="b">
        <v>1</v>
      </c>
      <c r="M67" s="26" t="b">
        <v>1</v>
      </c>
      <c r="N67" s="32">
        <f>If(A64="","",COUNTIF(E64:M64,TRUE)/COUNTA(E64:M64))</f>
        <v>1</v>
      </c>
      <c r="O67" s="24" t="s">
        <v>43</v>
      </c>
      <c r="P67" s="33"/>
    </row>
    <row r="68" hidden="1">
      <c r="A68" s="24" t="s">
        <v>142</v>
      </c>
      <c r="B68" s="24" t="s">
        <v>14</v>
      </c>
      <c r="C68" s="24" t="s">
        <v>45</v>
      </c>
      <c r="D68" s="25" t="s">
        <v>139</v>
      </c>
      <c r="E68" s="26" t="b">
        <v>1</v>
      </c>
      <c r="F68" s="26" t="b">
        <v>1</v>
      </c>
      <c r="G68" s="26" t="b">
        <v>1</v>
      </c>
      <c r="H68" s="26" t="b">
        <v>1</v>
      </c>
      <c r="I68" s="26" t="b">
        <v>1</v>
      </c>
      <c r="J68" s="26" t="b">
        <v>1</v>
      </c>
      <c r="K68" s="26" t="b">
        <v>1</v>
      </c>
      <c r="L68" s="26" t="b">
        <v>1</v>
      </c>
      <c r="M68" s="26" t="b">
        <v>1</v>
      </c>
      <c r="N68" s="32">
        <f>If(A70="","",COUNTIF(E70:M70,TRUE)/COUNTA(E70:M70))</f>
        <v>1</v>
      </c>
      <c r="O68" s="24" t="s">
        <v>43</v>
      </c>
      <c r="P68" s="33"/>
    </row>
    <row r="69" hidden="1">
      <c r="A69" s="24" t="s">
        <v>143</v>
      </c>
      <c r="B69" s="24" t="s">
        <v>20</v>
      </c>
      <c r="C69" s="24" t="s">
        <v>45</v>
      </c>
      <c r="D69" s="25" t="s">
        <v>61</v>
      </c>
      <c r="E69" s="26" t="b">
        <v>1</v>
      </c>
      <c r="F69" s="26" t="b">
        <v>1</v>
      </c>
      <c r="G69" s="26" t="b">
        <v>1</v>
      </c>
      <c r="H69" s="26" t="b">
        <v>1</v>
      </c>
      <c r="I69" s="26" t="b">
        <v>1</v>
      </c>
      <c r="J69" s="26" t="b">
        <v>1</v>
      </c>
      <c r="K69" s="26" t="b">
        <v>1</v>
      </c>
      <c r="L69" s="26" t="b">
        <v>1</v>
      </c>
      <c r="M69" s="26" t="b">
        <v>1</v>
      </c>
      <c r="N69" s="32">
        <f>If(A67="","",COUNTIF(E67:M67,TRUE)/COUNTA(E67:M67))</f>
        <v>1</v>
      </c>
      <c r="O69" s="24" t="s">
        <v>43</v>
      </c>
      <c r="P69" s="33"/>
    </row>
    <row r="70" hidden="1">
      <c r="A70" s="24" t="s">
        <v>128</v>
      </c>
      <c r="B70" s="24" t="s">
        <v>8</v>
      </c>
      <c r="C70" s="24" t="s">
        <v>45</v>
      </c>
      <c r="D70" s="25" t="s">
        <v>83</v>
      </c>
      <c r="E70" s="26" t="b">
        <v>1</v>
      </c>
      <c r="F70" s="26" t="b">
        <v>1</v>
      </c>
      <c r="G70" s="26" t="b">
        <v>1</v>
      </c>
      <c r="H70" s="26" t="b">
        <v>1</v>
      </c>
      <c r="I70" s="26" t="b">
        <v>1</v>
      </c>
      <c r="J70" s="26" t="b">
        <v>1</v>
      </c>
      <c r="K70" s="26" t="b">
        <v>1</v>
      </c>
      <c r="L70" s="26" t="b">
        <v>1</v>
      </c>
      <c r="M70" s="26" t="b">
        <v>1</v>
      </c>
      <c r="N70" s="32">
        <f>If(A69="","",COUNTIF(E69:M69,TRUE)/COUNTA(E69:M69))</f>
        <v>1</v>
      </c>
      <c r="O70" s="24" t="s">
        <v>43</v>
      </c>
      <c r="P70" s="33"/>
    </row>
    <row r="71" hidden="1">
      <c r="A71" s="24" t="s">
        <v>144</v>
      </c>
      <c r="B71" s="24" t="s">
        <v>18</v>
      </c>
      <c r="C71" s="24" t="s">
        <v>41</v>
      </c>
      <c r="D71" s="25" t="s">
        <v>145</v>
      </c>
      <c r="E71" s="26" t="b">
        <v>1</v>
      </c>
      <c r="F71" s="26" t="b">
        <v>1</v>
      </c>
      <c r="G71" s="26" t="b">
        <v>1</v>
      </c>
      <c r="H71" s="26" t="b">
        <v>1</v>
      </c>
      <c r="I71" s="26" t="b">
        <v>1</v>
      </c>
      <c r="J71" s="26" t="b">
        <v>1</v>
      </c>
      <c r="K71" s="26" t="b">
        <v>1</v>
      </c>
      <c r="L71" s="26" t="b">
        <v>1</v>
      </c>
      <c r="M71" s="26" t="b">
        <v>1</v>
      </c>
      <c r="N71" s="32">
        <f>If(A71="","",COUNTIF(E71:M71,TRUE)/COUNTA(E71:M71))</f>
        <v>1</v>
      </c>
      <c r="O71" s="24" t="s">
        <v>43</v>
      </c>
      <c r="P71" s="33"/>
    </row>
    <row r="72" hidden="1">
      <c r="A72" s="24" t="s">
        <v>146</v>
      </c>
      <c r="B72" s="24" t="s">
        <v>18</v>
      </c>
      <c r="C72" s="24" t="s">
        <v>45</v>
      </c>
      <c r="D72" s="25" t="s">
        <v>145</v>
      </c>
      <c r="E72" s="26" t="b">
        <v>1</v>
      </c>
      <c r="F72" s="26" t="b">
        <v>1</v>
      </c>
      <c r="G72" s="26" t="b">
        <v>1</v>
      </c>
      <c r="H72" s="26" t="b">
        <v>1</v>
      </c>
      <c r="I72" s="26" t="b">
        <v>1</v>
      </c>
      <c r="J72" s="26" t="b">
        <v>1</v>
      </c>
      <c r="K72" s="26" t="b">
        <v>1</v>
      </c>
      <c r="L72" s="26" t="b">
        <v>1</v>
      </c>
      <c r="M72" s="26" t="b">
        <v>1</v>
      </c>
      <c r="N72" s="32">
        <f>If(A71="","",COUNTIF(E71:M71,TRUE)/COUNTA(E71:M71))</f>
        <v>1</v>
      </c>
      <c r="O72" s="24" t="s">
        <v>43</v>
      </c>
      <c r="P72" s="33"/>
    </row>
    <row r="73" hidden="1">
      <c r="A73" s="24" t="s">
        <v>147</v>
      </c>
      <c r="B73" s="24" t="s">
        <v>12</v>
      </c>
      <c r="C73" s="24" t="s">
        <v>41</v>
      </c>
      <c r="D73" s="25" t="s">
        <v>148</v>
      </c>
      <c r="E73" s="26" t="b">
        <v>1</v>
      </c>
      <c r="F73" s="26" t="b">
        <v>1</v>
      </c>
      <c r="G73" s="26" t="b">
        <v>1</v>
      </c>
      <c r="H73" s="26" t="b">
        <v>0</v>
      </c>
      <c r="I73" s="26" t="b">
        <v>1</v>
      </c>
      <c r="J73" s="26" t="b">
        <v>1</v>
      </c>
      <c r="K73" s="26" t="b">
        <v>1</v>
      </c>
      <c r="L73" s="26" t="b">
        <v>1</v>
      </c>
      <c r="M73" s="26" t="b">
        <v>1</v>
      </c>
      <c r="N73" s="32">
        <f t="shared" ref="N73:N75" si="5">If(A73="","",COUNTIF(E73:M73,TRUE)/COUNTA(E73:M73))</f>
        <v>0.8888888889</v>
      </c>
      <c r="O73" s="24" t="s">
        <v>43</v>
      </c>
      <c r="P73" s="33"/>
    </row>
    <row r="74" hidden="1">
      <c r="A74" s="24" t="s">
        <v>149</v>
      </c>
      <c r="B74" s="24" t="s">
        <v>10</v>
      </c>
      <c r="C74" s="24" t="s">
        <v>41</v>
      </c>
      <c r="D74" s="25" t="s">
        <v>150</v>
      </c>
      <c r="E74" s="26" t="b">
        <v>1</v>
      </c>
      <c r="F74" s="26" t="b">
        <v>1</v>
      </c>
      <c r="G74" s="26" t="b">
        <v>1</v>
      </c>
      <c r="H74" s="26" t="b">
        <v>0</v>
      </c>
      <c r="I74" s="26" t="b">
        <v>1</v>
      </c>
      <c r="J74" s="26" t="b">
        <v>1</v>
      </c>
      <c r="K74" s="26" t="b">
        <v>1</v>
      </c>
      <c r="L74" s="26" t="b">
        <v>1</v>
      </c>
      <c r="M74" s="26" t="b">
        <v>1</v>
      </c>
      <c r="N74" s="32">
        <f t="shared" si="5"/>
        <v>0.8888888889</v>
      </c>
      <c r="O74" s="24" t="s">
        <v>43</v>
      </c>
      <c r="P74" s="33"/>
    </row>
    <row r="75" hidden="1">
      <c r="A75" s="24" t="s">
        <v>151</v>
      </c>
      <c r="B75" s="24" t="s">
        <v>14</v>
      </c>
      <c r="C75" s="24" t="s">
        <v>41</v>
      </c>
      <c r="D75" s="25" t="s">
        <v>67</v>
      </c>
      <c r="E75" s="26" t="b">
        <v>1</v>
      </c>
      <c r="F75" s="26" t="b">
        <v>1</v>
      </c>
      <c r="G75" s="26" t="b">
        <v>1</v>
      </c>
      <c r="H75" s="26" t="b">
        <v>1</v>
      </c>
      <c r="I75" s="26" t="b">
        <v>1</v>
      </c>
      <c r="J75" s="26" t="b">
        <v>1</v>
      </c>
      <c r="K75" s="26" t="b">
        <v>1</v>
      </c>
      <c r="L75" s="26" t="b">
        <v>1</v>
      </c>
      <c r="M75" s="26" t="b">
        <v>1</v>
      </c>
      <c r="N75" s="32">
        <f t="shared" si="5"/>
        <v>1</v>
      </c>
      <c r="O75" s="24" t="s">
        <v>43</v>
      </c>
      <c r="P75" s="33"/>
    </row>
    <row r="76" hidden="1">
      <c r="A76" s="24" t="s">
        <v>152</v>
      </c>
      <c r="B76" s="24" t="s">
        <v>18</v>
      </c>
      <c r="C76" s="24" t="s">
        <v>45</v>
      </c>
      <c r="D76" s="25" t="s">
        <v>148</v>
      </c>
      <c r="E76" s="26" t="b">
        <v>1</v>
      </c>
      <c r="F76" s="26" t="b">
        <v>1</v>
      </c>
      <c r="G76" s="26" t="b">
        <v>1</v>
      </c>
      <c r="H76" s="26" t="b">
        <v>1</v>
      </c>
      <c r="I76" s="26" t="b">
        <v>1</v>
      </c>
      <c r="J76" s="26" t="b">
        <v>1</v>
      </c>
      <c r="K76" s="26" t="b">
        <v>1</v>
      </c>
      <c r="L76" s="26" t="b">
        <v>1</v>
      </c>
      <c r="M76" s="26" t="b">
        <v>1</v>
      </c>
      <c r="N76" s="32">
        <f t="shared" ref="N76:N77" si="6">If(A73="","",COUNTIF(E73:M73,TRUE)/COUNTA(E73:M73))</f>
        <v>0.8888888889</v>
      </c>
      <c r="O76" s="24" t="s">
        <v>43</v>
      </c>
      <c r="P76" s="33"/>
    </row>
    <row r="77" hidden="1">
      <c r="A77" s="24" t="s">
        <v>153</v>
      </c>
      <c r="B77" s="24" t="s">
        <v>18</v>
      </c>
      <c r="C77" s="24" t="s">
        <v>45</v>
      </c>
      <c r="D77" s="25" t="s">
        <v>150</v>
      </c>
      <c r="E77" s="26" t="b">
        <v>1</v>
      </c>
      <c r="F77" s="26" t="b">
        <v>1</v>
      </c>
      <c r="G77" s="26" t="b">
        <v>1</v>
      </c>
      <c r="H77" s="26" t="b">
        <v>0</v>
      </c>
      <c r="I77" s="26" t="b">
        <v>1</v>
      </c>
      <c r="J77" s="26" t="b">
        <v>1</v>
      </c>
      <c r="K77" s="26" t="b">
        <v>1</v>
      </c>
      <c r="L77" s="26" t="b">
        <v>1</v>
      </c>
      <c r="M77" s="26" t="b">
        <v>1</v>
      </c>
      <c r="N77" s="32">
        <f t="shared" si="6"/>
        <v>0.8888888889</v>
      </c>
      <c r="O77" s="24" t="s">
        <v>43</v>
      </c>
      <c r="P77" s="33"/>
    </row>
    <row r="78" hidden="1">
      <c r="A78" s="24" t="s">
        <v>154</v>
      </c>
      <c r="B78" s="24" t="s">
        <v>8</v>
      </c>
      <c r="C78" s="24" t="s">
        <v>45</v>
      </c>
      <c r="D78" s="25" t="s">
        <v>155</v>
      </c>
      <c r="E78" s="26" t="b">
        <v>1</v>
      </c>
      <c r="F78" s="26" t="b">
        <v>0</v>
      </c>
      <c r="G78" s="26" t="b">
        <v>1</v>
      </c>
      <c r="H78" s="26" t="b">
        <v>1</v>
      </c>
      <c r="I78" s="26" t="b">
        <v>1</v>
      </c>
      <c r="J78" s="26" t="b">
        <v>1</v>
      </c>
      <c r="K78" s="26" t="b">
        <v>1</v>
      </c>
      <c r="L78" s="26" t="b">
        <v>1</v>
      </c>
      <c r="M78" s="26" t="b">
        <v>1</v>
      </c>
      <c r="N78" s="32">
        <f t="shared" ref="N78:N81" si="7">If(A78="","",COUNTIF(E78:M78,TRUE)/COUNTA(E78:M78))</f>
        <v>0.8888888889</v>
      </c>
      <c r="O78" s="24" t="s">
        <v>43</v>
      </c>
      <c r="P78" s="33"/>
    </row>
    <row r="79" hidden="1">
      <c r="A79" s="24" t="s">
        <v>156</v>
      </c>
      <c r="B79" s="24" t="s">
        <v>8</v>
      </c>
      <c r="C79" s="24" t="s">
        <v>45</v>
      </c>
      <c r="D79" s="25" t="s">
        <v>155</v>
      </c>
      <c r="E79" s="26" t="b">
        <v>1</v>
      </c>
      <c r="F79" s="26" t="b">
        <v>0</v>
      </c>
      <c r="G79" s="26" t="b">
        <v>1</v>
      </c>
      <c r="H79" s="26" t="b">
        <v>1</v>
      </c>
      <c r="I79" s="26" t="b">
        <v>1</v>
      </c>
      <c r="J79" s="26" t="b">
        <v>1</v>
      </c>
      <c r="K79" s="26" t="b">
        <v>1</v>
      </c>
      <c r="L79" s="26" t="b">
        <v>1</v>
      </c>
      <c r="M79" s="26" t="b">
        <v>1</v>
      </c>
      <c r="N79" s="32">
        <f t="shared" si="7"/>
        <v>0.8888888889</v>
      </c>
      <c r="O79" s="24" t="s">
        <v>43</v>
      </c>
      <c r="P79" s="33"/>
    </row>
    <row r="80" hidden="1">
      <c r="A80" s="24" t="s">
        <v>157</v>
      </c>
      <c r="B80" s="24" t="s">
        <v>10</v>
      </c>
      <c r="C80" s="24" t="s">
        <v>45</v>
      </c>
      <c r="D80" s="25" t="s">
        <v>158</v>
      </c>
      <c r="E80" s="26"/>
      <c r="F80" s="26"/>
      <c r="G80" s="26"/>
      <c r="H80" s="26"/>
      <c r="I80" s="26" t="b">
        <v>1</v>
      </c>
      <c r="J80" s="26"/>
      <c r="K80" s="26"/>
      <c r="L80" s="26"/>
      <c r="M80" s="26"/>
      <c r="N80" s="32">
        <f t="shared" si="7"/>
        <v>1</v>
      </c>
      <c r="O80" s="24" t="s">
        <v>43</v>
      </c>
      <c r="P80" s="33"/>
    </row>
    <row r="81" hidden="1">
      <c r="A81" s="24" t="s">
        <v>159</v>
      </c>
      <c r="B81" s="24" t="s">
        <v>14</v>
      </c>
      <c r="C81" s="24" t="s">
        <v>41</v>
      </c>
      <c r="D81" s="25" t="s">
        <v>160</v>
      </c>
      <c r="E81" s="26"/>
      <c r="F81" s="26"/>
      <c r="G81" s="26"/>
      <c r="H81" s="26"/>
      <c r="I81" s="26"/>
      <c r="J81" s="26" t="b">
        <v>1</v>
      </c>
      <c r="K81" s="26"/>
      <c r="L81" s="26"/>
      <c r="M81" s="26"/>
      <c r="N81" s="32">
        <f t="shared" si="7"/>
        <v>1</v>
      </c>
      <c r="O81" s="24" t="s">
        <v>43</v>
      </c>
      <c r="P81" s="33"/>
    </row>
    <row r="82" hidden="1">
      <c r="A82" s="24" t="s">
        <v>161</v>
      </c>
      <c r="B82" s="24" t="s">
        <v>14</v>
      </c>
      <c r="C82" s="24" t="s">
        <v>45</v>
      </c>
      <c r="D82" s="25" t="s">
        <v>160</v>
      </c>
      <c r="E82" s="26"/>
      <c r="F82" s="26"/>
      <c r="G82" s="26"/>
      <c r="H82" s="26"/>
      <c r="I82" s="26"/>
      <c r="J82" s="26" t="b">
        <v>1</v>
      </c>
      <c r="K82" s="26"/>
      <c r="L82" s="26"/>
      <c r="M82" s="26"/>
      <c r="N82" s="32">
        <f>If(A81="","",COUNTIF(E81:M81,TRUE)/COUNTA(E81:M81))</f>
        <v>1</v>
      </c>
      <c r="O82" s="24" t="s">
        <v>43</v>
      </c>
      <c r="P82" s="33"/>
    </row>
    <row r="83" hidden="1">
      <c r="A83" s="24" t="s">
        <v>162</v>
      </c>
      <c r="B83" s="24" t="s">
        <v>18</v>
      </c>
      <c r="C83" s="24" t="s">
        <v>45</v>
      </c>
      <c r="D83" s="25" t="s">
        <v>163</v>
      </c>
      <c r="E83" s="26" t="b">
        <v>1</v>
      </c>
      <c r="F83" s="26" t="b">
        <v>1</v>
      </c>
      <c r="G83" s="26" t="b">
        <v>1</v>
      </c>
      <c r="H83" s="26" t="b">
        <v>1</v>
      </c>
      <c r="I83" s="26" t="b">
        <v>1</v>
      </c>
      <c r="J83" s="26" t="b">
        <v>1</v>
      </c>
      <c r="K83" s="26" t="b">
        <v>1</v>
      </c>
      <c r="L83" s="26" t="b">
        <v>1</v>
      </c>
      <c r="M83" s="26" t="b">
        <v>1</v>
      </c>
      <c r="N83" s="32">
        <f>If(A75="","",COUNTIF(E75:M75,TRUE)/COUNTA(E75:M75))</f>
        <v>1</v>
      </c>
      <c r="O83" s="24" t="s">
        <v>43</v>
      </c>
      <c r="P83" s="33"/>
    </row>
    <row r="84" hidden="1">
      <c r="A84" s="24" t="s">
        <v>164</v>
      </c>
      <c r="B84" s="24" t="s">
        <v>20</v>
      </c>
      <c r="C84" s="24" t="s">
        <v>45</v>
      </c>
      <c r="D84" s="25" t="s">
        <v>59</v>
      </c>
      <c r="E84" s="26" t="b">
        <v>1</v>
      </c>
      <c r="F84" s="26" t="b">
        <v>1</v>
      </c>
      <c r="G84" s="26" t="b">
        <v>1</v>
      </c>
      <c r="H84" s="26" t="b">
        <v>1</v>
      </c>
      <c r="I84" s="26" t="b">
        <v>1</v>
      </c>
      <c r="J84" s="26" t="b">
        <v>1</v>
      </c>
      <c r="K84" s="26" t="b">
        <v>1</v>
      </c>
      <c r="L84" s="26" t="b">
        <v>1</v>
      </c>
      <c r="M84" s="26" t="b">
        <v>1</v>
      </c>
      <c r="N84" s="32">
        <f t="shared" ref="N84:N86" si="8">If(A84="","",COUNTIF(E84:M84,TRUE)/COUNTA(E84:M84))</f>
        <v>1</v>
      </c>
      <c r="O84" s="24" t="s">
        <v>43</v>
      </c>
      <c r="P84" s="33"/>
    </row>
    <row r="85" hidden="1">
      <c r="A85" s="24" t="s">
        <v>165</v>
      </c>
      <c r="B85" s="24" t="s">
        <v>16</v>
      </c>
      <c r="C85" s="24" t="s">
        <v>41</v>
      </c>
      <c r="D85" s="25" t="s">
        <v>74</v>
      </c>
      <c r="E85" s="26" t="b">
        <v>1</v>
      </c>
      <c r="F85" s="26" t="b">
        <v>1</v>
      </c>
      <c r="G85" s="26" t="b">
        <v>1</v>
      </c>
      <c r="H85" s="26" t="b">
        <v>1</v>
      </c>
      <c r="I85" s="26" t="b">
        <v>1</v>
      </c>
      <c r="J85" s="26" t="b">
        <v>1</v>
      </c>
      <c r="K85" s="26" t="b">
        <v>1</v>
      </c>
      <c r="L85" s="26" t="b">
        <v>1</v>
      </c>
      <c r="M85" s="26" t="b">
        <v>1</v>
      </c>
      <c r="N85" s="32">
        <f t="shared" si="8"/>
        <v>1</v>
      </c>
      <c r="O85" s="24" t="s">
        <v>43</v>
      </c>
      <c r="P85" s="33"/>
    </row>
    <row r="86" hidden="1">
      <c r="A86" s="24" t="s">
        <v>166</v>
      </c>
      <c r="B86" s="24" t="s">
        <v>16</v>
      </c>
      <c r="C86" s="24" t="s">
        <v>45</v>
      </c>
      <c r="D86" s="25" t="s">
        <v>167</v>
      </c>
      <c r="E86" s="26" t="b">
        <v>1</v>
      </c>
      <c r="F86" s="26" t="b">
        <v>1</v>
      </c>
      <c r="G86" s="26" t="b">
        <v>1</v>
      </c>
      <c r="H86" s="26" t="b">
        <v>1</v>
      </c>
      <c r="I86" s="26" t="b">
        <v>1</v>
      </c>
      <c r="J86" s="26" t="b">
        <v>1</v>
      </c>
      <c r="K86" s="26" t="b">
        <v>1</v>
      </c>
      <c r="L86" s="26" t="b">
        <v>1</v>
      </c>
      <c r="M86" s="26" t="b">
        <v>1</v>
      </c>
      <c r="N86" s="32">
        <f t="shared" si="8"/>
        <v>1</v>
      </c>
      <c r="O86" s="24" t="s">
        <v>43</v>
      </c>
      <c r="P86" s="33"/>
    </row>
    <row r="87" hidden="1">
      <c r="A87" s="24" t="s">
        <v>168</v>
      </c>
      <c r="B87" s="24" t="s">
        <v>16</v>
      </c>
      <c r="C87" s="24" t="s">
        <v>45</v>
      </c>
      <c r="D87" s="25" t="s">
        <v>74</v>
      </c>
      <c r="E87" s="26" t="b">
        <v>1</v>
      </c>
      <c r="F87" s="26" t="b">
        <v>1</v>
      </c>
      <c r="G87" s="26" t="b">
        <v>1</v>
      </c>
      <c r="H87" s="26" t="b">
        <v>1</v>
      </c>
      <c r="I87" s="26" t="b">
        <v>1</v>
      </c>
      <c r="J87" s="26" t="b">
        <v>1</v>
      </c>
      <c r="K87" s="26" t="b">
        <v>1</v>
      </c>
      <c r="L87" s="26" t="b">
        <v>1</v>
      </c>
      <c r="M87" s="26" t="b">
        <v>1</v>
      </c>
      <c r="N87" s="32">
        <f>If(A85="","",COUNTIF(E85:M85,TRUE)/COUNTA(E85:M85))</f>
        <v>1</v>
      </c>
      <c r="O87" s="24" t="s">
        <v>43</v>
      </c>
      <c r="P87" s="33"/>
    </row>
    <row r="88" hidden="1">
      <c r="A88" s="24" t="s">
        <v>169</v>
      </c>
      <c r="B88" s="24" t="s">
        <v>18</v>
      </c>
      <c r="C88" s="24" t="s">
        <v>45</v>
      </c>
      <c r="D88" s="25" t="s">
        <v>67</v>
      </c>
      <c r="E88" s="26" t="b">
        <v>1</v>
      </c>
      <c r="F88" s="26" t="b">
        <v>1</v>
      </c>
      <c r="G88" s="26" t="b">
        <v>1</v>
      </c>
      <c r="H88" s="26" t="b">
        <v>1</v>
      </c>
      <c r="I88" s="26" t="b">
        <v>1</v>
      </c>
      <c r="J88" s="26" t="b">
        <v>1</v>
      </c>
      <c r="K88" s="26" t="b">
        <v>1</v>
      </c>
      <c r="L88" s="26" t="b">
        <v>1</v>
      </c>
      <c r="M88" s="26" t="b">
        <v>1</v>
      </c>
      <c r="N88" s="32">
        <f t="shared" ref="N88:N91" si="9">If(A88="","",COUNTIF(E88:M88,TRUE)/COUNTA(E88:M88))</f>
        <v>1</v>
      </c>
      <c r="O88" s="24" t="s">
        <v>43</v>
      </c>
      <c r="P88" s="33"/>
    </row>
    <row r="89" hidden="1">
      <c r="A89" s="24" t="s">
        <v>169</v>
      </c>
      <c r="B89" s="24" t="s">
        <v>18</v>
      </c>
      <c r="C89" s="24" t="s">
        <v>41</v>
      </c>
      <c r="D89" s="25" t="s">
        <v>170</v>
      </c>
      <c r="E89" s="26"/>
      <c r="F89" s="26"/>
      <c r="G89" s="26"/>
      <c r="H89" s="26"/>
      <c r="I89" s="26"/>
      <c r="J89" s="26"/>
      <c r="K89" s="26"/>
      <c r="L89" s="26"/>
      <c r="M89" s="26" t="b">
        <v>1</v>
      </c>
      <c r="N89" s="32">
        <f t="shared" si="9"/>
        <v>1</v>
      </c>
      <c r="O89" s="24" t="s">
        <v>43</v>
      </c>
      <c r="P89" s="33"/>
    </row>
    <row r="90" hidden="1">
      <c r="A90" s="24" t="s">
        <v>171</v>
      </c>
      <c r="B90" s="24" t="s">
        <v>18</v>
      </c>
      <c r="C90" s="24" t="s">
        <v>41</v>
      </c>
      <c r="D90" s="25" t="s">
        <v>172</v>
      </c>
      <c r="E90" s="26"/>
      <c r="F90" s="26"/>
      <c r="G90" s="26"/>
      <c r="H90" s="26"/>
      <c r="I90" s="26"/>
      <c r="J90" s="26"/>
      <c r="K90" s="26"/>
      <c r="L90" s="26"/>
      <c r="M90" s="26" t="b">
        <v>1</v>
      </c>
      <c r="N90" s="32">
        <f t="shared" si="9"/>
        <v>1</v>
      </c>
      <c r="O90" s="24" t="s">
        <v>43</v>
      </c>
      <c r="P90" s="33"/>
    </row>
    <row r="91" hidden="1">
      <c r="A91" s="24" t="s">
        <v>104</v>
      </c>
      <c r="B91" s="24" t="s">
        <v>18</v>
      </c>
      <c r="C91" s="24" t="s">
        <v>41</v>
      </c>
      <c r="D91" s="25" t="s">
        <v>173</v>
      </c>
      <c r="E91" s="26"/>
      <c r="F91" s="26"/>
      <c r="G91" s="26"/>
      <c r="H91" s="26"/>
      <c r="I91" s="26"/>
      <c r="J91" s="26"/>
      <c r="K91" s="26"/>
      <c r="L91" s="26"/>
      <c r="M91" s="26" t="b">
        <v>1</v>
      </c>
      <c r="N91" s="32">
        <f t="shared" si="9"/>
        <v>1</v>
      </c>
      <c r="O91" s="24" t="s">
        <v>43</v>
      </c>
      <c r="P91" s="33"/>
    </row>
    <row r="92" hidden="1">
      <c r="A92" s="24" t="s">
        <v>174</v>
      </c>
      <c r="B92" s="24" t="s">
        <v>18</v>
      </c>
      <c r="C92" s="24" t="s">
        <v>45</v>
      </c>
      <c r="D92" s="25" t="s">
        <v>170</v>
      </c>
      <c r="E92" s="26"/>
      <c r="F92" s="26"/>
      <c r="G92" s="26"/>
      <c r="H92" s="26"/>
      <c r="I92" s="26"/>
      <c r="J92" s="26"/>
      <c r="K92" s="26"/>
      <c r="L92" s="26"/>
      <c r="M92" s="26" t="b">
        <v>1</v>
      </c>
      <c r="N92" s="32">
        <f t="shared" ref="N92:N94" si="10">If(A89="","",COUNTIF(E89:M89,TRUE)/COUNTA(E89:M89))</f>
        <v>1</v>
      </c>
      <c r="O92" s="24" t="s">
        <v>43</v>
      </c>
      <c r="P92" s="33"/>
    </row>
    <row r="93" hidden="1">
      <c r="A93" s="24" t="s">
        <v>175</v>
      </c>
      <c r="B93" s="24" t="s">
        <v>18</v>
      </c>
      <c r="C93" s="24" t="s">
        <v>45</v>
      </c>
      <c r="D93" s="25" t="s">
        <v>172</v>
      </c>
      <c r="E93" s="26"/>
      <c r="F93" s="26"/>
      <c r="G93" s="26"/>
      <c r="H93" s="26"/>
      <c r="I93" s="26"/>
      <c r="J93" s="26"/>
      <c r="K93" s="26"/>
      <c r="L93" s="26"/>
      <c r="M93" s="26" t="b">
        <v>1</v>
      </c>
      <c r="N93" s="32">
        <f t="shared" si="10"/>
        <v>1</v>
      </c>
      <c r="O93" s="24" t="s">
        <v>43</v>
      </c>
      <c r="P93" s="33"/>
    </row>
    <row r="94" hidden="1">
      <c r="A94" s="24" t="s">
        <v>176</v>
      </c>
      <c r="B94" s="24" t="s">
        <v>18</v>
      </c>
      <c r="C94" s="24" t="s">
        <v>45</v>
      </c>
      <c r="D94" s="25" t="s">
        <v>173</v>
      </c>
      <c r="E94" s="26"/>
      <c r="F94" s="26"/>
      <c r="G94" s="26"/>
      <c r="H94" s="26"/>
      <c r="I94" s="26"/>
      <c r="J94" s="26"/>
      <c r="K94" s="26"/>
      <c r="L94" s="26"/>
      <c r="M94" s="26" t="b">
        <v>1</v>
      </c>
      <c r="N94" s="32">
        <f t="shared" si="10"/>
        <v>1</v>
      </c>
      <c r="O94" s="24" t="s">
        <v>43</v>
      </c>
      <c r="P94" s="33"/>
    </row>
    <row r="95" hidden="1">
      <c r="A95" s="24" t="s">
        <v>177</v>
      </c>
      <c r="B95" s="24" t="s">
        <v>18</v>
      </c>
      <c r="C95" s="24" t="s">
        <v>41</v>
      </c>
      <c r="D95" s="25" t="s">
        <v>167</v>
      </c>
      <c r="E95" s="26" t="b">
        <v>1</v>
      </c>
      <c r="F95" s="26" t="b">
        <v>1</v>
      </c>
      <c r="G95" s="26" t="b">
        <v>1</v>
      </c>
      <c r="H95" s="26" t="b">
        <v>1</v>
      </c>
      <c r="I95" s="26" t="b">
        <v>1</v>
      </c>
      <c r="J95" s="26" t="b">
        <v>1</v>
      </c>
      <c r="K95" s="26" t="b">
        <v>1</v>
      </c>
      <c r="L95" s="26" t="b">
        <v>1</v>
      </c>
      <c r="M95" s="26" t="b">
        <v>1</v>
      </c>
      <c r="N95" s="32">
        <f>If(A95="","",COUNTIF(E95:M95,TRUE)/COUNTA(E95:M95))</f>
        <v>1</v>
      </c>
      <c r="O95" s="24" t="s">
        <v>43</v>
      </c>
      <c r="P95" s="33"/>
    </row>
    <row r="96" hidden="1">
      <c r="A96" s="24" t="s">
        <v>178</v>
      </c>
      <c r="B96" s="24" t="s">
        <v>18</v>
      </c>
      <c r="C96" s="24" t="s">
        <v>45</v>
      </c>
      <c r="D96" s="25" t="s">
        <v>167</v>
      </c>
      <c r="E96" s="26" t="b">
        <v>1</v>
      </c>
      <c r="F96" s="26" t="b">
        <v>1</v>
      </c>
      <c r="G96" s="26" t="b">
        <v>1</v>
      </c>
      <c r="H96" s="26" t="b">
        <v>1</v>
      </c>
      <c r="I96" s="26" t="b">
        <v>1</v>
      </c>
      <c r="J96" s="26" t="b">
        <v>1</v>
      </c>
      <c r="K96" s="26" t="b">
        <v>1</v>
      </c>
      <c r="L96" s="26" t="b">
        <v>1</v>
      </c>
      <c r="M96" s="26" t="b">
        <v>1</v>
      </c>
      <c r="N96" s="32">
        <f>If(A95="","",COUNTIF(E95:M95,TRUE)/COUNTA(E95:M95))</f>
        <v>1</v>
      </c>
      <c r="O96" s="24" t="s">
        <v>43</v>
      </c>
      <c r="P96" s="33"/>
    </row>
    <row r="97" hidden="1">
      <c r="A97" s="24" t="s">
        <v>179</v>
      </c>
      <c r="B97" s="24" t="s">
        <v>16</v>
      </c>
      <c r="C97" s="24" t="s">
        <v>41</v>
      </c>
      <c r="D97" s="25" t="s">
        <v>180</v>
      </c>
      <c r="E97" s="26" t="b">
        <v>1</v>
      </c>
      <c r="F97" s="26" t="b">
        <v>1</v>
      </c>
      <c r="G97" s="26" t="b">
        <v>1</v>
      </c>
      <c r="H97" s="26" t="b">
        <v>1</v>
      </c>
      <c r="I97" s="26" t="b">
        <v>1</v>
      </c>
      <c r="J97" s="26" t="b">
        <v>1</v>
      </c>
      <c r="K97" s="26" t="b">
        <v>1</v>
      </c>
      <c r="L97" s="26" t="b">
        <v>1</v>
      </c>
      <c r="M97" s="26" t="b">
        <v>1</v>
      </c>
      <c r="N97" s="32">
        <f t="shared" ref="N97:N99" si="11">If(A97="","",COUNTIF(E97:M97,TRUE)/COUNTA(E97:M97))</f>
        <v>1</v>
      </c>
      <c r="O97" s="24" t="s">
        <v>43</v>
      </c>
      <c r="P97" s="33"/>
    </row>
    <row r="98" hidden="1">
      <c r="A98" s="24" t="s">
        <v>181</v>
      </c>
      <c r="B98" s="24" t="s">
        <v>16</v>
      </c>
      <c r="C98" s="24" t="s">
        <v>41</v>
      </c>
      <c r="D98" s="25" t="s">
        <v>116</v>
      </c>
      <c r="E98" s="26" t="b">
        <v>1</v>
      </c>
      <c r="F98" s="26" t="b">
        <v>1</v>
      </c>
      <c r="G98" s="26" t="b">
        <v>1</v>
      </c>
      <c r="H98" s="26" t="b">
        <v>1</v>
      </c>
      <c r="I98" s="26" t="b">
        <v>1</v>
      </c>
      <c r="J98" s="26" t="b">
        <v>1</v>
      </c>
      <c r="K98" s="26" t="b">
        <v>1</v>
      </c>
      <c r="L98" s="26" t="b">
        <v>1</v>
      </c>
      <c r="M98" s="26" t="b">
        <v>1</v>
      </c>
      <c r="N98" s="32">
        <f t="shared" si="11"/>
        <v>1</v>
      </c>
      <c r="O98" s="24" t="s">
        <v>43</v>
      </c>
      <c r="P98" s="33"/>
    </row>
    <row r="99" hidden="1">
      <c r="A99" s="24" t="s">
        <v>182</v>
      </c>
      <c r="B99" s="24" t="s">
        <v>6</v>
      </c>
      <c r="C99" s="24" t="s">
        <v>41</v>
      </c>
      <c r="D99" s="25" t="s">
        <v>67</v>
      </c>
      <c r="E99" s="26" t="b">
        <v>1</v>
      </c>
      <c r="F99" s="26" t="b">
        <v>1</v>
      </c>
      <c r="G99" s="26" t="b">
        <v>1</v>
      </c>
      <c r="H99" s="26" t="b">
        <v>1</v>
      </c>
      <c r="I99" s="26" t="b">
        <v>1</v>
      </c>
      <c r="J99" s="26" t="b">
        <v>1</v>
      </c>
      <c r="K99" s="26" t="b">
        <v>1</v>
      </c>
      <c r="L99" s="26" t="b">
        <v>1</v>
      </c>
      <c r="M99" s="26" t="b">
        <v>1</v>
      </c>
      <c r="N99" s="32">
        <f t="shared" si="11"/>
        <v>1</v>
      </c>
      <c r="O99" s="24" t="s">
        <v>43</v>
      </c>
      <c r="P99" s="33"/>
    </row>
    <row r="100" hidden="1">
      <c r="A100" s="24" t="s">
        <v>142</v>
      </c>
      <c r="B100" s="24" t="s">
        <v>14</v>
      </c>
      <c r="C100" s="24" t="s">
        <v>45</v>
      </c>
      <c r="D100" s="25" t="s">
        <v>180</v>
      </c>
      <c r="E100" s="26" t="b">
        <v>1</v>
      </c>
      <c r="F100" s="26" t="b">
        <v>1</v>
      </c>
      <c r="G100" s="26" t="b">
        <v>1</v>
      </c>
      <c r="H100" s="26" t="b">
        <v>1</v>
      </c>
      <c r="I100" s="26" t="b">
        <v>1</v>
      </c>
      <c r="J100" s="26" t="b">
        <v>1</v>
      </c>
      <c r="K100" s="26" t="b">
        <v>1</v>
      </c>
      <c r="L100" s="26" t="b">
        <v>1</v>
      </c>
      <c r="M100" s="26" t="b">
        <v>1</v>
      </c>
      <c r="N100" s="32">
        <f t="shared" ref="N100:N102" si="12">If(A97="","",COUNTIF(E97:M97,TRUE)/COUNTA(E97:M97))</f>
        <v>1</v>
      </c>
      <c r="O100" s="24" t="s">
        <v>43</v>
      </c>
      <c r="P100" s="33"/>
    </row>
    <row r="101" hidden="1">
      <c r="A101" s="24" t="s">
        <v>183</v>
      </c>
      <c r="B101" s="24" t="s">
        <v>14</v>
      </c>
      <c r="C101" s="24" t="s">
        <v>45</v>
      </c>
      <c r="D101" s="25" t="s">
        <v>116</v>
      </c>
      <c r="E101" s="26" t="b">
        <v>1</v>
      </c>
      <c r="F101" s="26" t="b">
        <v>1</v>
      </c>
      <c r="G101" s="26" t="b">
        <v>1</v>
      </c>
      <c r="H101" s="26" t="b">
        <v>1</v>
      </c>
      <c r="I101" s="26" t="b">
        <v>1</v>
      </c>
      <c r="J101" s="26" t="b">
        <v>1</v>
      </c>
      <c r="K101" s="26" t="b">
        <v>1</v>
      </c>
      <c r="L101" s="26" t="b">
        <v>1</v>
      </c>
      <c r="M101" s="26" t="b">
        <v>1</v>
      </c>
      <c r="N101" s="32">
        <f t="shared" si="12"/>
        <v>1</v>
      </c>
      <c r="O101" s="24" t="s">
        <v>43</v>
      </c>
      <c r="P101" s="33"/>
    </row>
    <row r="102" hidden="1">
      <c r="A102" s="24" t="s">
        <v>184</v>
      </c>
      <c r="B102" s="24" t="s">
        <v>4</v>
      </c>
      <c r="C102" s="24" t="s">
        <v>45</v>
      </c>
      <c r="D102" s="25" t="s">
        <v>67</v>
      </c>
      <c r="E102" s="26" t="b">
        <v>1</v>
      </c>
      <c r="F102" s="26" t="b">
        <v>1</v>
      </c>
      <c r="G102" s="26" t="b">
        <v>1</v>
      </c>
      <c r="H102" s="26" t="b">
        <v>1</v>
      </c>
      <c r="I102" s="26" t="b">
        <v>1</v>
      </c>
      <c r="J102" s="26" t="b">
        <v>1</v>
      </c>
      <c r="K102" s="26" t="b">
        <v>1</v>
      </c>
      <c r="L102" s="26" t="b">
        <v>1</v>
      </c>
      <c r="M102" s="26" t="b">
        <v>1</v>
      </c>
      <c r="N102" s="32">
        <f t="shared" si="12"/>
        <v>1</v>
      </c>
      <c r="O102" s="24" t="s">
        <v>43</v>
      </c>
      <c r="P102" s="33"/>
    </row>
    <row r="103" hidden="1">
      <c r="A103" s="24" t="s">
        <v>185</v>
      </c>
      <c r="B103" s="24" t="s">
        <v>14</v>
      </c>
      <c r="C103" s="24" t="s">
        <v>45</v>
      </c>
      <c r="D103" s="25" t="s">
        <v>95</v>
      </c>
      <c r="E103" s="26"/>
      <c r="F103" s="26"/>
      <c r="G103" s="26"/>
      <c r="H103" s="26"/>
      <c r="I103" s="26"/>
      <c r="J103" s="26" t="b">
        <v>1</v>
      </c>
      <c r="K103" s="26"/>
      <c r="L103" s="26"/>
      <c r="M103" s="26"/>
      <c r="N103" s="32">
        <f t="shared" ref="N103:N104" si="13">If(A103="","",COUNTIF(E103:M103,TRUE)/COUNTA(E103:M103))</f>
        <v>1</v>
      </c>
      <c r="O103" s="24" t="s">
        <v>43</v>
      </c>
      <c r="P103" s="33"/>
    </row>
    <row r="104" hidden="1">
      <c r="A104" s="24" t="s">
        <v>174</v>
      </c>
      <c r="B104" s="24" t="s">
        <v>18</v>
      </c>
      <c r="C104" s="24" t="s">
        <v>41</v>
      </c>
      <c r="D104" s="25" t="s">
        <v>186</v>
      </c>
      <c r="E104" s="26"/>
      <c r="F104" s="26"/>
      <c r="G104" s="26"/>
      <c r="H104" s="26"/>
      <c r="I104" s="26"/>
      <c r="J104" s="26"/>
      <c r="K104" s="26"/>
      <c r="L104" s="26"/>
      <c r="M104" s="26" t="b">
        <v>1</v>
      </c>
      <c r="N104" s="32">
        <f t="shared" si="13"/>
        <v>1</v>
      </c>
      <c r="O104" s="24" t="s">
        <v>43</v>
      </c>
      <c r="P104" s="33"/>
    </row>
    <row r="105" hidden="1">
      <c r="A105" s="24" t="s">
        <v>187</v>
      </c>
      <c r="B105" s="24" t="s">
        <v>18</v>
      </c>
      <c r="C105" s="24" t="s">
        <v>45</v>
      </c>
      <c r="D105" s="25" t="s">
        <v>186</v>
      </c>
      <c r="E105" s="26"/>
      <c r="F105" s="26"/>
      <c r="G105" s="26"/>
      <c r="H105" s="26"/>
      <c r="I105" s="26"/>
      <c r="J105" s="26"/>
      <c r="K105" s="26"/>
      <c r="L105" s="26"/>
      <c r="M105" s="26" t="b">
        <v>1</v>
      </c>
      <c r="N105" s="32">
        <f>If(A104="","",COUNTIF(E104:M104,TRUE)/COUNTA(E104:M104))</f>
        <v>1</v>
      </c>
      <c r="O105" s="24" t="s">
        <v>43</v>
      </c>
      <c r="P105" s="33"/>
    </row>
    <row r="106" hidden="1">
      <c r="A106" s="24" t="s">
        <v>188</v>
      </c>
      <c r="B106" s="24" t="s">
        <v>14</v>
      </c>
      <c r="C106" s="24" t="s">
        <v>45</v>
      </c>
      <c r="D106" s="25" t="s">
        <v>173</v>
      </c>
      <c r="E106" s="26"/>
      <c r="F106" s="26"/>
      <c r="G106" s="26"/>
      <c r="H106" s="26"/>
      <c r="I106" s="26"/>
      <c r="J106" s="26" t="b">
        <v>1</v>
      </c>
      <c r="K106" s="26"/>
      <c r="L106" s="26"/>
      <c r="M106" s="26"/>
      <c r="N106" s="32">
        <f t="shared" ref="N106:N109" si="14">If(A106="","",COUNTIF(E106:M106,TRUE)/COUNTA(E106:M106))</f>
        <v>1</v>
      </c>
      <c r="O106" s="24" t="s">
        <v>43</v>
      </c>
      <c r="P106" s="33"/>
    </row>
    <row r="107" hidden="1">
      <c r="A107" s="24" t="s">
        <v>50</v>
      </c>
      <c r="B107" s="24" t="s">
        <v>10</v>
      </c>
      <c r="C107" s="24" t="s">
        <v>41</v>
      </c>
      <c r="D107" s="25" t="s">
        <v>189</v>
      </c>
      <c r="E107" s="26" t="b">
        <v>1</v>
      </c>
      <c r="F107" s="26" t="b">
        <v>1</v>
      </c>
      <c r="G107" s="26" t="b">
        <v>1</v>
      </c>
      <c r="H107" s="26" t="b">
        <v>1</v>
      </c>
      <c r="I107" s="26" t="b">
        <v>1</v>
      </c>
      <c r="J107" s="26" t="b">
        <v>1</v>
      </c>
      <c r="K107" s="26" t="b">
        <v>1</v>
      </c>
      <c r="L107" s="26" t="b">
        <v>1</v>
      </c>
      <c r="M107" s="26" t="b">
        <v>1</v>
      </c>
      <c r="N107" s="32">
        <f t="shared" si="14"/>
        <v>1</v>
      </c>
      <c r="O107" s="24" t="s">
        <v>43</v>
      </c>
      <c r="P107" s="33"/>
    </row>
    <row r="108" hidden="1">
      <c r="A108" s="24" t="s">
        <v>166</v>
      </c>
      <c r="B108" s="24" t="s">
        <v>16</v>
      </c>
      <c r="C108" s="24" t="s">
        <v>41</v>
      </c>
      <c r="D108" s="25" t="s">
        <v>190</v>
      </c>
      <c r="E108" s="26" t="b">
        <v>1</v>
      </c>
      <c r="F108" s="26" t="b">
        <v>1</v>
      </c>
      <c r="G108" s="26" t="b">
        <v>1</v>
      </c>
      <c r="H108" s="26" t="b">
        <v>1</v>
      </c>
      <c r="I108" s="26" t="b">
        <v>1</v>
      </c>
      <c r="J108" s="26" t="b">
        <v>1</v>
      </c>
      <c r="K108" s="26" t="b">
        <v>1</v>
      </c>
      <c r="L108" s="26" t="b">
        <v>1</v>
      </c>
      <c r="M108" s="26" t="b">
        <v>1</v>
      </c>
      <c r="N108" s="32">
        <f t="shared" si="14"/>
        <v>1</v>
      </c>
      <c r="O108" s="24" t="s">
        <v>43</v>
      </c>
      <c r="P108" s="33"/>
    </row>
    <row r="109" hidden="1">
      <c r="A109" s="24" t="s">
        <v>191</v>
      </c>
      <c r="B109" s="24" t="s">
        <v>6</v>
      </c>
      <c r="C109" s="24" t="s">
        <v>41</v>
      </c>
      <c r="D109" s="25" t="s">
        <v>67</v>
      </c>
      <c r="E109" s="26" t="b">
        <v>1</v>
      </c>
      <c r="F109" s="26" t="b">
        <v>1</v>
      </c>
      <c r="G109" s="26" t="b">
        <v>1</v>
      </c>
      <c r="H109" s="26" t="b">
        <v>1</v>
      </c>
      <c r="I109" s="26" t="b">
        <v>1</v>
      </c>
      <c r="J109" s="26" t="b">
        <v>1</v>
      </c>
      <c r="K109" s="26" t="b">
        <v>1</v>
      </c>
      <c r="L109" s="26" t="b">
        <v>1</v>
      </c>
      <c r="M109" s="26" t="b">
        <v>1</v>
      </c>
      <c r="N109" s="32">
        <f t="shared" si="14"/>
        <v>1</v>
      </c>
      <c r="O109" s="24" t="s">
        <v>43</v>
      </c>
      <c r="P109" s="33"/>
    </row>
    <row r="110" hidden="1">
      <c r="A110" s="24" t="s">
        <v>192</v>
      </c>
      <c r="B110" s="24" t="s">
        <v>20</v>
      </c>
      <c r="C110" s="24" t="s">
        <v>45</v>
      </c>
      <c r="D110" s="25" t="s">
        <v>189</v>
      </c>
      <c r="E110" s="26" t="b">
        <v>1</v>
      </c>
      <c r="F110" s="26" t="b">
        <v>1</v>
      </c>
      <c r="G110" s="26" t="b">
        <v>1</v>
      </c>
      <c r="H110" s="26" t="b">
        <v>1</v>
      </c>
      <c r="I110" s="26" t="b">
        <v>1</v>
      </c>
      <c r="J110" s="26" t="b">
        <v>1</v>
      </c>
      <c r="K110" s="26" t="b">
        <v>1</v>
      </c>
      <c r="L110" s="26" t="b">
        <v>1</v>
      </c>
      <c r="M110" s="26" t="b">
        <v>1</v>
      </c>
      <c r="N110" s="32">
        <f t="shared" ref="N110:N112" si="15">If(A107="","",COUNTIF(E107:M107,TRUE)/COUNTA(E107:M107))</f>
        <v>1</v>
      </c>
      <c r="O110" s="24" t="s">
        <v>43</v>
      </c>
      <c r="P110" s="33"/>
    </row>
    <row r="111" hidden="1">
      <c r="A111" s="24" t="s">
        <v>193</v>
      </c>
      <c r="B111" s="24" t="s">
        <v>10</v>
      </c>
      <c r="C111" s="24" t="s">
        <v>45</v>
      </c>
      <c r="D111" s="25" t="s">
        <v>190</v>
      </c>
      <c r="E111" s="26" t="b">
        <v>1</v>
      </c>
      <c r="F111" s="26" t="b">
        <v>1</v>
      </c>
      <c r="G111" s="26" t="b">
        <v>1</v>
      </c>
      <c r="H111" s="26" t="b">
        <v>1</v>
      </c>
      <c r="I111" s="26" t="b">
        <v>1</v>
      </c>
      <c r="J111" s="26" t="b">
        <v>1</v>
      </c>
      <c r="K111" s="26" t="b">
        <v>1</v>
      </c>
      <c r="L111" s="26" t="b">
        <v>1</v>
      </c>
      <c r="M111" s="26" t="b">
        <v>1</v>
      </c>
      <c r="N111" s="32">
        <f t="shared" si="15"/>
        <v>1</v>
      </c>
      <c r="O111" s="24" t="s">
        <v>43</v>
      </c>
      <c r="P111" s="33"/>
    </row>
    <row r="112" hidden="1">
      <c r="A112" s="24" t="s">
        <v>194</v>
      </c>
      <c r="B112" s="24" t="s">
        <v>16</v>
      </c>
      <c r="C112" s="24" t="s">
        <v>45</v>
      </c>
      <c r="D112" s="25" t="s">
        <v>67</v>
      </c>
      <c r="E112" s="26" t="b">
        <v>1</v>
      </c>
      <c r="F112" s="26" t="b">
        <v>1</v>
      </c>
      <c r="G112" s="26" t="b">
        <v>1</v>
      </c>
      <c r="H112" s="26" t="b">
        <v>1</v>
      </c>
      <c r="I112" s="26" t="b">
        <v>1</v>
      </c>
      <c r="J112" s="26" t="b">
        <v>1</v>
      </c>
      <c r="K112" s="26" t="b">
        <v>1</v>
      </c>
      <c r="L112" s="26" t="b">
        <v>1</v>
      </c>
      <c r="M112" s="26" t="b">
        <v>1</v>
      </c>
      <c r="N112" s="32">
        <f t="shared" si="15"/>
        <v>1</v>
      </c>
      <c r="O112" s="24" t="s">
        <v>43</v>
      </c>
      <c r="P112" s="33"/>
    </row>
    <row r="113" hidden="1">
      <c r="A113" s="24" t="s">
        <v>195</v>
      </c>
      <c r="B113" s="24" t="s">
        <v>16</v>
      </c>
      <c r="C113" s="24" t="s">
        <v>45</v>
      </c>
      <c r="D113" s="25" t="s">
        <v>97</v>
      </c>
      <c r="E113" s="26"/>
      <c r="F113" s="26"/>
      <c r="G113" s="26"/>
      <c r="H113" s="26"/>
      <c r="I113" s="26"/>
      <c r="J113" s="26"/>
      <c r="K113" s="26"/>
      <c r="L113" s="26" t="b">
        <v>1</v>
      </c>
      <c r="M113" s="26"/>
      <c r="N113" s="32">
        <f t="shared" ref="N113:N117" si="16">If(A113="","",COUNTIF(E113:M113,TRUE)/COUNTA(E113:M113))</f>
        <v>1</v>
      </c>
      <c r="O113" s="24" t="s">
        <v>43</v>
      </c>
      <c r="P113" s="33"/>
    </row>
    <row r="114" hidden="1">
      <c r="A114" s="24" t="s">
        <v>196</v>
      </c>
      <c r="B114" s="24" t="s">
        <v>16</v>
      </c>
      <c r="C114" s="24" t="s">
        <v>45</v>
      </c>
      <c r="D114" s="25" t="s">
        <v>97</v>
      </c>
      <c r="E114" s="26"/>
      <c r="F114" s="26"/>
      <c r="G114" s="26"/>
      <c r="H114" s="26"/>
      <c r="I114" s="26"/>
      <c r="J114" s="26"/>
      <c r="K114" s="26"/>
      <c r="L114" s="26" t="b">
        <v>1</v>
      </c>
      <c r="M114" s="26"/>
      <c r="N114" s="32">
        <f t="shared" si="16"/>
        <v>1</v>
      </c>
      <c r="O114" s="24" t="s">
        <v>43</v>
      </c>
      <c r="P114" s="33"/>
    </row>
    <row r="115" hidden="1">
      <c r="A115" s="24" t="s">
        <v>197</v>
      </c>
      <c r="B115" s="24" t="s">
        <v>16</v>
      </c>
      <c r="C115" s="24" t="s">
        <v>45</v>
      </c>
      <c r="D115" s="25" t="s">
        <v>97</v>
      </c>
      <c r="E115" s="26"/>
      <c r="F115" s="26"/>
      <c r="G115" s="26"/>
      <c r="H115" s="26"/>
      <c r="I115" s="26"/>
      <c r="J115" s="26"/>
      <c r="K115" s="26"/>
      <c r="L115" s="26" t="b">
        <v>1</v>
      </c>
      <c r="M115" s="26"/>
      <c r="N115" s="32">
        <f t="shared" si="16"/>
        <v>1</v>
      </c>
      <c r="O115" s="24" t="s">
        <v>43</v>
      </c>
      <c r="P115" s="33"/>
    </row>
    <row r="116" hidden="1">
      <c r="A116" s="24" t="s">
        <v>96</v>
      </c>
      <c r="B116" s="24" t="s">
        <v>6</v>
      </c>
      <c r="C116" s="24" t="s">
        <v>41</v>
      </c>
      <c r="D116" s="25" t="s">
        <v>198</v>
      </c>
      <c r="E116" s="26" t="b">
        <v>1</v>
      </c>
      <c r="F116" s="26" t="b">
        <v>1</v>
      </c>
      <c r="G116" s="26" t="b">
        <v>1</v>
      </c>
      <c r="H116" s="26" t="b">
        <v>1</v>
      </c>
      <c r="I116" s="26" t="b">
        <v>1</v>
      </c>
      <c r="J116" s="26" t="b">
        <v>1</v>
      </c>
      <c r="K116" s="26" t="b">
        <v>1</v>
      </c>
      <c r="L116" s="26" t="b">
        <v>1</v>
      </c>
      <c r="M116" s="26" t="b">
        <v>1</v>
      </c>
      <c r="N116" s="32">
        <f t="shared" si="16"/>
        <v>1</v>
      </c>
      <c r="O116" s="24" t="s">
        <v>43</v>
      </c>
      <c r="P116" s="33"/>
    </row>
    <row r="117" hidden="1">
      <c r="A117" s="24" t="s">
        <v>199</v>
      </c>
      <c r="B117" s="24" t="s">
        <v>18</v>
      </c>
      <c r="C117" s="24" t="s">
        <v>45</v>
      </c>
      <c r="D117" s="25" t="s">
        <v>97</v>
      </c>
      <c r="E117" s="26"/>
      <c r="F117" s="26"/>
      <c r="G117" s="26"/>
      <c r="H117" s="26"/>
      <c r="I117" s="26"/>
      <c r="J117" s="26"/>
      <c r="K117" s="26"/>
      <c r="L117" s="26"/>
      <c r="M117" s="26" t="b">
        <v>1</v>
      </c>
      <c r="N117" s="32">
        <f t="shared" si="16"/>
        <v>1</v>
      </c>
      <c r="O117" s="24" t="s">
        <v>43</v>
      </c>
      <c r="P117" s="33"/>
    </row>
    <row r="118" hidden="1">
      <c r="A118" s="24" t="s">
        <v>199</v>
      </c>
      <c r="B118" s="24" t="s">
        <v>18</v>
      </c>
      <c r="C118" s="24" t="s">
        <v>45</v>
      </c>
      <c r="D118" s="25" t="s">
        <v>198</v>
      </c>
      <c r="E118" s="26" t="b">
        <v>1</v>
      </c>
      <c r="F118" s="26" t="b">
        <v>1</v>
      </c>
      <c r="G118" s="26" t="b">
        <v>1</v>
      </c>
      <c r="H118" s="26" t="b">
        <v>1</v>
      </c>
      <c r="I118" s="26" t="b">
        <v>1</v>
      </c>
      <c r="J118" s="26" t="b">
        <v>1</v>
      </c>
      <c r="K118" s="26" t="b">
        <v>1</v>
      </c>
      <c r="L118" s="26" t="b">
        <v>1</v>
      </c>
      <c r="M118" s="26" t="b">
        <v>1</v>
      </c>
      <c r="N118" s="32">
        <f>If(A116="","",COUNTIF(E116:M116,TRUE)/COUNTA(E116:M116))</f>
        <v>1</v>
      </c>
      <c r="O118" s="24" t="s">
        <v>43</v>
      </c>
      <c r="P118" s="33"/>
    </row>
    <row r="119" hidden="1">
      <c r="A119" s="24" t="s">
        <v>192</v>
      </c>
      <c r="B119" s="24" t="s">
        <v>20</v>
      </c>
      <c r="C119" s="24" t="s">
        <v>41</v>
      </c>
      <c r="D119" s="25" t="s">
        <v>200</v>
      </c>
      <c r="E119" s="26"/>
      <c r="F119" s="26" t="b">
        <v>1</v>
      </c>
      <c r="G119" s="26"/>
      <c r="H119" s="26"/>
      <c r="I119" s="26"/>
      <c r="J119" s="26"/>
      <c r="K119" s="26"/>
      <c r="L119" s="26"/>
      <c r="M119" s="26"/>
      <c r="N119" s="32">
        <f>If(A119="","",COUNTIF(E119:M119,TRUE)/COUNTA(E119:M119))</f>
        <v>1</v>
      </c>
      <c r="O119" s="24" t="s">
        <v>43</v>
      </c>
      <c r="P119" s="33"/>
    </row>
    <row r="120" hidden="1">
      <c r="A120" s="24" t="s">
        <v>201</v>
      </c>
      <c r="B120" s="24" t="s">
        <v>20</v>
      </c>
      <c r="C120" s="24" t="s">
        <v>45</v>
      </c>
      <c r="D120" s="25" t="s">
        <v>200</v>
      </c>
      <c r="E120" s="26"/>
      <c r="F120" s="26" t="b">
        <v>1</v>
      </c>
      <c r="G120" s="26"/>
      <c r="H120" s="26"/>
      <c r="I120" s="26"/>
      <c r="J120" s="26"/>
      <c r="K120" s="26"/>
      <c r="L120" s="26"/>
      <c r="M120" s="26"/>
      <c r="N120" s="32">
        <f>If(A119="","",COUNTIF(E119:M119,TRUE)/COUNTA(E119:M119))</f>
        <v>1</v>
      </c>
      <c r="O120" s="24" t="s">
        <v>43</v>
      </c>
      <c r="P120" s="33"/>
    </row>
    <row r="121" hidden="1">
      <c r="A121" s="24" t="s">
        <v>202</v>
      </c>
      <c r="B121" s="24" t="s">
        <v>20</v>
      </c>
      <c r="C121" s="24" t="s">
        <v>41</v>
      </c>
      <c r="D121" s="25" t="s">
        <v>203</v>
      </c>
      <c r="E121" s="26"/>
      <c r="F121" s="26" t="b">
        <v>1</v>
      </c>
      <c r="G121" s="26"/>
      <c r="H121" s="26"/>
      <c r="I121" s="26"/>
      <c r="J121" s="26"/>
      <c r="K121" s="26"/>
      <c r="L121" s="26"/>
      <c r="M121" s="26"/>
      <c r="N121" s="32">
        <f>If(A121="","",COUNTIF(E121:M121,TRUE)/COUNTA(E121:M121))</f>
        <v>1</v>
      </c>
      <c r="O121" s="24" t="s">
        <v>43</v>
      </c>
      <c r="P121" s="33"/>
    </row>
    <row r="122" hidden="1">
      <c r="A122" s="24" t="s">
        <v>204</v>
      </c>
      <c r="B122" s="24" t="s">
        <v>20</v>
      </c>
      <c r="C122" s="24" t="s">
        <v>45</v>
      </c>
      <c r="D122" s="25" t="s">
        <v>203</v>
      </c>
      <c r="E122" s="26"/>
      <c r="F122" s="26" t="b">
        <v>1</v>
      </c>
      <c r="G122" s="26"/>
      <c r="H122" s="26"/>
      <c r="I122" s="26"/>
      <c r="J122" s="26"/>
      <c r="K122" s="26"/>
      <c r="L122" s="26"/>
      <c r="M122" s="26"/>
      <c r="N122" s="32">
        <f>If(A121="","",COUNTIF(E121:M121,TRUE)/COUNTA(E121:M121))</f>
        <v>1</v>
      </c>
      <c r="O122" s="24" t="s">
        <v>43</v>
      </c>
      <c r="P122" s="33"/>
    </row>
    <row r="123" hidden="1">
      <c r="A123" s="24" t="s">
        <v>205</v>
      </c>
      <c r="B123" s="24" t="s">
        <v>10</v>
      </c>
      <c r="C123" s="24" t="s">
        <v>41</v>
      </c>
      <c r="D123" s="25" t="s">
        <v>67</v>
      </c>
      <c r="E123" s="26" t="b">
        <v>1</v>
      </c>
      <c r="F123" s="26" t="b">
        <v>1</v>
      </c>
      <c r="G123" s="26" t="b">
        <v>1</v>
      </c>
      <c r="H123" s="26" t="b">
        <v>1</v>
      </c>
      <c r="I123" s="26" t="b">
        <v>1</v>
      </c>
      <c r="J123" s="26" t="b">
        <v>1</v>
      </c>
      <c r="K123" s="26" t="b">
        <v>1</v>
      </c>
      <c r="L123" s="26" t="b">
        <v>1</v>
      </c>
      <c r="M123" s="26" t="b">
        <v>1</v>
      </c>
      <c r="N123" s="32">
        <f t="shared" ref="N123:N125" si="17">If(A123="","",COUNTIF(E123:M123,TRUE)/COUNTA(E123:M123))</f>
        <v>1</v>
      </c>
      <c r="O123" s="24" t="s">
        <v>43</v>
      </c>
      <c r="P123" s="33"/>
    </row>
    <row r="124" hidden="1">
      <c r="A124" s="24" t="s">
        <v>80</v>
      </c>
      <c r="B124" s="24" t="s">
        <v>18</v>
      </c>
      <c r="C124" s="24" t="s">
        <v>41</v>
      </c>
      <c r="D124" s="25" t="s">
        <v>206</v>
      </c>
      <c r="E124" s="26" t="b">
        <v>1</v>
      </c>
      <c r="F124" s="26" t="b">
        <v>1</v>
      </c>
      <c r="G124" s="26" t="b">
        <v>1</v>
      </c>
      <c r="H124" s="26" t="b">
        <v>1</v>
      </c>
      <c r="I124" s="26" t="b">
        <v>1</v>
      </c>
      <c r="J124" s="26" t="b">
        <v>1</v>
      </c>
      <c r="K124" s="26" t="b">
        <v>1</v>
      </c>
      <c r="L124" s="26" t="b">
        <v>1</v>
      </c>
      <c r="M124" s="26" t="b">
        <v>1</v>
      </c>
      <c r="N124" s="32">
        <f t="shared" si="17"/>
        <v>1</v>
      </c>
      <c r="O124" s="24" t="s">
        <v>43</v>
      </c>
      <c r="P124" s="33"/>
    </row>
    <row r="125" hidden="1">
      <c r="A125" s="24" t="s">
        <v>207</v>
      </c>
      <c r="B125" s="24" t="s">
        <v>18</v>
      </c>
      <c r="C125" s="24" t="s">
        <v>41</v>
      </c>
      <c r="D125" s="25" t="s">
        <v>206</v>
      </c>
      <c r="E125" s="26" t="b">
        <v>1</v>
      </c>
      <c r="F125" s="26" t="b">
        <v>1</v>
      </c>
      <c r="G125" s="26" t="b">
        <v>1</v>
      </c>
      <c r="H125" s="26" t="b">
        <v>1</v>
      </c>
      <c r="I125" s="26" t="b">
        <v>1</v>
      </c>
      <c r="J125" s="26" t="b">
        <v>1</v>
      </c>
      <c r="K125" s="26" t="b">
        <v>1</v>
      </c>
      <c r="L125" s="26" t="b">
        <v>1</v>
      </c>
      <c r="M125" s="26" t="b">
        <v>1</v>
      </c>
      <c r="N125" s="32">
        <f t="shared" si="17"/>
        <v>1</v>
      </c>
      <c r="O125" s="24" t="s">
        <v>43</v>
      </c>
      <c r="P125" s="33"/>
    </row>
    <row r="126" hidden="1">
      <c r="A126" s="24" t="s">
        <v>208</v>
      </c>
      <c r="B126" s="24" t="s">
        <v>6</v>
      </c>
      <c r="C126" s="24" t="s">
        <v>45</v>
      </c>
      <c r="D126" s="25" t="s">
        <v>209</v>
      </c>
      <c r="E126" s="26" t="b">
        <v>1</v>
      </c>
      <c r="F126" s="26" t="b">
        <v>1</v>
      </c>
      <c r="G126" s="26" t="b">
        <v>1</v>
      </c>
      <c r="H126" s="26" t="b">
        <v>1</v>
      </c>
      <c r="I126" s="26" t="b">
        <v>1</v>
      </c>
      <c r="J126" s="26" t="b">
        <v>1</v>
      </c>
      <c r="K126" s="26" t="b">
        <v>1</v>
      </c>
      <c r="L126" s="26" t="b">
        <v>1</v>
      </c>
      <c r="M126" s="26" t="b">
        <v>1</v>
      </c>
      <c r="N126" s="32">
        <f t="shared" ref="N126:N127" si="18">If(A123="","",COUNTIF(E123:M123,TRUE)/COUNTA(E123:M123))</f>
        <v>1</v>
      </c>
      <c r="O126" s="24" t="s">
        <v>43</v>
      </c>
      <c r="P126" s="33"/>
    </row>
    <row r="127" hidden="1">
      <c r="A127" s="24" t="s">
        <v>210</v>
      </c>
      <c r="B127" s="24" t="s">
        <v>6</v>
      </c>
      <c r="C127" s="24" t="s">
        <v>45</v>
      </c>
      <c r="D127" s="25" t="s">
        <v>206</v>
      </c>
      <c r="E127" s="26" t="b">
        <v>1</v>
      </c>
      <c r="F127" s="26" t="b">
        <v>1</v>
      </c>
      <c r="G127" s="26" t="b">
        <v>1</v>
      </c>
      <c r="H127" s="26" t="b">
        <v>1</v>
      </c>
      <c r="I127" s="26" t="b">
        <v>1</v>
      </c>
      <c r="J127" s="26" t="b">
        <v>1</v>
      </c>
      <c r="K127" s="26" t="b">
        <v>1</v>
      </c>
      <c r="L127" s="26" t="b">
        <v>1</v>
      </c>
      <c r="M127" s="26" t="b">
        <v>1</v>
      </c>
      <c r="N127" s="32">
        <f t="shared" si="18"/>
        <v>1</v>
      </c>
      <c r="O127" s="24" t="s">
        <v>43</v>
      </c>
      <c r="P127" s="33"/>
    </row>
    <row r="128" hidden="1">
      <c r="A128" s="24" t="s">
        <v>208</v>
      </c>
      <c r="B128" s="24" t="s">
        <v>6</v>
      </c>
      <c r="C128" s="24" t="s">
        <v>41</v>
      </c>
      <c r="D128" s="25" t="s">
        <v>170</v>
      </c>
      <c r="E128" s="26"/>
      <c r="F128" s="26"/>
      <c r="G128" s="26" t="b">
        <v>1</v>
      </c>
      <c r="H128" s="26"/>
      <c r="I128" s="26"/>
      <c r="J128" s="26"/>
      <c r="K128" s="26"/>
      <c r="L128" s="26"/>
      <c r="M128" s="26"/>
      <c r="N128" s="32">
        <f t="shared" ref="N128:N130" si="19">If(A128="","",COUNTIF(E128:M128,TRUE)/COUNTA(E128:M128))</f>
        <v>1</v>
      </c>
      <c r="O128" s="24" t="s">
        <v>43</v>
      </c>
      <c r="P128" s="33"/>
    </row>
    <row r="129" hidden="1">
      <c r="A129" s="24" t="s">
        <v>211</v>
      </c>
      <c r="B129" s="24" t="s">
        <v>6</v>
      </c>
      <c r="C129" s="24" t="s">
        <v>41</v>
      </c>
      <c r="D129" s="25" t="s">
        <v>172</v>
      </c>
      <c r="E129" s="26"/>
      <c r="F129" s="26"/>
      <c r="G129" s="26" t="b">
        <v>1</v>
      </c>
      <c r="H129" s="26"/>
      <c r="I129" s="26"/>
      <c r="J129" s="26"/>
      <c r="K129" s="26"/>
      <c r="L129" s="26"/>
      <c r="M129" s="26"/>
      <c r="N129" s="32">
        <f t="shared" si="19"/>
        <v>1</v>
      </c>
      <c r="O129" s="24" t="s">
        <v>43</v>
      </c>
      <c r="P129" s="33"/>
    </row>
    <row r="130" hidden="1">
      <c r="A130" s="24" t="s">
        <v>212</v>
      </c>
      <c r="B130" s="24" t="s">
        <v>6</v>
      </c>
      <c r="C130" s="24" t="s">
        <v>41</v>
      </c>
      <c r="D130" s="25" t="s">
        <v>173</v>
      </c>
      <c r="E130" s="26"/>
      <c r="F130" s="26"/>
      <c r="G130" s="26" t="b">
        <v>1</v>
      </c>
      <c r="H130" s="26"/>
      <c r="I130" s="26"/>
      <c r="J130" s="26"/>
      <c r="K130" s="26"/>
      <c r="L130" s="26"/>
      <c r="M130" s="26"/>
      <c r="N130" s="32">
        <f t="shared" si="19"/>
        <v>1</v>
      </c>
      <c r="O130" s="24" t="s">
        <v>43</v>
      </c>
      <c r="P130" s="33"/>
    </row>
    <row r="131" hidden="1">
      <c r="A131" s="24" t="s">
        <v>213</v>
      </c>
      <c r="B131" s="24" t="s">
        <v>6</v>
      </c>
      <c r="C131" s="24" t="s">
        <v>45</v>
      </c>
      <c r="D131" s="25" t="s">
        <v>170</v>
      </c>
      <c r="E131" s="26"/>
      <c r="F131" s="26"/>
      <c r="G131" s="26" t="b">
        <v>1</v>
      </c>
      <c r="H131" s="26"/>
      <c r="I131" s="26"/>
      <c r="J131" s="26"/>
      <c r="K131" s="26"/>
      <c r="L131" s="26"/>
      <c r="M131" s="26"/>
      <c r="N131" s="32">
        <f t="shared" ref="N131:N133" si="20">If(A128="","",COUNTIF(E128:M128,TRUE)/COUNTA(E128:M128))</f>
        <v>1</v>
      </c>
      <c r="O131" s="24" t="s">
        <v>43</v>
      </c>
      <c r="P131" s="33"/>
    </row>
    <row r="132" hidden="1">
      <c r="A132" s="24" t="s">
        <v>214</v>
      </c>
      <c r="B132" s="24" t="s">
        <v>6</v>
      </c>
      <c r="C132" s="24" t="s">
        <v>45</v>
      </c>
      <c r="D132" s="25" t="s">
        <v>172</v>
      </c>
      <c r="E132" s="26"/>
      <c r="F132" s="26"/>
      <c r="G132" s="26" t="b">
        <v>1</v>
      </c>
      <c r="H132" s="26"/>
      <c r="I132" s="26"/>
      <c r="J132" s="26"/>
      <c r="K132" s="26"/>
      <c r="L132" s="26"/>
      <c r="M132" s="26"/>
      <c r="N132" s="32">
        <f t="shared" si="20"/>
        <v>1</v>
      </c>
      <c r="O132" s="24" t="s">
        <v>43</v>
      </c>
      <c r="P132" s="33"/>
    </row>
    <row r="133" hidden="1">
      <c r="A133" s="24" t="s">
        <v>215</v>
      </c>
      <c r="B133" s="24" t="s">
        <v>6</v>
      </c>
      <c r="C133" s="24" t="s">
        <v>45</v>
      </c>
      <c r="D133" s="25" t="s">
        <v>173</v>
      </c>
      <c r="E133" s="26"/>
      <c r="F133" s="26"/>
      <c r="G133" s="26" t="b">
        <v>1</v>
      </c>
      <c r="H133" s="26"/>
      <c r="I133" s="26"/>
      <c r="J133" s="26"/>
      <c r="K133" s="26"/>
      <c r="L133" s="26"/>
      <c r="M133" s="26"/>
      <c r="N133" s="32">
        <f t="shared" si="20"/>
        <v>1</v>
      </c>
      <c r="O133" s="24" t="s">
        <v>43</v>
      </c>
      <c r="P133" s="33"/>
    </row>
    <row r="134" hidden="1">
      <c r="A134" s="24" t="s">
        <v>216</v>
      </c>
      <c r="B134" s="24" t="s">
        <v>18</v>
      </c>
      <c r="C134" s="24" t="s">
        <v>45</v>
      </c>
      <c r="D134" s="25" t="s">
        <v>95</v>
      </c>
      <c r="E134" s="26"/>
      <c r="F134" s="26"/>
      <c r="G134" s="26"/>
      <c r="H134" s="26"/>
      <c r="I134" s="26"/>
      <c r="J134" s="26"/>
      <c r="K134" s="26"/>
      <c r="L134" s="26"/>
      <c r="M134" s="26" t="b">
        <v>1</v>
      </c>
      <c r="N134" s="32">
        <f t="shared" ref="N134:N135" si="21">If(A134="","",COUNTIF(E134:M134,TRUE)/COUNTA(E134:M134))</f>
        <v>1</v>
      </c>
      <c r="O134" s="24" t="s">
        <v>43</v>
      </c>
      <c r="P134" s="33">
        <v>46089.0</v>
      </c>
    </row>
    <row r="135" hidden="1">
      <c r="A135" s="24" t="s">
        <v>193</v>
      </c>
      <c r="B135" s="24" t="s">
        <v>10</v>
      </c>
      <c r="C135" s="24" t="s">
        <v>41</v>
      </c>
      <c r="D135" s="25" t="s">
        <v>158</v>
      </c>
      <c r="E135" s="26"/>
      <c r="F135" s="26"/>
      <c r="G135" s="26"/>
      <c r="H135" s="26"/>
      <c r="I135" s="26" t="b">
        <v>1</v>
      </c>
      <c r="J135" s="26"/>
      <c r="K135" s="26"/>
      <c r="L135" s="26"/>
      <c r="M135" s="26"/>
      <c r="N135" s="32">
        <f t="shared" si="21"/>
        <v>1</v>
      </c>
      <c r="O135" s="24" t="s">
        <v>43</v>
      </c>
      <c r="P135" s="33"/>
    </row>
    <row r="136" hidden="1">
      <c r="A136" s="24" t="s">
        <v>217</v>
      </c>
      <c r="B136" s="24" t="s">
        <v>10</v>
      </c>
      <c r="C136" s="24" t="s">
        <v>45</v>
      </c>
      <c r="D136" s="25" t="s">
        <v>158</v>
      </c>
      <c r="E136" s="26"/>
      <c r="F136" s="26"/>
      <c r="G136" s="26"/>
      <c r="H136" s="26"/>
      <c r="I136" s="26" t="b">
        <v>1</v>
      </c>
      <c r="J136" s="26"/>
      <c r="K136" s="26"/>
      <c r="L136" s="26"/>
      <c r="M136" s="26"/>
      <c r="N136" s="32">
        <f>If(A135="","",COUNTIF(E135:M135,TRUE)/COUNTA(E135:M135))</f>
        <v>1</v>
      </c>
      <c r="O136" s="24" t="s">
        <v>43</v>
      </c>
      <c r="P136" s="33"/>
    </row>
    <row r="137" hidden="1">
      <c r="A137" s="24" t="s">
        <v>218</v>
      </c>
      <c r="B137" s="24" t="s">
        <v>20</v>
      </c>
      <c r="C137" s="24" t="s">
        <v>45</v>
      </c>
      <c r="D137" s="25" t="s">
        <v>95</v>
      </c>
      <c r="E137" s="26"/>
      <c r="F137" s="26" t="b">
        <v>1</v>
      </c>
      <c r="G137" s="26"/>
      <c r="H137" s="26"/>
      <c r="I137" s="26"/>
      <c r="J137" s="26"/>
      <c r="K137" s="26"/>
      <c r="L137" s="26"/>
      <c r="M137" s="26"/>
      <c r="N137" s="32">
        <f t="shared" ref="N137:N143" si="22">If(A137="","",COUNTIF(E137:M137,TRUE)/COUNTA(E137:M137))</f>
        <v>1</v>
      </c>
      <c r="O137" s="24" t="s">
        <v>43</v>
      </c>
      <c r="P137" s="33">
        <v>46089.0</v>
      </c>
    </row>
    <row r="138" hidden="1">
      <c r="A138" s="24" t="s">
        <v>219</v>
      </c>
      <c r="B138" s="24" t="s">
        <v>4</v>
      </c>
      <c r="C138" s="24" t="s">
        <v>45</v>
      </c>
      <c r="D138" s="25" t="s">
        <v>95</v>
      </c>
      <c r="E138" s="26" t="b">
        <v>1</v>
      </c>
      <c r="F138" s="26"/>
      <c r="G138" s="26"/>
      <c r="H138" s="26"/>
      <c r="I138" s="26"/>
      <c r="J138" s="26"/>
      <c r="K138" s="26"/>
      <c r="L138" s="26"/>
      <c r="M138" s="26"/>
      <c r="N138" s="32">
        <f t="shared" si="22"/>
        <v>1</v>
      </c>
      <c r="O138" s="24" t="s">
        <v>43</v>
      </c>
      <c r="P138" s="33">
        <v>46089.0</v>
      </c>
    </row>
    <row r="139" hidden="1">
      <c r="A139" s="24" t="s">
        <v>220</v>
      </c>
      <c r="B139" s="24" t="s">
        <v>18</v>
      </c>
      <c r="C139" s="24" t="s">
        <v>45</v>
      </c>
      <c r="D139" s="25" t="s">
        <v>221</v>
      </c>
      <c r="E139" s="26" t="b">
        <v>1</v>
      </c>
      <c r="F139" s="26" t="b">
        <v>1</v>
      </c>
      <c r="G139" s="26" t="b">
        <v>1</v>
      </c>
      <c r="H139" s="26" t="b">
        <v>1</v>
      </c>
      <c r="I139" s="26" t="b">
        <v>1</v>
      </c>
      <c r="J139" s="26" t="b">
        <v>1</v>
      </c>
      <c r="K139" s="26" t="b">
        <v>1</v>
      </c>
      <c r="L139" s="26" t="b">
        <v>1</v>
      </c>
      <c r="M139" s="26" t="b">
        <v>1</v>
      </c>
      <c r="N139" s="32">
        <f t="shared" si="22"/>
        <v>1</v>
      </c>
      <c r="O139" s="24" t="s">
        <v>43</v>
      </c>
      <c r="P139" s="33"/>
    </row>
    <row r="140" hidden="1">
      <c r="A140" s="24" t="s">
        <v>222</v>
      </c>
      <c r="B140" s="24" t="s">
        <v>20</v>
      </c>
      <c r="C140" s="24" t="s">
        <v>45</v>
      </c>
      <c r="D140" s="25" t="s">
        <v>158</v>
      </c>
      <c r="E140" s="26"/>
      <c r="F140" s="26" t="b">
        <v>1</v>
      </c>
      <c r="G140" s="26"/>
      <c r="H140" s="26"/>
      <c r="I140" s="26"/>
      <c r="J140" s="26"/>
      <c r="K140" s="26"/>
      <c r="L140" s="26"/>
      <c r="M140" s="26"/>
      <c r="N140" s="32">
        <f t="shared" si="22"/>
        <v>1</v>
      </c>
      <c r="O140" s="24" t="s">
        <v>43</v>
      </c>
      <c r="P140" s="33"/>
    </row>
    <row r="141" hidden="1">
      <c r="A141" s="24" t="s">
        <v>223</v>
      </c>
      <c r="B141" s="24" t="s">
        <v>10</v>
      </c>
      <c r="C141" s="24" t="s">
        <v>41</v>
      </c>
      <c r="D141" s="25" t="s">
        <v>224</v>
      </c>
      <c r="E141" s="26" t="b">
        <v>1</v>
      </c>
      <c r="F141" s="26" t="b">
        <v>1</v>
      </c>
      <c r="G141" s="26" t="b">
        <v>1</v>
      </c>
      <c r="H141" s="26" t="b">
        <v>1</v>
      </c>
      <c r="I141" s="26" t="b">
        <v>1</v>
      </c>
      <c r="J141" s="26" t="b">
        <v>1</v>
      </c>
      <c r="K141" s="26" t="b">
        <v>1</v>
      </c>
      <c r="L141" s="26" t="b">
        <v>1</v>
      </c>
      <c r="M141" s="26" t="b">
        <v>1</v>
      </c>
      <c r="N141" s="32">
        <f t="shared" si="22"/>
        <v>1</v>
      </c>
      <c r="O141" s="24" t="s">
        <v>43</v>
      </c>
      <c r="P141" s="33"/>
    </row>
    <row r="142" hidden="1">
      <c r="A142" s="24" t="s">
        <v>225</v>
      </c>
      <c r="B142" s="24" t="s">
        <v>18</v>
      </c>
      <c r="C142" s="24" t="s">
        <v>41</v>
      </c>
      <c r="D142" s="25" t="s">
        <v>226</v>
      </c>
      <c r="E142" s="26" t="b">
        <v>1</v>
      </c>
      <c r="F142" s="26" t="b">
        <v>1</v>
      </c>
      <c r="G142" s="26" t="b">
        <v>1</v>
      </c>
      <c r="H142" s="26" t="b">
        <v>1</v>
      </c>
      <c r="I142" s="26" t="b">
        <v>1</v>
      </c>
      <c r="J142" s="26" t="b">
        <v>1</v>
      </c>
      <c r="K142" s="26" t="b">
        <v>1</v>
      </c>
      <c r="L142" s="26" t="b">
        <v>1</v>
      </c>
      <c r="M142" s="26" t="b">
        <v>1</v>
      </c>
      <c r="N142" s="32">
        <f t="shared" si="22"/>
        <v>1</v>
      </c>
      <c r="O142" s="24" t="s">
        <v>43</v>
      </c>
      <c r="P142" s="33"/>
    </row>
    <row r="143" hidden="1">
      <c r="A143" s="24" t="s">
        <v>44</v>
      </c>
      <c r="B143" s="24" t="s">
        <v>10</v>
      </c>
      <c r="C143" s="24" t="s">
        <v>41</v>
      </c>
      <c r="D143" s="25" t="s">
        <v>42</v>
      </c>
      <c r="E143" s="26" t="b">
        <v>1</v>
      </c>
      <c r="F143" s="26" t="b">
        <v>1</v>
      </c>
      <c r="G143" s="26" t="b">
        <v>1</v>
      </c>
      <c r="H143" s="26" t="b">
        <v>1</v>
      </c>
      <c r="I143" s="26" t="b">
        <v>1</v>
      </c>
      <c r="J143" s="26" t="b">
        <v>1</v>
      </c>
      <c r="K143" s="26" t="b">
        <v>1</v>
      </c>
      <c r="L143" s="26" t="b">
        <v>1</v>
      </c>
      <c r="M143" s="26" t="b">
        <v>1</v>
      </c>
      <c r="N143" s="32">
        <f t="shared" si="22"/>
        <v>1</v>
      </c>
      <c r="O143" s="24" t="s">
        <v>43</v>
      </c>
      <c r="P143" s="33"/>
    </row>
    <row r="144" hidden="1">
      <c r="A144" s="24" t="s">
        <v>227</v>
      </c>
      <c r="B144" s="24" t="s">
        <v>12</v>
      </c>
      <c r="C144" s="24" t="s">
        <v>45</v>
      </c>
      <c r="D144" s="25" t="s">
        <v>224</v>
      </c>
      <c r="E144" s="26" t="b">
        <v>1</v>
      </c>
      <c r="F144" s="26" t="b">
        <v>1</v>
      </c>
      <c r="G144" s="26" t="b">
        <v>1</v>
      </c>
      <c r="H144" s="26" t="b">
        <v>1</v>
      </c>
      <c r="I144" s="26" t="b">
        <v>1</v>
      </c>
      <c r="J144" s="26" t="b">
        <v>1</v>
      </c>
      <c r="K144" s="26" t="b">
        <v>1</v>
      </c>
      <c r="L144" s="26" t="b">
        <v>1</v>
      </c>
      <c r="M144" s="26" t="b">
        <v>1</v>
      </c>
      <c r="N144" s="32">
        <f t="shared" ref="N144:N146" si="23">If(A141="","",COUNTIF(E141:M141,TRUE)/COUNTA(E141:M141))</f>
        <v>1</v>
      </c>
      <c r="O144" s="24" t="s">
        <v>43</v>
      </c>
      <c r="P144" s="33"/>
    </row>
    <row r="145" hidden="1">
      <c r="A145" s="24" t="s">
        <v>228</v>
      </c>
      <c r="B145" s="24" t="s">
        <v>16</v>
      </c>
      <c r="C145" s="24" t="s">
        <v>45</v>
      </c>
      <c r="D145" s="25" t="s">
        <v>226</v>
      </c>
      <c r="E145" s="26" t="b">
        <v>1</v>
      </c>
      <c r="F145" s="26" t="b">
        <v>1</v>
      </c>
      <c r="G145" s="26" t="b">
        <v>1</v>
      </c>
      <c r="H145" s="26" t="b">
        <v>1</v>
      </c>
      <c r="I145" s="26" t="b">
        <v>1</v>
      </c>
      <c r="J145" s="26" t="b">
        <v>1</v>
      </c>
      <c r="K145" s="26" t="b">
        <v>1</v>
      </c>
      <c r="L145" s="26" t="b">
        <v>1</v>
      </c>
      <c r="M145" s="26" t="b">
        <v>1</v>
      </c>
      <c r="N145" s="32">
        <f t="shared" si="23"/>
        <v>1</v>
      </c>
      <c r="O145" s="24" t="s">
        <v>43</v>
      </c>
      <c r="P145" s="33"/>
    </row>
    <row r="146" hidden="1">
      <c r="A146" s="24" t="s">
        <v>229</v>
      </c>
      <c r="B146" s="24" t="s">
        <v>14</v>
      </c>
      <c r="C146" s="24" t="s">
        <v>45</v>
      </c>
      <c r="D146" s="25" t="s">
        <v>42</v>
      </c>
      <c r="E146" s="26" t="b">
        <v>1</v>
      </c>
      <c r="F146" s="26" t="b">
        <v>1</v>
      </c>
      <c r="G146" s="26" t="b">
        <v>1</v>
      </c>
      <c r="H146" s="26" t="b">
        <v>1</v>
      </c>
      <c r="I146" s="26" t="b">
        <v>1</v>
      </c>
      <c r="J146" s="26" t="b">
        <v>1</v>
      </c>
      <c r="K146" s="26" t="b">
        <v>1</v>
      </c>
      <c r="L146" s="26" t="b">
        <v>1</v>
      </c>
      <c r="M146" s="26" t="b">
        <v>1</v>
      </c>
      <c r="N146" s="32">
        <f t="shared" si="23"/>
        <v>1</v>
      </c>
      <c r="O146" s="24" t="s">
        <v>43</v>
      </c>
      <c r="P146" s="33"/>
    </row>
    <row r="147" hidden="1">
      <c r="A147" s="24" t="s">
        <v>230</v>
      </c>
      <c r="B147" s="24" t="s">
        <v>20</v>
      </c>
      <c r="C147" s="24" t="s">
        <v>45</v>
      </c>
      <c r="D147" s="25" t="s">
        <v>231</v>
      </c>
      <c r="E147" s="26"/>
      <c r="F147" s="26" t="b">
        <v>1</v>
      </c>
      <c r="G147" s="26"/>
      <c r="H147" s="26"/>
      <c r="I147" s="26"/>
      <c r="J147" s="26"/>
      <c r="K147" s="26"/>
      <c r="L147" s="26"/>
      <c r="M147" s="26"/>
      <c r="N147" s="32">
        <f t="shared" ref="N147:N148" si="24">If(A147="","",COUNTIF(E147:M147,TRUE)/COUNTA(E147:M147))</f>
        <v>1</v>
      </c>
      <c r="O147" s="24" t="s">
        <v>43</v>
      </c>
      <c r="P147" s="33"/>
    </row>
    <row r="148" hidden="1">
      <c r="A148" s="24" t="s">
        <v>232</v>
      </c>
      <c r="B148" s="24" t="s">
        <v>12</v>
      </c>
      <c r="C148" s="24" t="s">
        <v>41</v>
      </c>
      <c r="D148" s="25" t="s">
        <v>172</v>
      </c>
      <c r="E148" s="26"/>
      <c r="F148" s="26"/>
      <c r="G148" s="26"/>
      <c r="H148" s="26"/>
      <c r="I148" s="26"/>
      <c r="J148" s="26"/>
      <c r="K148" s="26" t="b">
        <v>1</v>
      </c>
      <c r="L148" s="26"/>
      <c r="M148" s="26"/>
      <c r="N148" s="32">
        <f t="shared" si="24"/>
        <v>1</v>
      </c>
      <c r="O148" s="24" t="s">
        <v>43</v>
      </c>
      <c r="P148" s="33"/>
    </row>
    <row r="149" hidden="1">
      <c r="A149" s="24" t="s">
        <v>233</v>
      </c>
      <c r="B149" s="24" t="s">
        <v>12</v>
      </c>
      <c r="C149" s="24" t="s">
        <v>45</v>
      </c>
      <c r="D149" s="25" t="s">
        <v>172</v>
      </c>
      <c r="E149" s="26"/>
      <c r="F149" s="26"/>
      <c r="G149" s="26"/>
      <c r="H149" s="26"/>
      <c r="I149" s="26"/>
      <c r="J149" s="26"/>
      <c r="K149" s="26" t="b">
        <v>1</v>
      </c>
      <c r="L149" s="26"/>
      <c r="M149" s="26"/>
      <c r="N149" s="32">
        <f>If(A148="","",COUNTIF(E148:M148,TRUE)/COUNTA(E148:M148))</f>
        <v>1</v>
      </c>
      <c r="O149" s="24" t="s">
        <v>43</v>
      </c>
      <c r="P149" s="33"/>
    </row>
    <row r="150" hidden="1">
      <c r="A150" s="24" t="s">
        <v>233</v>
      </c>
      <c r="B150" s="24" t="s">
        <v>12</v>
      </c>
      <c r="C150" s="24" t="s">
        <v>41</v>
      </c>
      <c r="D150" s="25" t="s">
        <v>173</v>
      </c>
      <c r="E150" s="26"/>
      <c r="F150" s="26"/>
      <c r="G150" s="26"/>
      <c r="H150" s="26"/>
      <c r="I150" s="26"/>
      <c r="J150" s="26"/>
      <c r="K150" s="26" t="b">
        <v>1</v>
      </c>
      <c r="L150" s="26"/>
      <c r="M150" s="26"/>
      <c r="N150" s="32">
        <f>If(A150="","",COUNTIF(E150:M150,TRUE)/COUNTA(E150:M150))</f>
        <v>1</v>
      </c>
      <c r="O150" s="24" t="s">
        <v>43</v>
      </c>
      <c r="P150" s="33"/>
    </row>
    <row r="151" hidden="1">
      <c r="A151" s="24" t="s">
        <v>234</v>
      </c>
      <c r="B151" s="24" t="s">
        <v>12</v>
      </c>
      <c r="C151" s="24" t="s">
        <v>45</v>
      </c>
      <c r="D151" s="25" t="s">
        <v>173</v>
      </c>
      <c r="E151" s="26"/>
      <c r="F151" s="26"/>
      <c r="G151" s="26"/>
      <c r="H151" s="26"/>
      <c r="I151" s="26"/>
      <c r="J151" s="26"/>
      <c r="K151" s="26" t="b">
        <v>1</v>
      </c>
      <c r="L151" s="26"/>
      <c r="M151" s="26"/>
      <c r="N151" s="32">
        <f>If(A150="","",COUNTIF(E150:M150,TRUE)/COUNTA(E150:M150))</f>
        <v>1</v>
      </c>
      <c r="O151" s="24" t="s">
        <v>43</v>
      </c>
      <c r="P151" s="33"/>
    </row>
    <row r="152" hidden="1">
      <c r="A152" s="24" t="s">
        <v>65</v>
      </c>
      <c r="B152" s="24" t="s">
        <v>18</v>
      </c>
      <c r="C152" s="24" t="s">
        <v>41</v>
      </c>
      <c r="D152" s="25" t="s">
        <v>235</v>
      </c>
      <c r="E152" s="26" t="b">
        <v>1</v>
      </c>
      <c r="F152" s="26" t="b">
        <v>1</v>
      </c>
      <c r="G152" s="26" t="b">
        <v>1</v>
      </c>
      <c r="H152" s="26" t="b">
        <v>1</v>
      </c>
      <c r="I152" s="26" t="b">
        <v>1</v>
      </c>
      <c r="J152" s="26" t="b">
        <v>1</v>
      </c>
      <c r="K152" s="26" t="b">
        <v>1</v>
      </c>
      <c r="L152" s="26" t="b">
        <v>1</v>
      </c>
      <c r="M152" s="26" t="b">
        <v>1</v>
      </c>
      <c r="N152" s="32">
        <f t="shared" ref="N152:N153" si="25">If(A152="","",COUNTIF(E152:M152,TRUE)/COUNTA(E152:M152))</f>
        <v>1</v>
      </c>
      <c r="O152" s="24" t="s">
        <v>43</v>
      </c>
      <c r="P152" s="33"/>
    </row>
    <row r="153" hidden="1">
      <c r="A153" s="24" t="s">
        <v>236</v>
      </c>
      <c r="B153" s="24" t="s">
        <v>16</v>
      </c>
      <c r="C153" s="24" t="s">
        <v>41</v>
      </c>
      <c r="D153" s="25" t="s">
        <v>237</v>
      </c>
      <c r="E153" s="26" t="b">
        <v>1</v>
      </c>
      <c r="F153" s="26" t="b">
        <v>1</v>
      </c>
      <c r="G153" s="26" t="b">
        <v>1</v>
      </c>
      <c r="H153" s="26" t="b">
        <v>1</v>
      </c>
      <c r="I153" s="26" t="b">
        <v>1</v>
      </c>
      <c r="J153" s="26" t="b">
        <v>1</v>
      </c>
      <c r="K153" s="26" t="b">
        <v>1</v>
      </c>
      <c r="L153" s="26" t="b">
        <v>1</v>
      </c>
      <c r="M153" s="26" t="b">
        <v>1</v>
      </c>
      <c r="N153" s="32">
        <f t="shared" si="25"/>
        <v>1</v>
      </c>
      <c r="O153" s="24" t="s">
        <v>43</v>
      </c>
      <c r="P153" s="33"/>
    </row>
    <row r="154" hidden="1">
      <c r="A154" s="24" t="s">
        <v>238</v>
      </c>
      <c r="B154" s="24" t="s">
        <v>10</v>
      </c>
      <c r="C154" s="24" t="s">
        <v>45</v>
      </c>
      <c r="D154" s="25" t="s">
        <v>235</v>
      </c>
      <c r="E154" s="26" t="b">
        <v>1</v>
      </c>
      <c r="F154" s="26" t="b">
        <v>1</v>
      </c>
      <c r="G154" s="26" t="b">
        <v>1</v>
      </c>
      <c r="H154" s="26" t="b">
        <v>1</v>
      </c>
      <c r="I154" s="26" t="b">
        <v>1</v>
      </c>
      <c r="J154" s="26" t="b">
        <v>1</v>
      </c>
      <c r="K154" s="26" t="b">
        <v>1</v>
      </c>
      <c r="L154" s="26" t="b">
        <v>1</v>
      </c>
      <c r="M154" s="26" t="b">
        <v>1</v>
      </c>
      <c r="N154" s="32">
        <f>If(A152="","",COUNTIF(E152:M152,TRUE)/COUNTA(E152:M152))</f>
        <v>1</v>
      </c>
      <c r="O154" s="24" t="s">
        <v>43</v>
      </c>
      <c r="P154" s="33"/>
    </row>
    <row r="155" hidden="1">
      <c r="A155" s="24" t="s">
        <v>239</v>
      </c>
      <c r="B155" s="24" t="s">
        <v>6</v>
      </c>
      <c r="C155" s="24" t="s">
        <v>45</v>
      </c>
      <c r="D155" s="25" t="s">
        <v>95</v>
      </c>
      <c r="E155" s="26"/>
      <c r="F155" s="26"/>
      <c r="G155" s="26" t="b">
        <v>1</v>
      </c>
      <c r="H155" s="26"/>
      <c r="I155" s="26"/>
      <c r="J155" s="26"/>
      <c r="K155" s="26"/>
      <c r="L155" s="26"/>
      <c r="M155" s="26"/>
      <c r="N155" s="32">
        <f t="shared" ref="N155:N161" si="26">If(A155="","",COUNTIF(E155:M155,TRUE)/COUNTA(E155:M155))</f>
        <v>1</v>
      </c>
      <c r="O155" s="24" t="s">
        <v>43</v>
      </c>
      <c r="P155" s="33">
        <v>46089.0</v>
      </c>
    </row>
    <row r="156" hidden="1">
      <c r="A156" s="24" t="s">
        <v>240</v>
      </c>
      <c r="B156" s="24" t="s">
        <v>6</v>
      </c>
      <c r="C156" s="24" t="s">
        <v>45</v>
      </c>
      <c r="D156" s="25" t="s">
        <v>95</v>
      </c>
      <c r="E156" s="26"/>
      <c r="F156" s="26"/>
      <c r="G156" s="26" t="b">
        <v>1</v>
      </c>
      <c r="H156" s="26"/>
      <c r="I156" s="26"/>
      <c r="J156" s="26"/>
      <c r="K156" s="26"/>
      <c r="L156" s="26"/>
      <c r="M156" s="26"/>
      <c r="N156" s="32">
        <f t="shared" si="26"/>
        <v>1</v>
      </c>
      <c r="O156" s="24" t="s">
        <v>43</v>
      </c>
      <c r="P156" s="33">
        <v>46089.0</v>
      </c>
    </row>
    <row r="157" hidden="1">
      <c r="A157" s="24" t="s">
        <v>241</v>
      </c>
      <c r="B157" s="24" t="s">
        <v>8</v>
      </c>
      <c r="C157" s="24" t="s">
        <v>45</v>
      </c>
      <c r="D157" s="25" t="s">
        <v>242</v>
      </c>
      <c r="E157" s="26" t="b">
        <v>1</v>
      </c>
      <c r="F157" s="26" t="b">
        <v>1</v>
      </c>
      <c r="G157" s="26" t="b">
        <v>1</v>
      </c>
      <c r="H157" s="26" t="b">
        <v>1</v>
      </c>
      <c r="I157" s="26" t="b">
        <v>1</v>
      </c>
      <c r="J157" s="26" t="b">
        <v>1</v>
      </c>
      <c r="K157" s="26" t="b">
        <v>1</v>
      </c>
      <c r="L157" s="26" t="b">
        <v>1</v>
      </c>
      <c r="M157" s="26" t="b">
        <v>1</v>
      </c>
      <c r="N157" s="32">
        <f t="shared" si="26"/>
        <v>1</v>
      </c>
      <c r="O157" s="24" t="s">
        <v>43</v>
      </c>
      <c r="P157" s="33"/>
    </row>
    <row r="158" hidden="1">
      <c r="A158" s="24" t="s">
        <v>243</v>
      </c>
      <c r="B158" s="24" t="s">
        <v>14</v>
      </c>
      <c r="C158" s="24" t="s">
        <v>45</v>
      </c>
      <c r="D158" s="25" t="s">
        <v>244</v>
      </c>
      <c r="E158" s="26" t="b">
        <v>1</v>
      </c>
      <c r="F158" s="26" t="b">
        <v>1</v>
      </c>
      <c r="G158" s="26" t="b">
        <v>1</v>
      </c>
      <c r="H158" s="26" t="b">
        <v>1</v>
      </c>
      <c r="I158" s="26" t="b">
        <v>1</v>
      </c>
      <c r="J158" s="26" t="b">
        <v>1</v>
      </c>
      <c r="K158" s="26" t="b">
        <v>1</v>
      </c>
      <c r="L158" s="26" t="b">
        <v>1</v>
      </c>
      <c r="M158" s="26" t="b">
        <v>1</v>
      </c>
      <c r="N158" s="32">
        <f t="shared" si="26"/>
        <v>1</v>
      </c>
      <c r="O158" s="24" t="s">
        <v>43</v>
      </c>
      <c r="P158" s="33"/>
    </row>
    <row r="159" hidden="1">
      <c r="A159" s="24" t="s">
        <v>245</v>
      </c>
      <c r="B159" s="24" t="s">
        <v>14</v>
      </c>
      <c r="C159" s="24" t="s">
        <v>45</v>
      </c>
      <c r="D159" s="25" t="s">
        <v>246</v>
      </c>
      <c r="E159" s="26" t="b">
        <v>1</v>
      </c>
      <c r="F159" s="26" t="b">
        <v>1</v>
      </c>
      <c r="G159" s="26" t="b">
        <v>1</v>
      </c>
      <c r="H159" s="26" t="b">
        <v>1</v>
      </c>
      <c r="I159" s="26" t="b">
        <v>1</v>
      </c>
      <c r="J159" s="26" t="b">
        <v>1</v>
      </c>
      <c r="K159" s="26" t="b">
        <v>1</v>
      </c>
      <c r="L159" s="26" t="b">
        <v>1</v>
      </c>
      <c r="M159" s="26" t="b">
        <v>1</v>
      </c>
      <c r="N159" s="32">
        <f t="shared" si="26"/>
        <v>1</v>
      </c>
      <c r="O159" s="24" t="s">
        <v>43</v>
      </c>
      <c r="P159" s="33"/>
    </row>
    <row r="160" hidden="1">
      <c r="A160" s="24" t="s">
        <v>247</v>
      </c>
      <c r="B160" s="24" t="s">
        <v>14</v>
      </c>
      <c r="C160" s="24" t="s">
        <v>45</v>
      </c>
      <c r="D160" s="25" t="s">
        <v>248</v>
      </c>
      <c r="E160" s="26" t="b">
        <v>1</v>
      </c>
      <c r="F160" s="26" t="b">
        <v>1</v>
      </c>
      <c r="G160" s="26" t="b">
        <v>1</v>
      </c>
      <c r="H160" s="26" t="b">
        <v>1</v>
      </c>
      <c r="I160" s="26" t="b">
        <v>1</v>
      </c>
      <c r="J160" s="26" t="b">
        <v>1</v>
      </c>
      <c r="K160" s="26" t="b">
        <v>1</v>
      </c>
      <c r="L160" s="26" t="b">
        <v>1</v>
      </c>
      <c r="M160" s="26" t="b">
        <v>1</v>
      </c>
      <c r="N160" s="32">
        <f t="shared" si="26"/>
        <v>1</v>
      </c>
      <c r="O160" s="24" t="s">
        <v>43</v>
      </c>
      <c r="P160" s="33"/>
    </row>
    <row r="161" hidden="1">
      <c r="A161" s="24" t="s">
        <v>249</v>
      </c>
      <c r="B161" s="24" t="s">
        <v>14</v>
      </c>
      <c r="C161" s="24" t="s">
        <v>41</v>
      </c>
      <c r="D161" s="25" t="s">
        <v>172</v>
      </c>
      <c r="E161" s="26"/>
      <c r="F161" s="26"/>
      <c r="G161" s="26"/>
      <c r="H161" s="26"/>
      <c r="I161" s="26"/>
      <c r="J161" s="26" t="b">
        <v>1</v>
      </c>
      <c r="K161" s="26"/>
      <c r="L161" s="26"/>
      <c r="M161" s="26"/>
      <c r="N161" s="32">
        <f t="shared" si="26"/>
        <v>1</v>
      </c>
      <c r="O161" s="24" t="s">
        <v>43</v>
      </c>
      <c r="P161" s="33"/>
    </row>
    <row r="162" hidden="1">
      <c r="A162" s="24" t="s">
        <v>250</v>
      </c>
      <c r="B162" s="24" t="s">
        <v>14</v>
      </c>
      <c r="C162" s="24" t="s">
        <v>45</v>
      </c>
      <c r="D162" s="25" t="s">
        <v>172</v>
      </c>
      <c r="E162" s="26"/>
      <c r="F162" s="26"/>
      <c r="G162" s="26"/>
      <c r="H162" s="26"/>
      <c r="I162" s="26"/>
      <c r="J162" s="26" t="b">
        <v>1</v>
      </c>
      <c r="K162" s="26"/>
      <c r="L162" s="26"/>
      <c r="M162" s="26"/>
      <c r="N162" s="32">
        <f>If(A161="","",COUNTIF(E161:M161,TRUE)/COUNTA(E161:M161))</f>
        <v>1</v>
      </c>
      <c r="O162" s="24" t="s">
        <v>43</v>
      </c>
      <c r="P162" s="33"/>
    </row>
    <row r="163" hidden="1">
      <c r="A163" s="24" t="s">
        <v>185</v>
      </c>
      <c r="B163" s="24" t="s">
        <v>14</v>
      </c>
      <c r="C163" s="24" t="s">
        <v>41</v>
      </c>
      <c r="D163" s="25" t="s">
        <v>173</v>
      </c>
      <c r="E163" s="26"/>
      <c r="F163" s="26"/>
      <c r="G163" s="26"/>
      <c r="H163" s="26"/>
      <c r="I163" s="26"/>
      <c r="J163" s="26" t="b">
        <v>1</v>
      </c>
      <c r="K163" s="26"/>
      <c r="L163" s="26"/>
      <c r="M163" s="26"/>
      <c r="N163" s="32">
        <f>If(A163="","",COUNTIF(E163:M163,TRUE)/COUNTA(E163:M163))</f>
        <v>1</v>
      </c>
      <c r="O163" s="24" t="s">
        <v>43</v>
      </c>
      <c r="P163" s="33"/>
    </row>
    <row r="164" hidden="1">
      <c r="A164" s="24" t="s">
        <v>251</v>
      </c>
      <c r="B164" s="24" t="s">
        <v>14</v>
      </c>
      <c r="C164" s="24" t="s">
        <v>45</v>
      </c>
      <c r="D164" s="25" t="s">
        <v>173</v>
      </c>
      <c r="E164" s="26"/>
      <c r="F164" s="26"/>
      <c r="G164" s="26"/>
      <c r="H164" s="26"/>
      <c r="I164" s="26"/>
      <c r="J164" s="26" t="b">
        <v>1</v>
      </c>
      <c r="K164" s="26"/>
      <c r="L164" s="26"/>
      <c r="M164" s="26"/>
      <c r="N164" s="32">
        <f>If(A163="","",COUNTIF(E163:M163,TRUE)/COUNTA(E163:M163))</f>
        <v>1</v>
      </c>
      <c r="O164" s="24" t="s">
        <v>43</v>
      </c>
      <c r="P164" s="33"/>
    </row>
    <row r="165" hidden="1">
      <c r="A165" s="24"/>
      <c r="B165" s="24"/>
      <c r="C165" s="24" t="s">
        <v>41</v>
      </c>
      <c r="D165" s="25" t="s">
        <v>252</v>
      </c>
      <c r="E165" s="26"/>
      <c r="F165" s="26"/>
      <c r="G165" s="26"/>
      <c r="H165" s="26"/>
      <c r="I165" s="26"/>
      <c r="J165" s="26"/>
      <c r="K165" s="26"/>
      <c r="L165" s="26"/>
      <c r="M165" s="26"/>
      <c r="N165" s="32" t="str">
        <f>If(A165="","",COUNTIF(E165:M165,TRUE)/COUNTA(E165:M165))</f>
        <v/>
      </c>
      <c r="O165" s="24" t="s">
        <v>43</v>
      </c>
      <c r="P165" s="33"/>
    </row>
    <row r="166" hidden="1">
      <c r="A166" s="24" t="s">
        <v>230</v>
      </c>
      <c r="B166" s="24" t="s">
        <v>20</v>
      </c>
      <c r="C166" s="24" t="s">
        <v>45</v>
      </c>
      <c r="D166" s="25" t="s">
        <v>252</v>
      </c>
      <c r="E166" s="26"/>
      <c r="F166" s="26" t="b">
        <v>1</v>
      </c>
      <c r="G166" s="26"/>
      <c r="H166" s="26"/>
      <c r="I166" s="26"/>
      <c r="J166" s="26"/>
      <c r="K166" s="26"/>
      <c r="L166" s="26"/>
      <c r="M166" s="26"/>
      <c r="N166" s="32" t="str">
        <f>If(A165="","",COUNTIF(E165:M165,TRUE)/COUNTA(E165:M165))</f>
        <v/>
      </c>
      <c r="O166" s="24" t="s">
        <v>43</v>
      </c>
      <c r="P166" s="33"/>
    </row>
    <row r="167" hidden="1">
      <c r="A167" s="24" t="s">
        <v>228</v>
      </c>
      <c r="B167" s="24" t="s">
        <v>16</v>
      </c>
      <c r="C167" s="24" t="s">
        <v>41</v>
      </c>
      <c r="D167" s="25" t="s">
        <v>253</v>
      </c>
      <c r="E167" s="26" t="b">
        <v>1</v>
      </c>
      <c r="F167" s="26" t="b">
        <v>1</v>
      </c>
      <c r="G167" s="26" t="b">
        <v>1</v>
      </c>
      <c r="H167" s="26" t="b">
        <v>1</v>
      </c>
      <c r="I167" s="26" t="b">
        <v>0</v>
      </c>
      <c r="J167" s="26" t="b">
        <v>1</v>
      </c>
      <c r="K167" s="26" t="b">
        <v>1</v>
      </c>
      <c r="L167" s="26" t="b">
        <v>1</v>
      </c>
      <c r="M167" s="26" t="b">
        <v>1</v>
      </c>
      <c r="N167" s="32">
        <f>If(A167="","",COUNTIF(E167:M167,TRUE)/COUNTA(E167:M167))</f>
        <v>0.8888888889</v>
      </c>
      <c r="O167" s="24" t="s">
        <v>43</v>
      </c>
      <c r="P167" s="33"/>
    </row>
    <row r="168" hidden="1">
      <c r="A168" s="24" t="s">
        <v>254</v>
      </c>
      <c r="B168" s="24" t="s">
        <v>18</v>
      </c>
      <c r="C168" s="24" t="s">
        <v>45</v>
      </c>
      <c r="D168" s="25" t="s">
        <v>253</v>
      </c>
      <c r="E168" s="26" t="b">
        <v>1</v>
      </c>
      <c r="F168" s="26" t="b">
        <v>1</v>
      </c>
      <c r="G168" s="26" t="b">
        <v>1</v>
      </c>
      <c r="H168" s="26" t="b">
        <v>1</v>
      </c>
      <c r="I168" s="26" t="b">
        <v>0</v>
      </c>
      <c r="J168" s="26" t="b">
        <v>1</v>
      </c>
      <c r="K168" s="26" t="b">
        <v>1</v>
      </c>
      <c r="L168" s="26" t="b">
        <v>1</v>
      </c>
      <c r="M168" s="26" t="b">
        <v>1</v>
      </c>
      <c r="N168" s="32">
        <f>If(A167="","",COUNTIF(E167:M167,TRUE)/COUNTA(E167:M167))</f>
        <v>0.8888888889</v>
      </c>
      <c r="O168" s="24" t="s">
        <v>43</v>
      </c>
      <c r="P168" s="33"/>
    </row>
    <row r="169" hidden="1">
      <c r="A169" s="24" t="s">
        <v>255</v>
      </c>
      <c r="B169" s="24" t="s">
        <v>6</v>
      </c>
      <c r="C169" s="24" t="s">
        <v>45</v>
      </c>
      <c r="D169" s="25" t="s">
        <v>256</v>
      </c>
      <c r="E169" s="26" t="b">
        <v>1</v>
      </c>
      <c r="F169" s="26" t="b">
        <v>1</v>
      </c>
      <c r="G169" s="26" t="b">
        <v>1</v>
      </c>
      <c r="H169" s="26" t="b">
        <v>1</v>
      </c>
      <c r="I169" s="26" t="b">
        <v>0</v>
      </c>
      <c r="J169" s="26" t="b">
        <v>1</v>
      </c>
      <c r="K169" s="26" t="b">
        <v>1</v>
      </c>
      <c r="L169" s="26" t="b">
        <v>1</v>
      </c>
      <c r="M169" s="26" t="b">
        <v>1</v>
      </c>
      <c r="N169" s="32">
        <f t="shared" ref="N169:N173" si="27">If(A169="","",COUNTIF(E169:M169,TRUE)/COUNTA(E169:M169))</f>
        <v>0.8888888889</v>
      </c>
      <c r="O169" s="24" t="s">
        <v>43</v>
      </c>
      <c r="P169" s="33"/>
    </row>
    <row r="170" hidden="1">
      <c r="A170" s="24" t="s">
        <v>257</v>
      </c>
      <c r="B170" s="24" t="s">
        <v>18</v>
      </c>
      <c r="C170" s="24" t="s">
        <v>45</v>
      </c>
      <c r="D170" s="25" t="s">
        <v>258</v>
      </c>
      <c r="E170" s="26" t="b">
        <v>1</v>
      </c>
      <c r="F170" s="26" t="b">
        <v>1</v>
      </c>
      <c r="G170" s="26" t="b">
        <v>1</v>
      </c>
      <c r="H170" s="26" t="b">
        <v>1</v>
      </c>
      <c r="I170" s="26" t="b">
        <v>0</v>
      </c>
      <c r="J170" s="26" t="b">
        <v>1</v>
      </c>
      <c r="K170" s="26" t="b">
        <v>1</v>
      </c>
      <c r="L170" s="26" t="b">
        <v>1</v>
      </c>
      <c r="M170" s="26" t="b">
        <v>1</v>
      </c>
      <c r="N170" s="32">
        <f t="shared" si="27"/>
        <v>0.8888888889</v>
      </c>
      <c r="O170" s="24" t="s">
        <v>43</v>
      </c>
      <c r="P170" s="33"/>
    </row>
    <row r="171" hidden="1">
      <c r="A171" s="24" t="s">
        <v>259</v>
      </c>
      <c r="B171" s="24" t="s">
        <v>12</v>
      </c>
      <c r="C171" s="24" t="s">
        <v>45</v>
      </c>
      <c r="D171" s="25" t="s">
        <v>95</v>
      </c>
      <c r="E171" s="26"/>
      <c r="F171" s="26"/>
      <c r="G171" s="26"/>
      <c r="H171" s="26"/>
      <c r="I171" s="26"/>
      <c r="J171" s="26"/>
      <c r="K171" s="26" t="b">
        <v>1</v>
      </c>
      <c r="L171" s="26"/>
      <c r="M171" s="26"/>
      <c r="N171" s="32">
        <f t="shared" si="27"/>
        <v>1</v>
      </c>
      <c r="O171" s="24" t="s">
        <v>43</v>
      </c>
      <c r="P171" s="33">
        <v>46089.0</v>
      </c>
    </row>
    <row r="172" hidden="1">
      <c r="A172" s="24" t="s">
        <v>260</v>
      </c>
      <c r="B172" s="24" t="s">
        <v>18</v>
      </c>
      <c r="C172" s="24" t="s">
        <v>45</v>
      </c>
      <c r="D172" s="25" t="s">
        <v>261</v>
      </c>
      <c r="E172" s="26" t="b">
        <v>1</v>
      </c>
      <c r="F172" s="26" t="b">
        <v>1</v>
      </c>
      <c r="G172" s="26" t="b">
        <v>1</v>
      </c>
      <c r="H172" s="26" t="b">
        <v>1</v>
      </c>
      <c r="I172" s="26" t="b">
        <v>0</v>
      </c>
      <c r="J172" s="26" t="b">
        <v>1</v>
      </c>
      <c r="K172" s="26" t="b">
        <v>1</v>
      </c>
      <c r="L172" s="26" t="b">
        <v>1</v>
      </c>
      <c r="M172" s="26" t="b">
        <v>1</v>
      </c>
      <c r="N172" s="32">
        <f t="shared" si="27"/>
        <v>0.8888888889</v>
      </c>
      <c r="O172" s="24" t="s">
        <v>43</v>
      </c>
      <c r="P172" s="33"/>
    </row>
    <row r="173" hidden="1">
      <c r="A173" s="24" t="s">
        <v>126</v>
      </c>
      <c r="B173" s="24" t="s">
        <v>8</v>
      </c>
      <c r="C173" s="24" t="s">
        <v>41</v>
      </c>
      <c r="D173" s="25" t="s">
        <v>172</v>
      </c>
      <c r="E173" s="26"/>
      <c r="F173" s="26"/>
      <c r="G173" s="26"/>
      <c r="H173" s="26" t="b">
        <v>1</v>
      </c>
      <c r="I173" s="26"/>
      <c r="J173" s="26"/>
      <c r="K173" s="26"/>
      <c r="L173" s="26"/>
      <c r="M173" s="26"/>
      <c r="N173" s="32">
        <f t="shared" si="27"/>
        <v>1</v>
      </c>
      <c r="O173" s="24" t="s">
        <v>43</v>
      </c>
      <c r="P173" s="33"/>
    </row>
    <row r="174" hidden="1">
      <c r="A174" s="24" t="s">
        <v>262</v>
      </c>
      <c r="B174" s="24" t="s">
        <v>8</v>
      </c>
      <c r="C174" s="24" t="s">
        <v>45</v>
      </c>
      <c r="D174" s="25" t="s">
        <v>172</v>
      </c>
      <c r="E174" s="26"/>
      <c r="F174" s="26"/>
      <c r="G174" s="26"/>
      <c r="H174" s="26" t="b">
        <v>1</v>
      </c>
      <c r="I174" s="26"/>
      <c r="J174" s="26"/>
      <c r="K174" s="26"/>
      <c r="L174" s="26"/>
      <c r="M174" s="26"/>
      <c r="N174" s="32">
        <f>If(A173="","",COUNTIF(E173:M173,TRUE)/COUNTA(E173:M173))</f>
        <v>1</v>
      </c>
      <c r="O174" s="24" t="s">
        <v>43</v>
      </c>
      <c r="P174" s="33"/>
    </row>
    <row r="175" hidden="1">
      <c r="A175" s="24" t="s">
        <v>263</v>
      </c>
      <c r="B175" s="24" t="s">
        <v>12</v>
      </c>
      <c r="C175" s="24" t="s">
        <v>41</v>
      </c>
      <c r="D175" s="25" t="s">
        <v>264</v>
      </c>
      <c r="E175" s="26"/>
      <c r="F175" s="26"/>
      <c r="G175" s="26"/>
      <c r="H175" s="26"/>
      <c r="I175" s="26"/>
      <c r="J175" s="26"/>
      <c r="K175" s="26" t="b">
        <v>1</v>
      </c>
      <c r="L175" s="26"/>
      <c r="M175" s="26"/>
      <c r="N175" s="32">
        <f t="shared" ref="N175:N177" si="28">If(A175="","",COUNTIF(E175:M175,TRUE)/COUNTA(E175:M175))</f>
        <v>1</v>
      </c>
      <c r="O175" s="24" t="s">
        <v>43</v>
      </c>
      <c r="P175" s="33"/>
    </row>
    <row r="176" hidden="1">
      <c r="A176" s="24" t="s">
        <v>265</v>
      </c>
      <c r="B176" s="24" t="s">
        <v>12</v>
      </c>
      <c r="C176" s="24" t="s">
        <v>41</v>
      </c>
      <c r="D176" s="25" t="s">
        <v>266</v>
      </c>
      <c r="E176" s="26"/>
      <c r="F176" s="26"/>
      <c r="G176" s="26"/>
      <c r="H176" s="26"/>
      <c r="I176" s="26"/>
      <c r="J176" s="26"/>
      <c r="K176" s="26" t="b">
        <v>1</v>
      </c>
      <c r="L176" s="26"/>
      <c r="M176" s="26"/>
      <c r="N176" s="32">
        <f t="shared" si="28"/>
        <v>1</v>
      </c>
      <c r="O176" s="24" t="s">
        <v>43</v>
      </c>
      <c r="P176" s="33"/>
    </row>
    <row r="177" hidden="1">
      <c r="A177" s="24" t="s">
        <v>267</v>
      </c>
      <c r="B177" s="24" t="s">
        <v>12</v>
      </c>
      <c r="C177" s="24" t="s">
        <v>41</v>
      </c>
      <c r="D177" s="25" t="s">
        <v>268</v>
      </c>
      <c r="E177" s="26"/>
      <c r="F177" s="26"/>
      <c r="G177" s="26"/>
      <c r="H177" s="26"/>
      <c r="I177" s="26"/>
      <c r="J177" s="26"/>
      <c r="K177" s="26" t="b">
        <v>1</v>
      </c>
      <c r="L177" s="26"/>
      <c r="M177" s="26"/>
      <c r="N177" s="32">
        <f t="shared" si="28"/>
        <v>1</v>
      </c>
      <c r="O177" s="24" t="s">
        <v>43</v>
      </c>
      <c r="P177" s="33"/>
    </row>
    <row r="178" hidden="1">
      <c r="A178" s="24" t="s">
        <v>267</v>
      </c>
      <c r="B178" s="24" t="s">
        <v>12</v>
      </c>
      <c r="C178" s="24" t="s">
        <v>45</v>
      </c>
      <c r="D178" s="25" t="s">
        <v>264</v>
      </c>
      <c r="E178" s="26"/>
      <c r="F178" s="26"/>
      <c r="G178" s="26"/>
      <c r="H178" s="26"/>
      <c r="I178" s="26"/>
      <c r="J178" s="26"/>
      <c r="K178" s="26" t="b">
        <v>1</v>
      </c>
      <c r="L178" s="26"/>
      <c r="M178" s="26"/>
      <c r="N178" s="32">
        <f t="shared" ref="N178:N180" si="29">If(A175="","",COUNTIF(E175:M175,TRUE)/COUNTA(E175:M175))</f>
        <v>1</v>
      </c>
      <c r="O178" s="24" t="s">
        <v>43</v>
      </c>
      <c r="P178" s="33"/>
    </row>
    <row r="179" hidden="1">
      <c r="A179" s="24" t="s">
        <v>269</v>
      </c>
      <c r="B179" s="24" t="s">
        <v>12</v>
      </c>
      <c r="C179" s="24" t="s">
        <v>45</v>
      </c>
      <c r="D179" s="25" t="s">
        <v>266</v>
      </c>
      <c r="E179" s="26"/>
      <c r="F179" s="26"/>
      <c r="G179" s="26"/>
      <c r="H179" s="26"/>
      <c r="I179" s="26"/>
      <c r="J179" s="26"/>
      <c r="K179" s="26" t="b">
        <v>1</v>
      </c>
      <c r="L179" s="26"/>
      <c r="M179" s="26"/>
      <c r="N179" s="32">
        <f t="shared" si="29"/>
        <v>1</v>
      </c>
      <c r="O179" s="24" t="s">
        <v>43</v>
      </c>
      <c r="P179" s="33"/>
    </row>
    <row r="180" hidden="1">
      <c r="A180" s="24" t="s">
        <v>233</v>
      </c>
      <c r="B180" s="24" t="s">
        <v>12</v>
      </c>
      <c r="C180" s="24" t="s">
        <v>45</v>
      </c>
      <c r="D180" s="25" t="s">
        <v>268</v>
      </c>
      <c r="E180" s="26"/>
      <c r="F180" s="26"/>
      <c r="G180" s="26"/>
      <c r="H180" s="26"/>
      <c r="I180" s="26"/>
      <c r="J180" s="26"/>
      <c r="K180" s="26" t="b">
        <v>1</v>
      </c>
      <c r="L180" s="26"/>
      <c r="M180" s="26"/>
      <c r="N180" s="32">
        <f t="shared" si="29"/>
        <v>1</v>
      </c>
      <c r="O180" s="24" t="s">
        <v>43</v>
      </c>
      <c r="P180" s="33"/>
    </row>
    <row r="181" hidden="1">
      <c r="A181" s="24" t="s">
        <v>124</v>
      </c>
      <c r="B181" s="24" t="s">
        <v>16</v>
      </c>
      <c r="C181" s="24" t="s">
        <v>41</v>
      </c>
      <c r="D181" s="25" t="s">
        <v>125</v>
      </c>
      <c r="E181" s="26" t="b">
        <v>1</v>
      </c>
      <c r="F181" s="26" t="b">
        <v>1</v>
      </c>
      <c r="G181" s="26" t="b">
        <v>1</v>
      </c>
      <c r="H181" s="26" t="b">
        <v>1</v>
      </c>
      <c r="I181" s="26" t="b">
        <v>0</v>
      </c>
      <c r="J181" s="26" t="b">
        <v>1</v>
      </c>
      <c r="K181" s="26" t="b">
        <v>1</v>
      </c>
      <c r="L181" s="26" t="b">
        <v>1</v>
      </c>
      <c r="M181" s="26" t="b">
        <v>1</v>
      </c>
      <c r="N181" s="32">
        <f>If(A181="","",COUNTIF(E181:M181,TRUE)/COUNTA(E181:M181))</f>
        <v>0.8888888889</v>
      </c>
      <c r="O181" s="24" t="s">
        <v>43</v>
      </c>
      <c r="P181" s="33"/>
    </row>
    <row r="182" hidden="1">
      <c r="A182" s="24" t="s">
        <v>270</v>
      </c>
      <c r="B182" s="24" t="s">
        <v>14</v>
      </c>
      <c r="C182" s="24" t="s">
        <v>45</v>
      </c>
      <c r="D182" s="25" t="s">
        <v>125</v>
      </c>
      <c r="E182" s="26" t="b">
        <v>1</v>
      </c>
      <c r="F182" s="26" t="b">
        <v>1</v>
      </c>
      <c r="G182" s="26" t="b">
        <v>1</v>
      </c>
      <c r="H182" s="26" t="b">
        <v>1</v>
      </c>
      <c r="I182" s="26" t="b">
        <v>0</v>
      </c>
      <c r="J182" s="26" t="b">
        <v>1</v>
      </c>
      <c r="K182" s="26" t="b">
        <v>1</v>
      </c>
      <c r="L182" s="26" t="b">
        <v>1</v>
      </c>
      <c r="M182" s="26" t="b">
        <v>1</v>
      </c>
      <c r="N182" s="32">
        <f>If(A181="","",COUNTIF(E181:M181,TRUE)/COUNTA(E181:M181))</f>
        <v>0.8888888889</v>
      </c>
      <c r="O182" s="24" t="s">
        <v>43</v>
      </c>
      <c r="P182" s="33"/>
    </row>
    <row r="183" hidden="1">
      <c r="A183" s="24" t="s">
        <v>271</v>
      </c>
      <c r="B183" s="24" t="s">
        <v>20</v>
      </c>
      <c r="C183" s="24" t="s">
        <v>45</v>
      </c>
      <c r="D183" s="25" t="s">
        <v>95</v>
      </c>
      <c r="E183" s="26"/>
      <c r="F183" s="26" t="b">
        <v>1</v>
      </c>
      <c r="G183" s="26"/>
      <c r="H183" s="26"/>
      <c r="I183" s="26"/>
      <c r="J183" s="26"/>
      <c r="K183" s="26"/>
      <c r="L183" s="26"/>
      <c r="M183" s="26"/>
      <c r="N183" s="32">
        <f t="shared" ref="N183:N186" si="30">If(A183="","",COUNTIF(E183:M183,TRUE)/COUNTA(E183:M183))</f>
        <v>1</v>
      </c>
      <c r="O183" s="24" t="s">
        <v>272</v>
      </c>
      <c r="P183" s="33"/>
    </row>
    <row r="184" hidden="1">
      <c r="A184" s="24" t="s">
        <v>273</v>
      </c>
      <c r="B184" s="24" t="s">
        <v>4</v>
      </c>
      <c r="C184" s="24" t="s">
        <v>41</v>
      </c>
      <c r="D184" s="25" t="s">
        <v>170</v>
      </c>
      <c r="E184" s="26" t="b">
        <v>1</v>
      </c>
      <c r="F184" s="26"/>
      <c r="G184" s="26"/>
      <c r="H184" s="26"/>
      <c r="I184" s="26"/>
      <c r="J184" s="26"/>
      <c r="K184" s="26"/>
      <c r="L184" s="26"/>
      <c r="M184" s="26"/>
      <c r="N184" s="32">
        <f t="shared" si="30"/>
        <v>1</v>
      </c>
      <c r="O184" s="24" t="s">
        <v>43</v>
      </c>
      <c r="P184" s="33"/>
    </row>
    <row r="185" hidden="1">
      <c r="A185" s="24" t="s">
        <v>274</v>
      </c>
      <c r="B185" s="24" t="s">
        <v>4</v>
      </c>
      <c r="C185" s="24" t="s">
        <v>41</v>
      </c>
      <c r="D185" s="25" t="s">
        <v>172</v>
      </c>
      <c r="E185" s="26" t="b">
        <v>1</v>
      </c>
      <c r="F185" s="26"/>
      <c r="G185" s="26"/>
      <c r="H185" s="26"/>
      <c r="I185" s="26"/>
      <c r="J185" s="26"/>
      <c r="K185" s="26"/>
      <c r="L185" s="26"/>
      <c r="M185" s="26"/>
      <c r="N185" s="32">
        <f t="shared" si="30"/>
        <v>1</v>
      </c>
      <c r="O185" s="24" t="s">
        <v>43</v>
      </c>
      <c r="P185" s="33"/>
    </row>
    <row r="186" hidden="1">
      <c r="A186" s="24" t="s">
        <v>275</v>
      </c>
      <c r="B186" s="24" t="s">
        <v>4</v>
      </c>
      <c r="C186" s="24" t="s">
        <v>41</v>
      </c>
      <c r="D186" s="25" t="s">
        <v>173</v>
      </c>
      <c r="E186" s="26" t="b">
        <v>1</v>
      </c>
      <c r="F186" s="26"/>
      <c r="G186" s="26"/>
      <c r="H186" s="26"/>
      <c r="I186" s="26"/>
      <c r="J186" s="26"/>
      <c r="K186" s="26"/>
      <c r="L186" s="26"/>
      <c r="M186" s="26"/>
      <c r="N186" s="32">
        <f t="shared" si="30"/>
        <v>1</v>
      </c>
      <c r="O186" s="24" t="s">
        <v>43</v>
      </c>
      <c r="P186" s="33"/>
    </row>
    <row r="187" hidden="1">
      <c r="A187" s="24" t="s">
        <v>276</v>
      </c>
      <c r="B187" s="24" t="s">
        <v>4</v>
      </c>
      <c r="C187" s="24" t="s">
        <v>45</v>
      </c>
      <c r="D187" s="25" t="s">
        <v>170</v>
      </c>
      <c r="E187" s="26" t="b">
        <v>1</v>
      </c>
      <c r="F187" s="26"/>
      <c r="G187" s="26"/>
      <c r="H187" s="26"/>
      <c r="I187" s="26"/>
      <c r="J187" s="26"/>
      <c r="K187" s="26"/>
      <c r="L187" s="26"/>
      <c r="M187" s="26"/>
      <c r="N187" s="32">
        <f t="shared" ref="N187:N189" si="31">If(A184="","",COUNTIF(E184:M184,TRUE)/COUNTA(E184:M184))</f>
        <v>1</v>
      </c>
      <c r="O187" s="24" t="s">
        <v>43</v>
      </c>
      <c r="P187" s="33"/>
    </row>
    <row r="188" hidden="1">
      <c r="A188" s="24" t="s">
        <v>277</v>
      </c>
      <c r="B188" s="24" t="s">
        <v>4</v>
      </c>
      <c r="C188" s="24" t="s">
        <v>45</v>
      </c>
      <c r="D188" s="25" t="s">
        <v>172</v>
      </c>
      <c r="E188" s="26" t="b">
        <v>1</v>
      </c>
      <c r="F188" s="26"/>
      <c r="G188" s="26"/>
      <c r="H188" s="26"/>
      <c r="I188" s="26"/>
      <c r="J188" s="26"/>
      <c r="K188" s="26"/>
      <c r="L188" s="26"/>
      <c r="M188" s="26"/>
      <c r="N188" s="32">
        <f t="shared" si="31"/>
        <v>1</v>
      </c>
      <c r="O188" s="24" t="s">
        <v>43</v>
      </c>
      <c r="P188" s="33"/>
    </row>
    <row r="189" hidden="1">
      <c r="A189" s="24" t="s">
        <v>219</v>
      </c>
      <c r="B189" s="24" t="s">
        <v>4</v>
      </c>
      <c r="C189" s="24" t="s">
        <v>45</v>
      </c>
      <c r="D189" s="25" t="s">
        <v>173</v>
      </c>
      <c r="E189" s="26" t="b">
        <v>1</v>
      </c>
      <c r="F189" s="26"/>
      <c r="G189" s="26"/>
      <c r="H189" s="26"/>
      <c r="I189" s="26"/>
      <c r="J189" s="26"/>
      <c r="K189" s="26"/>
      <c r="L189" s="26"/>
      <c r="M189" s="26"/>
      <c r="N189" s="32">
        <f t="shared" si="31"/>
        <v>1</v>
      </c>
      <c r="O189" s="24" t="s">
        <v>43</v>
      </c>
      <c r="P189" s="33"/>
    </row>
    <row r="190" hidden="1">
      <c r="A190" s="24" t="s">
        <v>267</v>
      </c>
      <c r="B190" s="24" t="s">
        <v>12</v>
      </c>
      <c r="C190" s="24" t="s">
        <v>45</v>
      </c>
      <c r="D190" s="25" t="s">
        <v>97</v>
      </c>
      <c r="E190" s="26"/>
      <c r="F190" s="26"/>
      <c r="G190" s="26"/>
      <c r="H190" s="26"/>
      <c r="I190" s="26"/>
      <c r="J190" s="26"/>
      <c r="K190" s="26" t="b">
        <v>1</v>
      </c>
      <c r="L190" s="26"/>
      <c r="M190" s="26"/>
      <c r="N190" s="32">
        <f t="shared" ref="N190:N196" si="32">If(A190="","",COUNTIF(E190:M190,TRUE)/COUNTA(E190:M190))</f>
        <v>1</v>
      </c>
      <c r="O190" s="24" t="s">
        <v>272</v>
      </c>
      <c r="P190" s="33"/>
    </row>
    <row r="191">
      <c r="A191" s="24" t="s">
        <v>278</v>
      </c>
      <c r="B191" s="24" t="s">
        <v>10</v>
      </c>
      <c r="C191" s="24" t="s">
        <v>41</v>
      </c>
      <c r="D191" s="25" t="s">
        <v>279</v>
      </c>
      <c r="E191" s="26"/>
      <c r="F191" s="26"/>
      <c r="G191" s="26"/>
      <c r="H191" s="26"/>
      <c r="I191" s="26" t="b">
        <v>1</v>
      </c>
      <c r="J191" s="26"/>
      <c r="K191" s="26"/>
      <c r="L191" s="26"/>
      <c r="M191" s="26"/>
      <c r="N191" s="32">
        <f t="shared" si="32"/>
        <v>1</v>
      </c>
      <c r="O191" s="24" t="s">
        <v>43</v>
      </c>
      <c r="P191" s="33"/>
    </row>
    <row r="192">
      <c r="A192" s="24" t="s">
        <v>280</v>
      </c>
      <c r="B192" s="24" t="s">
        <v>10</v>
      </c>
      <c r="C192" s="24" t="s">
        <v>41</v>
      </c>
      <c r="D192" s="25" t="s">
        <v>281</v>
      </c>
      <c r="E192" s="26"/>
      <c r="F192" s="26"/>
      <c r="G192" s="26"/>
      <c r="H192" s="26"/>
      <c r="I192" s="26" t="b">
        <v>1</v>
      </c>
      <c r="J192" s="26"/>
      <c r="K192" s="26"/>
      <c r="L192" s="26"/>
      <c r="M192" s="26"/>
      <c r="N192" s="32">
        <f t="shared" si="32"/>
        <v>1</v>
      </c>
      <c r="O192" s="24" t="s">
        <v>43</v>
      </c>
      <c r="P192" s="33"/>
    </row>
    <row r="193">
      <c r="A193" s="24" t="s">
        <v>217</v>
      </c>
      <c r="B193" s="24" t="s">
        <v>10</v>
      </c>
      <c r="C193" s="24" t="s">
        <v>41</v>
      </c>
      <c r="D193" s="25" t="s">
        <v>282</v>
      </c>
      <c r="E193" s="26"/>
      <c r="F193" s="26"/>
      <c r="G193" s="26"/>
      <c r="H193" s="26"/>
      <c r="I193" s="26" t="b">
        <v>1</v>
      </c>
      <c r="J193" s="26"/>
      <c r="K193" s="26"/>
      <c r="L193" s="26"/>
      <c r="M193" s="26"/>
      <c r="N193" s="32">
        <f t="shared" si="32"/>
        <v>1</v>
      </c>
      <c r="O193" s="24" t="s">
        <v>43</v>
      </c>
      <c r="P193" s="33"/>
    </row>
    <row r="194">
      <c r="A194" s="24" t="s">
        <v>283</v>
      </c>
      <c r="B194" s="24" t="s">
        <v>10</v>
      </c>
      <c r="C194" s="24" t="s">
        <v>41</v>
      </c>
      <c r="D194" s="25" t="s">
        <v>252</v>
      </c>
      <c r="E194" s="26"/>
      <c r="F194" s="26"/>
      <c r="G194" s="26"/>
      <c r="H194" s="26"/>
      <c r="I194" s="26" t="b">
        <v>1</v>
      </c>
      <c r="J194" s="26"/>
      <c r="K194" s="26"/>
      <c r="L194" s="26"/>
      <c r="M194" s="26"/>
      <c r="N194" s="32">
        <f t="shared" si="32"/>
        <v>1</v>
      </c>
      <c r="O194" s="24" t="s">
        <v>43</v>
      </c>
      <c r="P194" s="33"/>
    </row>
    <row r="195">
      <c r="A195" s="24" t="s">
        <v>284</v>
      </c>
      <c r="B195" s="24" t="s">
        <v>10</v>
      </c>
      <c r="C195" s="24" t="s">
        <v>45</v>
      </c>
      <c r="D195" s="25" t="s">
        <v>97</v>
      </c>
      <c r="E195" s="26"/>
      <c r="F195" s="26"/>
      <c r="G195" s="26"/>
      <c r="H195" s="26"/>
      <c r="I195" s="26" t="b">
        <v>1</v>
      </c>
      <c r="J195" s="26"/>
      <c r="K195" s="26"/>
      <c r="L195" s="26"/>
      <c r="M195" s="26"/>
      <c r="N195" s="32">
        <f t="shared" si="32"/>
        <v>1</v>
      </c>
      <c r="O195" s="24" t="s">
        <v>272</v>
      </c>
      <c r="P195" s="33"/>
    </row>
    <row r="196">
      <c r="A196" s="24" t="s">
        <v>283</v>
      </c>
      <c r="B196" s="24" t="s">
        <v>10</v>
      </c>
      <c r="C196" s="24" t="s">
        <v>45</v>
      </c>
      <c r="D196" s="25" t="s">
        <v>97</v>
      </c>
      <c r="E196" s="26"/>
      <c r="F196" s="26"/>
      <c r="G196" s="26"/>
      <c r="H196" s="26"/>
      <c r="I196" s="26" t="b">
        <v>1</v>
      </c>
      <c r="J196" s="26"/>
      <c r="K196" s="26"/>
      <c r="L196" s="26"/>
      <c r="M196" s="26"/>
      <c r="N196" s="32">
        <f t="shared" si="32"/>
        <v>1</v>
      </c>
      <c r="O196" s="24" t="s">
        <v>272</v>
      </c>
      <c r="P196" s="33"/>
    </row>
    <row r="197">
      <c r="A197" s="24" t="s">
        <v>280</v>
      </c>
      <c r="B197" s="24" t="s">
        <v>10</v>
      </c>
      <c r="C197" s="24" t="s">
        <v>45</v>
      </c>
      <c r="D197" s="25" t="s">
        <v>279</v>
      </c>
      <c r="E197" s="26"/>
      <c r="F197" s="26"/>
      <c r="G197" s="26"/>
      <c r="H197" s="26"/>
      <c r="I197" s="26" t="b">
        <v>1</v>
      </c>
      <c r="J197" s="26"/>
      <c r="K197" s="26"/>
      <c r="L197" s="26"/>
      <c r="M197" s="26"/>
      <c r="N197" s="32">
        <f t="shared" ref="N197:N200" si="33">If(A191="","",COUNTIF(E191:M191,TRUE)/COUNTA(E191:M191))</f>
        <v>1</v>
      </c>
      <c r="O197" s="24" t="s">
        <v>43</v>
      </c>
      <c r="P197" s="33"/>
    </row>
    <row r="198">
      <c r="A198" s="24" t="s">
        <v>283</v>
      </c>
      <c r="B198" s="24" t="s">
        <v>10</v>
      </c>
      <c r="C198" s="24" t="s">
        <v>45</v>
      </c>
      <c r="D198" s="25" t="s">
        <v>281</v>
      </c>
      <c r="E198" s="26"/>
      <c r="F198" s="26"/>
      <c r="G198" s="26"/>
      <c r="H198" s="26"/>
      <c r="I198" s="26" t="b">
        <v>1</v>
      </c>
      <c r="J198" s="26"/>
      <c r="K198" s="26"/>
      <c r="L198" s="26"/>
      <c r="M198" s="26"/>
      <c r="N198" s="32">
        <f t="shared" si="33"/>
        <v>1</v>
      </c>
      <c r="O198" s="24" t="s">
        <v>43</v>
      </c>
      <c r="P198" s="33"/>
    </row>
    <row r="199">
      <c r="A199" s="24" t="s">
        <v>284</v>
      </c>
      <c r="B199" s="24" t="s">
        <v>10</v>
      </c>
      <c r="C199" s="24" t="s">
        <v>45</v>
      </c>
      <c r="D199" s="25" t="s">
        <v>282</v>
      </c>
      <c r="E199" s="26"/>
      <c r="F199" s="26"/>
      <c r="G199" s="26"/>
      <c r="H199" s="26"/>
      <c r="I199" s="26" t="b">
        <v>1</v>
      </c>
      <c r="J199" s="26"/>
      <c r="K199" s="26"/>
      <c r="L199" s="26"/>
      <c r="M199" s="26"/>
      <c r="N199" s="32">
        <f t="shared" si="33"/>
        <v>1</v>
      </c>
      <c r="O199" s="24" t="s">
        <v>43</v>
      </c>
      <c r="P199" s="33"/>
    </row>
    <row r="200">
      <c r="A200" s="24" t="s">
        <v>285</v>
      </c>
      <c r="B200" s="24" t="s">
        <v>10</v>
      </c>
      <c r="C200" s="24" t="s">
        <v>45</v>
      </c>
      <c r="D200" s="25" t="s">
        <v>252</v>
      </c>
      <c r="E200" s="26"/>
      <c r="F200" s="26"/>
      <c r="G200" s="26"/>
      <c r="H200" s="26"/>
      <c r="I200" s="26" t="b">
        <v>1</v>
      </c>
      <c r="J200" s="26"/>
      <c r="K200" s="26"/>
      <c r="L200" s="26"/>
      <c r="M200" s="26"/>
      <c r="N200" s="32">
        <f t="shared" si="33"/>
        <v>1</v>
      </c>
      <c r="O200" s="24" t="s">
        <v>43</v>
      </c>
      <c r="P200" s="33"/>
    </row>
  </sheetData>
  <autoFilter ref="$A$3:$P$200">
    <filterColumn colId="14">
      <filters/>
    </filterColumn>
  </autoFilter>
  <mergeCells count="3">
    <mergeCell ref="A1:N1"/>
    <mergeCell ref="A2:C2"/>
    <mergeCell ref="D2:N2"/>
  </mergeCells>
  <dataValidations>
    <dataValidation type="list" allowBlank="1" showErrorMessage="1" sqref="C4:C200">
      <formula1>"Sustain,Release &amp; Thank"</formula1>
    </dataValidation>
    <dataValidation type="list" allowBlank="1" showErrorMessage="1" sqref="O4:O200">
      <formula1>"Active,Stake Conf,Complete"</formula1>
    </dataValidation>
    <dataValidation type="list" allowBlank="1" showErrorMessage="1" sqref="B4:B200">
      <formula1>"Charlotte,Holt,Jackson,Lansing,YSA,Owosso,Portland,St Johns,Williamston"</formula1>
    </dataValidation>
  </dataValidation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7.13"/>
    <col customWidth="1" min="6" max="6" width="13.88"/>
    <col customWidth="1" min="7" max="7" width="16.5"/>
    <col customWidth="1" min="8" max="8" width="68.13"/>
  </cols>
  <sheetData>
    <row r="1" ht="44.25" customHeight="1">
      <c r="A1" s="34" t="str">
        <f>IFERROR(__xludf.DUMMYFUNCTION("query(importrange(""https://docs.google.com/spreadsheets/d/1iwIN3yeKgD8IBtajkBMA_Eo__Y1LtWBlom7LvQwfxH4/"",""Status Board!A:I""),""Select Col1, Col2, Col3, Col4, Col5, Col7, Col8, Col9 Where Col1 &lt;&gt; '' and Col5 &lt;&gt; 'Sustain' Order By Col5, Col8, Col7"")"),"Type")</f>
        <v>Type</v>
      </c>
      <c r="B1" s="34" t="str">
        <f>IFERROR(__xludf.DUMMYFUNCTION("""COMPUTED_VALUE"""),"Member Name")</f>
        <v>Member Name</v>
      </c>
      <c r="C1" s="34" t="str">
        <f>IFERROR(__xludf.DUMMYFUNCTION("""COMPUTED_VALUE"""),"Calling")</f>
        <v>Calling</v>
      </c>
      <c r="D1" s="34" t="str">
        <f>IFERROR(__xludf.DUMMYFUNCTION("""COMPUTED_VALUE"""),"Unit")</f>
        <v>Unit</v>
      </c>
      <c r="E1" s="34" t="str">
        <f>IFERROR(__xludf.DUMMYFUNCTION("""COMPUTED_VALUE"""),"Current Step")</f>
        <v>Current Step</v>
      </c>
      <c r="F1" s="34" t="str">
        <f>IFERROR(__xludf.DUMMYFUNCTION("""COMPUTED_VALUE"""),"Assigned to Extend Calling / Release")</f>
        <v>Assigned to Extend Calling / Release</v>
      </c>
      <c r="G1" s="34" t="str">
        <f>IFERROR(__xludf.DUMMYFUNCTION("""COMPUTED_VALUE"""),"Assigned Trainer")</f>
        <v>Assigned Trainer</v>
      </c>
      <c r="H1" s="34" t="str">
        <f>IFERROR(__xludf.DUMMYFUNCTION("""COMPUTED_VALUE"""),"Hyperlink")</f>
        <v>Hyperlink</v>
      </c>
    </row>
    <row r="2">
      <c r="A2" s="35" t="str">
        <f>IFERROR(__xludf.DUMMYFUNCTION("""COMPUTED_VALUE"""),"No Releasings")</f>
        <v>No Releasings</v>
      </c>
      <c r="B2" s="35" t="str">
        <f>IFERROR(__xludf.DUMMYFUNCTION("""COMPUTED_VALUE""")," ")</f>
        <v> </v>
      </c>
      <c r="C2" s="36" t="str">
        <f>IFERROR(__xludf.DUMMYFUNCTION("""COMPUTED_VALUE""")," ")</f>
        <v> </v>
      </c>
      <c r="D2" s="35" t="str">
        <f>IFERROR(__xludf.DUMMYFUNCTION("""COMPUTED_VALUE""")," ")</f>
        <v> </v>
      </c>
      <c r="E2" s="35" t="str">
        <f>IFERROR(__xludf.DUMMYFUNCTION("""COMPUTED_VALUE""")," ")</f>
        <v> </v>
      </c>
      <c r="F2" s="37" t="str">
        <f>IFERROR(__xludf.DUMMYFUNCTION("""COMPUTED_VALUE""")," ")</f>
        <v> </v>
      </c>
      <c r="G2" s="37" t="str">
        <f>IFERROR(__xludf.DUMMYFUNCTION("""COMPUTED_VALUE""")," ")</f>
        <v> </v>
      </c>
      <c r="H2" s="35" t="str">
        <f>IFERROR(__xludf.DUMMYFUNCTION("""COMPUTED_VALUE""")," ")</f>
        <v> </v>
      </c>
    </row>
    <row r="3">
      <c r="A3" s="35" t="str">
        <f>IFERROR(__xludf.DUMMYFUNCTION("""COMPUTED_VALUE"""),"Callings")</f>
        <v>Callings</v>
      </c>
      <c r="B3" s="35" t="str">
        <f>IFERROR(__xludf.DUMMYFUNCTION("""COMPUTED_VALUE"""),"Temple McCrary")</f>
        <v>Temple McCrary</v>
      </c>
      <c r="C3" s="36" t="str">
        <f>IFERROR(__xludf.DUMMYFUNCTION("""COMPUTED_VALUE"""),"Stake Auditor")</f>
        <v>Stake Auditor</v>
      </c>
      <c r="D3" s="35" t="str">
        <f>IFERROR(__xludf.DUMMYFUNCTION("""COMPUTED_VALUE"""),"Lansing")</f>
        <v>Lansing</v>
      </c>
      <c r="E3" s="35" t="str">
        <f>IFERROR(__xludf.DUMMYFUNCTION("""COMPUTED_VALUE"""),"Call / Release")</f>
        <v>Call / Release</v>
      </c>
      <c r="F3" s="37" t="str">
        <f>IFERROR(__xludf.DUMMYFUNCTION("""COMPUTED_VALUE"""),"Pierce")</f>
        <v>Pierce</v>
      </c>
      <c r="G3" s="37"/>
      <c r="H3" s="38" t="str">
        <f>IFERROR(__xludf.DUMMYFUNCTION("""COMPUTED_VALUE"""),"https://docs.google.com/forms/d/e/1FAIpQLSd37AKX0Ca1Yeje6eC6NuliFZj5Spn7I7mXRsa9kBsXMqB-Ag/viewform?edit2=2_ABaOnuc084FrjG7zAzRmpPq49Y4JP88xiAcq-g7-VvQwWFeceQLWBMs_PDHeU79-Vo2bATc")</f>
        <v>https://docs.google.com/forms/d/e/1FAIpQLSd37AKX0Ca1Yeje6eC6NuliFZj5Spn7I7mXRsa9kBsXMqB-Ag/viewform?edit2=2_ABaOnuc084FrjG7zAzRmpPq49Y4JP88xiAcq-g7-VvQwWFeceQLWBMs_PDHeU79-Vo2bATc</v>
      </c>
    </row>
    <row r="4">
      <c r="A4" s="35" t="str">
        <f>IFERROR(__xludf.DUMMYFUNCTION("""COMPUTED_VALUE"""),"Ordinations")</f>
        <v>Ordinations</v>
      </c>
      <c r="B4" s="35" t="str">
        <f>IFERROR(__xludf.DUMMYFUNCTION("""COMPUTED_VALUE"""),"Taylor Smith")</f>
        <v>Taylor Smith</v>
      </c>
      <c r="C4" s="36" t="str">
        <f>IFERROR(__xludf.DUMMYFUNCTION("""COMPUTED_VALUE"""),"High Priest")</f>
        <v>High Priest</v>
      </c>
      <c r="D4" s="35" t="str">
        <f>IFERROR(__xludf.DUMMYFUNCTION("""COMPUTED_VALUE"""),"Lansing")</f>
        <v>Lansing</v>
      </c>
      <c r="E4" s="35" t="str">
        <f>IFERROR(__xludf.DUMMYFUNCTION("""COMPUTED_VALUE"""),"Cancelled")</f>
        <v>Cancelled</v>
      </c>
      <c r="F4" s="37"/>
      <c r="G4" s="37" t="str">
        <f>IFERROR(__xludf.DUMMYFUNCTION("""COMPUTED_VALUE""")," ")</f>
        <v> </v>
      </c>
      <c r="H4" s="38" t="str">
        <f>IFERROR(__xludf.DUMMYFUNCTION("""COMPUTED_VALUE"""),"https://docs.google.com/forms/d/e/1FAIpQLScKfK1Xq_AfFRyZkOlyT2n4Ugr8FdePyUxPct4kYLgKJ3YlMQ/viewform?edit2=2_ABaOnufrbZEpQ1VYeN9BXUBQ6v1OzvXmTFVGlu68JTR1rShH00C-sT1ViaSxcZ8c5g36hTc")</f>
        <v>https://docs.google.com/forms/d/e/1FAIpQLScKfK1Xq_AfFRyZkOlyT2n4Ugr8FdePyUxPct4kYLgKJ3YlMQ/viewform?edit2=2_ABaOnufrbZEpQ1VYeN9BXUBQ6v1OzvXmTFVGlu68JTR1rShH00C-sT1ViaSxcZ8c5g36hTc</v>
      </c>
    </row>
    <row r="5">
      <c r="A5" s="35" t="str">
        <f>IFERROR(__xludf.DUMMYFUNCTION("""COMPUTED_VALUE"""),"Ordinations")</f>
        <v>Ordinations</v>
      </c>
      <c r="B5" s="35" t="str">
        <f>IFERROR(__xludf.DUMMYFUNCTION("""COMPUTED_VALUE"""),"Clayton Hoekwater")</f>
        <v>Clayton Hoekwater</v>
      </c>
      <c r="C5" s="36" t="str">
        <f>IFERROR(__xludf.DUMMYFUNCTION("""COMPUTED_VALUE"""),"Elder")</f>
        <v>Elder</v>
      </c>
      <c r="D5" s="35" t="str">
        <f>IFERROR(__xludf.DUMMYFUNCTION("""COMPUTED_VALUE"""),"YSA")</f>
        <v>YSA</v>
      </c>
      <c r="E5" s="35" t="str">
        <f>IFERROR(__xludf.DUMMYFUNCTION("""COMPUTED_VALUE"""),"Certificate")</f>
        <v>Certificate</v>
      </c>
      <c r="F5" s="37" t="str">
        <f>IFERROR(__xludf.DUMMYFUNCTION("""COMPUTED_VALUE"""),"Conn")</f>
        <v>Conn</v>
      </c>
      <c r="G5" s="37" t="str">
        <f>IFERROR(__xludf.DUMMYFUNCTION("""COMPUTED_VALUE""")," ")</f>
        <v> </v>
      </c>
      <c r="H5" s="38" t="str">
        <f>IFERROR(__xludf.DUMMYFUNCTION("""COMPUTED_VALUE"""),"https://docs.google.com/forms/d/e/1FAIpQLScKfK1Xq_AfFRyZkOlyT2n4Ugr8FdePyUxPct4kYLgKJ3YlMQ/viewform?edit2=2_ABaOnucIF0bUlpImPx8G5Cbwlu76fG6A5FGJO9bhSnfweqQLIYVGJ5NGuH1wd-Vrzig1ARY")</f>
        <v>https://docs.google.com/forms/d/e/1FAIpQLScKfK1Xq_AfFRyZkOlyT2n4Ugr8FdePyUxPct4kYLgKJ3YlMQ/viewform?edit2=2_ABaOnucIF0bUlpImPx8G5Cbwlu76fG6A5FGJO9bhSnfweqQLIYVGJ5NGuH1wd-Vrzig1ARY</v>
      </c>
    </row>
    <row r="6">
      <c r="A6" s="35" t="str">
        <f>IFERROR(__xludf.DUMMYFUNCTION("""COMPUTED_VALUE"""),"Ordinations")</f>
        <v>Ordinations</v>
      </c>
      <c r="B6" s="35" t="str">
        <f>IFERROR(__xludf.DUMMYFUNCTION("""COMPUTED_VALUE"""),"Skyler Roper")</f>
        <v>Skyler Roper</v>
      </c>
      <c r="C6" s="36" t="str">
        <f>IFERROR(__xludf.DUMMYFUNCTION("""COMPUTED_VALUE"""),"High Priest")</f>
        <v>High Priest</v>
      </c>
      <c r="D6" s="35" t="str">
        <f>IFERROR(__xludf.DUMMYFUNCTION("""COMPUTED_VALUE"""),"Portland")</f>
        <v>Portland</v>
      </c>
      <c r="E6" s="35" t="str">
        <f>IFERROR(__xludf.DUMMYFUNCTION("""COMPUTED_VALUE"""),"Certificate")</f>
        <v>Certificate</v>
      </c>
      <c r="F6" s="37" t="str">
        <f>IFERROR(__xludf.DUMMYFUNCTION("""COMPUTED_VALUE"""),"Doty")</f>
        <v>Doty</v>
      </c>
      <c r="G6" s="37" t="str">
        <f>IFERROR(__xludf.DUMMYFUNCTION("""COMPUTED_VALUE""")," ")</f>
        <v> </v>
      </c>
      <c r="H6" s="38" t="str">
        <f>IFERROR(__xludf.DUMMYFUNCTION("""COMPUTED_VALUE"""),"https://docs.google.com/forms/d/e/1FAIpQLScKfK1Xq_AfFRyZkOlyT2n4Ugr8FdePyUxPct4kYLgKJ3YlMQ/viewform?edit2=2_ABaOnucvgZ8hcmHj8eo8Gttfaa2Xb_k25Mz2N0V6ThqYfwGsiep8vt9_VOKJTNSs6iScXCU")</f>
        <v>https://docs.google.com/forms/d/e/1FAIpQLScKfK1Xq_AfFRyZkOlyT2n4Ugr8FdePyUxPct4kYLgKJ3YlMQ/viewform?edit2=2_ABaOnucvgZ8hcmHj8eo8Gttfaa2Xb_k25Mz2N0V6ThqYfwGsiep8vt9_VOKJTNSs6iScXCU</v>
      </c>
    </row>
    <row r="7">
      <c r="A7" s="35" t="str">
        <f>IFERROR(__xludf.DUMMYFUNCTION("""COMPUTED_VALUE"""),"Ordinations")</f>
        <v>Ordinations</v>
      </c>
      <c r="B7" s="35" t="str">
        <f>IFERROR(__xludf.DUMMYFUNCTION("""COMPUTED_VALUE"""),"Gavin Johnson")</f>
        <v>Gavin Johnson</v>
      </c>
      <c r="C7" s="36" t="str">
        <f>IFERROR(__xludf.DUMMYFUNCTION("""COMPUTED_VALUE"""),"High Priest")</f>
        <v>High Priest</v>
      </c>
      <c r="D7" s="35" t="str">
        <f>IFERROR(__xludf.DUMMYFUNCTION("""COMPUTED_VALUE"""),"Lansing")</f>
        <v>Lansing</v>
      </c>
      <c r="E7" s="35" t="str">
        <f>IFERROR(__xludf.DUMMYFUNCTION("""COMPUTED_VALUE"""),"Ordination")</f>
        <v>Ordination</v>
      </c>
      <c r="F7" s="37" t="str">
        <f>IFERROR(__xludf.DUMMYFUNCTION("""COMPUTED_VALUE"""),"Earl")</f>
        <v>Earl</v>
      </c>
      <c r="G7" s="37" t="str">
        <f>IFERROR(__xludf.DUMMYFUNCTION("""COMPUTED_VALUE""")," ")</f>
        <v> </v>
      </c>
      <c r="H7" s="38" t="str">
        <f>IFERROR(__xludf.DUMMYFUNCTION("""COMPUTED_VALUE"""),"https://docs.google.com/forms/d/e/1FAIpQLScKfK1Xq_AfFRyZkOlyT2n4Ugr8FdePyUxPct4kYLgKJ3YlMQ/viewform?edit2=2_ABaOnucYlNz1YoXLPBAYyST6WlmELb1kBnM9BfkUaTxKov-rM8gB0ieRnkyVKFnayrBrwdE")</f>
        <v>https://docs.google.com/forms/d/e/1FAIpQLScKfK1Xq_AfFRyZkOlyT2n4Ugr8FdePyUxPct4kYLgKJ3YlMQ/viewform?edit2=2_ABaOnucYlNz1YoXLPBAYyST6WlmELb1kBnM9BfkUaTxKov-rM8gB0ieRnkyVKFnayrBrwdE</v>
      </c>
    </row>
    <row r="8">
      <c r="A8" s="35" t="str">
        <f>IFERROR(__xludf.DUMMYFUNCTION("""COMPUTED_VALUE"""),"Ordinations")</f>
        <v>Ordinations</v>
      </c>
      <c r="B8" s="35" t="str">
        <f>IFERROR(__xludf.DUMMYFUNCTION("""COMPUTED_VALUE"""),"Tristan Packard")</f>
        <v>Tristan Packard</v>
      </c>
      <c r="C8" s="36" t="str">
        <f>IFERROR(__xludf.DUMMYFUNCTION("""COMPUTED_VALUE"""),"High Priest")</f>
        <v>High Priest</v>
      </c>
      <c r="D8" s="35" t="str">
        <f>IFERROR(__xludf.DUMMYFUNCTION("""COMPUTED_VALUE"""),"Lansing")</f>
        <v>Lansing</v>
      </c>
      <c r="E8" s="35" t="str">
        <f>IFERROR(__xludf.DUMMYFUNCTION("""COMPUTED_VALUE"""),"Ordination")</f>
        <v>Ordination</v>
      </c>
      <c r="F8" s="37" t="str">
        <f>IFERROR(__xludf.DUMMYFUNCTION("""COMPUTED_VALUE"""),"Earl")</f>
        <v>Earl</v>
      </c>
      <c r="G8" s="37" t="str">
        <f>IFERROR(__xludf.DUMMYFUNCTION("""COMPUTED_VALUE""")," ")</f>
        <v> </v>
      </c>
      <c r="H8" s="38" t="str">
        <f>IFERROR(__xludf.DUMMYFUNCTION("""COMPUTED_VALUE"""),"https://docs.google.com/forms/d/e/1FAIpQLScKfK1Xq_AfFRyZkOlyT2n4Ugr8FdePyUxPct4kYLgKJ3YlMQ/viewform?edit2=2_ABaOnucINqfbL2HNtyT2-rdXO1PHIOPKQtPP-hALfOhqsXkOd_XPh6FLRTCqadIMuXnaou0")</f>
        <v>https://docs.google.com/forms/d/e/1FAIpQLScKfK1Xq_AfFRyZkOlyT2n4Ugr8FdePyUxPct4kYLgKJ3YlMQ/viewform?edit2=2_ABaOnucINqfbL2HNtyT2-rdXO1PHIOPKQtPP-hALfOhqsXkOd_XPh6FLRTCqadIMuXnaou0</v>
      </c>
    </row>
    <row r="9">
      <c r="A9" s="35" t="str">
        <f>IFERROR(__xludf.DUMMYFUNCTION("""COMPUTED_VALUE"""),"Callings")</f>
        <v>Callings</v>
      </c>
      <c r="B9" s="35" t="str">
        <f>IFERROR(__xludf.DUMMYFUNCTION("""COMPUTED_VALUE"""),"Tristan Packard")</f>
        <v>Tristan Packard</v>
      </c>
      <c r="C9" s="36" t="str">
        <f>IFERROR(__xludf.DUMMYFUNCTION("""COMPUTED_VALUE"""),"Bishopric 2nd Counselor")</f>
        <v>Bishopric 2nd Counselor</v>
      </c>
      <c r="D9" s="35" t="str">
        <f>IFERROR(__xludf.DUMMYFUNCTION("""COMPUTED_VALUE"""),"Lansing")</f>
        <v>Lansing</v>
      </c>
      <c r="E9" s="35" t="str">
        <f>IFERROR(__xludf.DUMMYFUNCTION("""COMPUTED_VALUE"""),"Set Apart")</f>
        <v>Set Apart</v>
      </c>
      <c r="F9" s="37" t="str">
        <f>IFERROR(__xludf.DUMMYFUNCTION("""COMPUTED_VALUE"""),"Earl")</f>
        <v>Earl</v>
      </c>
      <c r="G9" s="37" t="str">
        <f>IFERROR(__xludf.DUMMYFUNCTION("""COMPUTED_VALUE"""),"Earl")</f>
        <v>Earl</v>
      </c>
      <c r="H9" s="38" t="str">
        <f>IFERROR(__xludf.DUMMYFUNCTION("""COMPUTED_VALUE"""),"https://docs.google.com/forms/d/e/1FAIpQLSd37AKX0Ca1Yeje6eC6NuliFZj5Spn7I7mXRsa9kBsXMqB-Ag/viewform?edit2=2_ABaOnucU6DOq6qcvz42zkHjhZlqUckdI_P7WQvTHT6kRvXPS0nedw-Lqwshw-TPP60rFl40")</f>
        <v>https://docs.google.com/forms/d/e/1FAIpQLSd37AKX0Ca1Yeje6eC6NuliFZj5Spn7I7mXRsa9kBsXMqB-Ag/viewform?edit2=2_ABaOnucU6DOq6qcvz42zkHjhZlqUckdI_P7WQvTHT6kRvXPS0nedw-Lqwshw-TPP60rFl40</v>
      </c>
    </row>
    <row r="10">
      <c r="A10" s="35" t="str">
        <f>IFERROR(__xludf.DUMMYFUNCTION("""COMPUTED_VALUE"""),"Callings")</f>
        <v>Callings</v>
      </c>
      <c r="B10" s="35" t="str">
        <f>IFERROR(__xludf.DUMMYFUNCTION("""COMPUTED_VALUE"""),"Gavin Johnson")</f>
        <v>Gavin Johnson</v>
      </c>
      <c r="C10" s="36" t="str">
        <f>IFERROR(__xludf.DUMMYFUNCTION("""COMPUTED_VALUE"""),"Bishopric 1st Counselor")</f>
        <v>Bishopric 1st Counselor</v>
      </c>
      <c r="D10" s="35" t="str">
        <f>IFERROR(__xludf.DUMMYFUNCTION("""COMPUTED_VALUE"""),"Lansing")</f>
        <v>Lansing</v>
      </c>
      <c r="E10" s="35" t="str">
        <f>IFERROR(__xludf.DUMMYFUNCTION("""COMPUTED_VALUE"""),"Set Apart")</f>
        <v>Set Apart</v>
      </c>
      <c r="F10" s="37" t="str">
        <f>IFERROR(__xludf.DUMMYFUNCTION("""COMPUTED_VALUE"""),"Earl")</f>
        <v>Earl</v>
      </c>
      <c r="G10" s="37" t="str">
        <f>IFERROR(__xludf.DUMMYFUNCTION("""COMPUTED_VALUE"""),"Earl")</f>
        <v>Earl</v>
      </c>
      <c r="H10" s="38" t="str">
        <f>IFERROR(__xludf.DUMMYFUNCTION("""COMPUTED_VALUE"""),"https://docs.google.com/forms/d/e/1FAIpQLSd37AKX0Ca1Yeje6eC6NuliFZj5Spn7I7mXRsa9kBsXMqB-Ag/viewform?edit2=2_ABaOnuerF-9S-0PUnAo-xLIpSHuJa6TuFg8a5-HK4pKoELYuVYouRoOvSYDtqHqjDqv1WPE")</f>
        <v>https://docs.google.com/forms/d/e/1FAIpQLSd37AKX0Ca1Yeje6eC6NuliFZj5Spn7I7mXRsa9kBsXMqB-Ag/viewform?edit2=2_ABaOnuerF-9S-0PUnAo-xLIpSHuJa6TuFg8a5-HK4pKoELYuVYouRoOvSYDtqHqjDqv1WPE</v>
      </c>
    </row>
    <row r="11">
      <c r="A11" s="35" t="str">
        <f>IFERROR(__xludf.DUMMYFUNCTION("""COMPUTED_VALUE"""),"Callings")</f>
        <v>Callings</v>
      </c>
      <c r="B11" s="35" t="str">
        <f>IFERROR(__xludf.DUMMYFUNCTION("""COMPUTED_VALUE"""),"Barbara Miller")</f>
        <v>Barbara Miller</v>
      </c>
      <c r="C11" s="36" t="str">
        <f>IFERROR(__xludf.DUMMYFUNCTION("""COMPUTED_VALUE"""),"Stake YW Secretary")</f>
        <v>Stake YW Secretary</v>
      </c>
      <c r="D11" s="35" t="str">
        <f>IFERROR(__xludf.DUMMYFUNCTION("""COMPUTED_VALUE"""),"Williamston")</f>
        <v>Williamston</v>
      </c>
      <c r="E11" s="35" t="str">
        <f>IFERROR(__xludf.DUMMYFUNCTION("""COMPUTED_VALUE"""),"Training")</f>
        <v>Training</v>
      </c>
      <c r="F11" s="37" t="str">
        <f>IFERROR(__xludf.DUMMYFUNCTION("""COMPUTED_VALUE"""),"B. Thorpe")</f>
        <v>B. Thorpe</v>
      </c>
      <c r="G11" s="37" t="str">
        <f>IFERROR(__xludf.DUMMYFUNCTION("""COMPUTED_VALUE"""),"B. Thorpe")</f>
        <v>B. Thorpe</v>
      </c>
      <c r="H11" s="38" t="str">
        <f>IFERROR(__xludf.DUMMYFUNCTION("""COMPUTED_VALUE"""),"https://docs.google.com/forms/d/e/1FAIpQLSd37AKX0Ca1Yeje6eC6NuliFZj5Spn7I7mXRsa9kBsXMqB-Ag/viewform?edit2=2_ABaOnueqOA9jOURj75fgFVzTPRoS4CvrWRrmHCOIfJ0-em66xU40R2VatgNoW4WQt5tTjMU")</f>
        <v>https://docs.google.com/forms/d/e/1FAIpQLSd37AKX0Ca1Yeje6eC6NuliFZj5Spn7I7mXRsa9kBsXMqB-Ag/viewform?edit2=2_ABaOnueqOA9jOURj75fgFVzTPRoS4CvrWRrmHCOIfJ0-em66xU40R2VatgNoW4WQt5tTjMU</v>
      </c>
    </row>
    <row r="12">
      <c r="A12" s="35" t="str">
        <f>IFERROR(__xludf.DUMMYFUNCTION("""COMPUTED_VALUE"""),"Callings")</f>
        <v>Callings</v>
      </c>
      <c r="B12" s="35" t="str">
        <f>IFERROR(__xludf.DUMMYFUNCTION("""COMPUTED_VALUE"""),"Andrea Lowder")</f>
        <v>Andrea Lowder</v>
      </c>
      <c r="C12" s="36" t="str">
        <f>IFERROR(__xludf.DUMMYFUNCTION("""COMPUTED_VALUE"""),"Stake YW 1st Counselor")</f>
        <v>Stake YW 1st Counselor</v>
      </c>
      <c r="D12" s="35" t="str">
        <f>IFERROR(__xludf.DUMMYFUNCTION("""COMPUTED_VALUE"""),"Holt")</f>
        <v>Holt</v>
      </c>
      <c r="E12" s="35" t="str">
        <f>IFERROR(__xludf.DUMMYFUNCTION("""COMPUTED_VALUE"""),"Training")</f>
        <v>Training</v>
      </c>
      <c r="F12" s="37" t="str">
        <f>IFERROR(__xludf.DUMMYFUNCTION("""COMPUTED_VALUE"""),"B. Thorpe")</f>
        <v>B. Thorpe</v>
      </c>
      <c r="G12" s="37" t="str">
        <f>IFERROR(__xludf.DUMMYFUNCTION("""COMPUTED_VALUE"""),"B. Thorpe")</f>
        <v>B. Thorpe</v>
      </c>
      <c r="H12" s="38" t="str">
        <f>IFERROR(__xludf.DUMMYFUNCTION("""COMPUTED_VALUE"""),"https://docs.google.com/forms/d/e/1FAIpQLSd37AKX0Ca1Yeje6eC6NuliFZj5Spn7I7mXRsa9kBsXMqB-Ag/viewform?edit2=2_ABaOnudeQNpZK8qo5P01o5m8u1nK-nidTP440bH0iWjs2673t7t6cup8pQiFCCzYZAU0aPQ")</f>
        <v>https://docs.google.com/forms/d/e/1FAIpQLSd37AKX0Ca1Yeje6eC6NuliFZj5Spn7I7mXRsa9kBsXMqB-Ag/viewform?edit2=2_ABaOnudeQNpZK8qo5P01o5m8u1nK-nidTP440bH0iWjs2673t7t6cup8pQiFCCzYZAU0aPQ</v>
      </c>
    </row>
    <row r="13">
      <c r="A13" s="35" t="str">
        <f>IFERROR(__xludf.DUMMYFUNCTION("""COMPUTED_VALUE"""),"Callings")</f>
        <v>Callings</v>
      </c>
      <c r="B13" s="35" t="str">
        <f>IFERROR(__xludf.DUMMYFUNCTION("""COMPUTED_VALUE"""),"Jonathan Boegler")</f>
        <v>Jonathan Boegler</v>
      </c>
      <c r="C13" s="36" t="str">
        <f>IFERROR(__xludf.DUMMYFUNCTION("""COMPUTED_VALUE"""),"EQ 1st Counselor")</f>
        <v>EQ 1st Counselor</v>
      </c>
      <c r="D13" s="35" t="str">
        <f>IFERROR(__xludf.DUMMYFUNCTION("""COMPUTED_VALUE"""),"Jackson")</f>
        <v>Jackson</v>
      </c>
      <c r="E13" s="35" t="str">
        <f>IFERROR(__xludf.DUMMYFUNCTION("""COMPUTED_VALUE"""),"Training")</f>
        <v>Training</v>
      </c>
      <c r="F13" s="37" t="str">
        <f>IFERROR(__xludf.DUMMYFUNCTION("""COMPUTED_VALUE"""),"D. Thorpe")</f>
        <v>D. Thorpe</v>
      </c>
      <c r="G13" s="37" t="str">
        <f>IFERROR(__xludf.DUMMYFUNCTION("""COMPUTED_VALUE"""),"D. Thorpe")</f>
        <v>D. Thorpe</v>
      </c>
      <c r="H13" s="38" t="str">
        <f>IFERROR(__xludf.DUMMYFUNCTION("""COMPUTED_VALUE"""),"https://docs.google.com/forms/d/e/1FAIpQLSd37AKX0Ca1Yeje6eC6NuliFZj5Spn7I7mXRsa9kBsXMqB-Ag/viewform?edit2=2_ABaOnuff1NqAKnZeZFWYAZ37X-J5lZZRuI-4HxjIyakngMffc9MgN7mqhOsy4yZwbSwlM5A")</f>
        <v>https://docs.google.com/forms/d/e/1FAIpQLSd37AKX0Ca1Yeje6eC6NuliFZj5Spn7I7mXRsa9kBsXMqB-Ag/viewform?edit2=2_ABaOnuff1NqAKnZeZFWYAZ37X-J5lZZRuI-4HxjIyakngMffc9MgN7mqhOsy4yZwbSwlM5A</v>
      </c>
    </row>
    <row r="14">
      <c r="A14" s="35" t="str">
        <f>IFERROR(__xludf.DUMMYFUNCTION("""COMPUTED_VALUE"""),"Callings")</f>
        <v>Callings</v>
      </c>
      <c r="B14" s="35" t="str">
        <f>IFERROR(__xludf.DUMMYFUNCTION("""COMPUTED_VALUE"""),"Mark Witbeck")</f>
        <v>Mark Witbeck</v>
      </c>
      <c r="C14" s="36" t="str">
        <f>IFERROR(__xludf.DUMMYFUNCTION("""COMPUTED_VALUE"""),"Branch Presidency 2nd Counselor")</f>
        <v>Branch Presidency 2nd Counselor</v>
      </c>
      <c r="D14" s="35" t="str">
        <f>IFERROR(__xludf.DUMMYFUNCTION("""COMPUTED_VALUE"""),"Portland")</f>
        <v>Portland</v>
      </c>
      <c r="E14" s="35" t="str">
        <f>IFERROR(__xludf.DUMMYFUNCTION("""COMPUTED_VALUE"""),"Training")</f>
        <v>Training</v>
      </c>
      <c r="F14" s="37" t="str">
        <f>IFERROR(__xludf.DUMMYFUNCTION("""COMPUTED_VALUE"""),"Earl")</f>
        <v>Earl</v>
      </c>
      <c r="G14" s="37" t="str">
        <f>IFERROR(__xludf.DUMMYFUNCTION("""COMPUTED_VALUE"""),"Earl")</f>
        <v>Earl</v>
      </c>
      <c r="H14" s="38" t="str">
        <f>IFERROR(__xludf.DUMMYFUNCTION("""COMPUTED_VALUE"""),"https://docs.google.com/forms/d/e/1FAIpQLSd37AKX0Ca1Yeje6eC6NuliFZj5Spn7I7mXRsa9kBsXMqB-Ag/viewform?edit2=2_ABaOnuf6drCWA-IZBlNqDAotDEssKORUs-S1i6ryHOYbNmm5r74FiPSdK2RgyzyGz8V24y8")</f>
        <v>https://docs.google.com/forms/d/e/1FAIpQLSd37AKX0Ca1Yeje6eC6NuliFZj5Spn7I7mXRsa9kBsXMqB-Ag/viewform?edit2=2_ABaOnuf6drCWA-IZBlNqDAotDEssKORUs-S1i6ryHOYbNmm5r74FiPSdK2RgyzyGz8V24y8</v>
      </c>
    </row>
    <row r="15">
      <c r="A15" s="35" t="str">
        <f>IFERROR(__xludf.DUMMYFUNCTION("""COMPUTED_VALUE"""),"Callings")</f>
        <v>Callings</v>
      </c>
      <c r="B15" s="35" t="str">
        <f>IFERROR(__xludf.DUMMYFUNCTION("""COMPUTED_VALUE"""),"Del Sterling")</f>
        <v>Del Sterling</v>
      </c>
      <c r="C15" s="36" t="str">
        <f>IFERROR(__xludf.DUMMYFUNCTION("""COMPUTED_VALUE"""),"Branch Presidency 1st Counselor")</f>
        <v>Branch Presidency 1st Counselor</v>
      </c>
      <c r="D15" s="35" t="str">
        <f>IFERROR(__xludf.DUMMYFUNCTION("""COMPUTED_VALUE"""),"Portland")</f>
        <v>Portland</v>
      </c>
      <c r="E15" s="35" t="str">
        <f>IFERROR(__xludf.DUMMYFUNCTION("""COMPUTED_VALUE"""),"Training")</f>
        <v>Training</v>
      </c>
      <c r="F15" s="37" t="str">
        <f>IFERROR(__xludf.DUMMYFUNCTION("""COMPUTED_VALUE"""),"Earl")</f>
        <v>Earl</v>
      </c>
      <c r="G15" s="37" t="str">
        <f>IFERROR(__xludf.DUMMYFUNCTION("""COMPUTED_VALUE"""),"Earl")</f>
        <v>Earl</v>
      </c>
      <c r="H15" s="38" t="str">
        <f>IFERROR(__xludf.DUMMYFUNCTION("""COMPUTED_VALUE"""),"https://docs.google.com/forms/d/e/1FAIpQLSd37AKX0Ca1Yeje6eC6NuliFZj5Spn7I7mXRsa9kBsXMqB-Ag/viewform?edit2=2_ABaOnucXYh7TXzTa8Eiqh6G2iI9SDkB9z7HxXc-muPtZY1lxw5j5SfdnONWyGViUYdQGjOE")</f>
        <v>https://docs.google.com/forms/d/e/1FAIpQLSd37AKX0Ca1Yeje6eC6NuliFZj5Spn7I7mXRsa9kBsXMqB-Ag/viewform?edit2=2_ABaOnucXYh7TXzTa8Eiqh6G2iI9SDkB9z7HxXc-muPtZY1lxw5j5SfdnONWyGViUYdQGjOE</v>
      </c>
    </row>
    <row r="16">
      <c r="A16" s="35" t="str">
        <f>IFERROR(__xludf.DUMMYFUNCTION("""COMPUTED_VALUE"""),"Callings")</f>
        <v>Callings</v>
      </c>
      <c r="B16" s="35" t="str">
        <f>IFERROR(__xludf.DUMMYFUNCTION("""COMPUTED_VALUE"""),"Tanner Hickman")</f>
        <v>Tanner Hickman</v>
      </c>
      <c r="C16" s="36" t="str">
        <f>IFERROR(__xludf.DUMMYFUNCTION("""COMPUTED_VALUE"""),"Bishop")</f>
        <v>Bishop</v>
      </c>
      <c r="D16" s="35" t="str">
        <f>IFERROR(__xludf.DUMMYFUNCTION("""COMPUTED_VALUE"""),"Lansing")</f>
        <v>Lansing</v>
      </c>
      <c r="E16" s="35" t="str">
        <f>IFERROR(__xludf.DUMMYFUNCTION("""COMPUTED_VALUE"""),"Training")</f>
        <v>Training</v>
      </c>
      <c r="F16" s="37" t="str">
        <f>IFERROR(__xludf.DUMMYFUNCTION("""COMPUTED_VALUE"""),"Rawson")</f>
        <v>Rawson</v>
      </c>
      <c r="G16" s="37" t="str">
        <f>IFERROR(__xludf.DUMMYFUNCTION("""COMPUTED_VALUE"""),"Earl")</f>
        <v>Earl</v>
      </c>
      <c r="H16" s="38" t="str">
        <f>IFERROR(__xludf.DUMMYFUNCTION("""COMPUTED_VALUE"""),"https://docs.google.com/forms/d/e/1FAIpQLSd37AKX0Ca1Yeje6eC6NuliFZj5Spn7I7mXRsa9kBsXMqB-Ag/viewform?edit2=2_ABaOnuf2j7989Basd7RqeWk5ShbfC9vglbQAYME_8G0y9KgxN5a2Sxu33yjZSF-7UYqZu8U")</f>
        <v>https://docs.google.com/forms/d/e/1FAIpQLSd37AKX0Ca1Yeje6eC6NuliFZj5Spn7I7mXRsa9kBsXMqB-Ag/viewform?edit2=2_ABaOnuf2j7989Basd7RqeWk5ShbfC9vglbQAYME_8G0y9KgxN5a2Sxu33yjZSF-7UYqZu8U</v>
      </c>
    </row>
    <row r="17">
      <c r="A17" s="35" t="str">
        <f>IFERROR(__xludf.DUMMYFUNCTION("""COMPUTED_VALUE"""),"Callings")</f>
        <v>Callings</v>
      </c>
      <c r="B17" s="35" t="str">
        <f>IFERROR(__xludf.DUMMYFUNCTION("""COMPUTED_VALUE"""),"Skyler Roper")</f>
        <v>Skyler Roper</v>
      </c>
      <c r="C17" s="36" t="str">
        <f>IFERROR(__xludf.DUMMYFUNCTION("""COMPUTED_VALUE"""),"Branch President")</f>
        <v>Branch President</v>
      </c>
      <c r="D17" s="35" t="str">
        <f>IFERROR(__xludf.DUMMYFUNCTION("""COMPUTED_VALUE"""),"Portland")</f>
        <v>Portland</v>
      </c>
      <c r="E17" s="35" t="str">
        <f>IFERROR(__xludf.DUMMYFUNCTION("""COMPUTED_VALUE"""),"Training")</f>
        <v>Training</v>
      </c>
      <c r="F17" s="37" t="str">
        <f>IFERROR(__xludf.DUMMYFUNCTION("""COMPUTED_VALUE"""),"Rawson")</f>
        <v>Rawson</v>
      </c>
      <c r="G17" s="37" t="str">
        <f>IFERROR(__xludf.DUMMYFUNCTION("""COMPUTED_VALUE"""),"Earl")</f>
        <v>Earl</v>
      </c>
      <c r="H17" s="38" t="str">
        <f>IFERROR(__xludf.DUMMYFUNCTION("""COMPUTED_VALUE"""),"https://docs.google.com/forms/d/e/1FAIpQLSd37AKX0Ca1Yeje6eC6NuliFZj5Spn7I7mXRsa9kBsXMqB-Ag/viewform?edit2=2_ABaOnueza0QWbrwz8T7sWbuoj8RQ0uTYVPMjIOquJLrwomLqVasBXKQ7q4oPdU42q5sebnY")</f>
        <v>https://docs.google.com/forms/d/e/1FAIpQLSd37AKX0Ca1Yeje6eC6NuliFZj5Spn7I7mXRsa9kBsXMqB-Ag/viewform?edit2=2_ABaOnueza0QWbrwz8T7sWbuoj8RQ0uTYVPMjIOquJLrwomLqVasBXKQ7q4oPdU42q5sebnY</v>
      </c>
    </row>
    <row r="18">
      <c r="A18" s="35" t="str">
        <f>IFERROR(__xludf.DUMMYFUNCTION("""COMPUTED_VALUE"""),"Callings")</f>
        <v>Callings</v>
      </c>
      <c r="B18" s="35" t="str">
        <f>IFERROR(__xludf.DUMMYFUNCTION("""COMPUTED_VALUE"""),"Sawyer Barney")</f>
        <v>Sawyer Barney</v>
      </c>
      <c r="C18" s="36" t="str">
        <f>IFERROR(__xludf.DUMMYFUNCTION("""COMPUTED_VALUE"""),"Executive Secretary")</f>
        <v>Executive Secretary</v>
      </c>
      <c r="D18" s="35" t="str">
        <f>IFERROR(__xludf.DUMMYFUNCTION("""COMPUTED_VALUE"""),"Lansing")</f>
        <v>Lansing</v>
      </c>
      <c r="E18" s="35" t="str">
        <f>IFERROR(__xludf.DUMMYFUNCTION("""COMPUTED_VALUE"""),"Training")</f>
        <v>Training</v>
      </c>
      <c r="F18" s="37" t="str">
        <f>IFERROR(__xludf.DUMMYFUNCTION("""COMPUTED_VALUE"""),"Earl")</f>
        <v>Earl</v>
      </c>
      <c r="G18" s="37" t="str">
        <f>IFERROR(__xludf.DUMMYFUNCTION("""COMPUTED_VALUE"""),"Hilgendorf")</f>
        <v>Hilgendorf</v>
      </c>
      <c r="H18" s="38" t="str">
        <f>IFERROR(__xludf.DUMMYFUNCTION("""COMPUTED_VALUE"""),"https://docs.google.com/forms/d/e/1FAIpQLSd37AKX0Ca1Yeje6eC6NuliFZj5Spn7I7mXRsa9kBsXMqB-Ag/viewform?edit2=2_ABaOnue8mI5AYqilJnQ-23IHeU09ipqfAONkBPAhQ3a3okU2s71v_L1uHn7A2GfefVIT5vE")</f>
        <v>https://docs.google.com/forms/d/e/1FAIpQLSd37AKX0Ca1Yeje6eC6NuliFZj5Spn7I7mXRsa9kBsXMqB-Ag/viewform?edit2=2_ABaOnue8mI5AYqilJnQ-23IHeU09ipqfAONkBPAhQ3a3okU2s71v_L1uHn7A2GfefVIT5vE</v>
      </c>
    </row>
    <row r="19">
      <c r="A19" s="35" t="str">
        <f>IFERROR(__xludf.DUMMYFUNCTION("""COMPUTED_VALUE"""),"Callings")</f>
        <v>Callings</v>
      </c>
      <c r="B19" s="35" t="str">
        <f>IFERROR(__xludf.DUMMYFUNCTION("""COMPUTED_VALUE"""),"Giacinto Lucci Sr.")</f>
        <v>Giacinto Lucci Sr.</v>
      </c>
      <c r="C19" s="36" t="str">
        <f>IFERROR(__xludf.DUMMYFUNCTION("""COMPUTED_VALUE"""),"EQ 1st Counselor")</f>
        <v>EQ 1st Counselor</v>
      </c>
      <c r="D19" s="35" t="str">
        <f>IFERROR(__xludf.DUMMYFUNCTION("""COMPUTED_VALUE"""),"Charlotte")</f>
        <v>Charlotte</v>
      </c>
      <c r="E19" s="35" t="str">
        <f>IFERROR(__xludf.DUMMYFUNCTION("""COMPUTED_VALUE"""),"Training")</f>
        <v>Training</v>
      </c>
      <c r="F19" s="37" t="str">
        <f>IFERROR(__xludf.DUMMYFUNCTION("""COMPUTED_VALUE"""),"Nelson")</f>
        <v>Nelson</v>
      </c>
      <c r="G19" s="37" t="str">
        <f>IFERROR(__xludf.DUMMYFUNCTION("""COMPUTED_VALUE"""),"Nelson")</f>
        <v>Nelson</v>
      </c>
      <c r="H19" s="38" t="str">
        <f>IFERROR(__xludf.DUMMYFUNCTION("""COMPUTED_VALUE"""),"https://docs.google.com/forms/d/e/1FAIpQLSd37AKX0Ca1Yeje6eC6NuliFZj5Spn7I7mXRsa9kBsXMqB-Ag/viewform?edit2=2_ABaOnufG4qkFQOtlvqNs92E6J7QIRFpabq77LhYs1EKoIUylzebWNv8mFo_PoidwofkyZ0Y")</f>
        <v>https://docs.google.com/forms/d/e/1FAIpQLSd37AKX0Ca1Yeje6eC6NuliFZj5Spn7I7mXRsa9kBsXMqB-Ag/viewform?edit2=2_ABaOnufG4qkFQOtlvqNs92E6J7QIRFpabq77LhYs1EKoIUylzebWNv8mFo_PoidwofkyZ0Y</v>
      </c>
    </row>
    <row r="20">
      <c r="A20" s="35" t="str">
        <f>IFERROR(__xludf.DUMMYFUNCTION("""COMPUTED_VALUE"""),"Callings")</f>
        <v>Callings</v>
      </c>
      <c r="B20" s="35" t="str">
        <f>IFERROR(__xludf.DUMMYFUNCTION("""COMPUTED_VALUE"""),"David Polhamus")</f>
        <v>David Polhamus</v>
      </c>
      <c r="C20" s="36" t="str">
        <f>IFERROR(__xludf.DUMMYFUNCTION("""COMPUTED_VALUE"""),"EQ 2nd Counselor")</f>
        <v>EQ 2nd Counselor</v>
      </c>
      <c r="D20" s="35" t="str">
        <f>IFERROR(__xludf.DUMMYFUNCTION("""COMPUTED_VALUE"""),"Charlotte")</f>
        <v>Charlotte</v>
      </c>
      <c r="E20" s="35" t="str">
        <f>IFERROR(__xludf.DUMMYFUNCTION("""COMPUTED_VALUE"""),"Training")</f>
        <v>Training</v>
      </c>
      <c r="F20" s="37" t="str">
        <f>IFERROR(__xludf.DUMMYFUNCTION("""COMPUTED_VALUE"""),"Nelson")</f>
        <v>Nelson</v>
      </c>
      <c r="G20" s="37" t="str">
        <f>IFERROR(__xludf.DUMMYFUNCTION("""COMPUTED_VALUE"""),"Nelson")</f>
        <v>Nelson</v>
      </c>
      <c r="H20" s="38" t="str">
        <f>IFERROR(__xludf.DUMMYFUNCTION("""COMPUTED_VALUE"""),"https://docs.google.com/forms/d/e/1FAIpQLSd37AKX0Ca1Yeje6eC6NuliFZj5Spn7I7mXRsa9kBsXMqB-Ag/viewform?edit2=2_ABaOnueYWLUCkhOyJAhdd6sl35WX-SzQl1fVfL0acBK39C3PrSGDfh5FKCpV-EWK10pwrqQ")</f>
        <v>https://docs.google.com/forms/d/e/1FAIpQLSd37AKX0Ca1Yeje6eC6NuliFZj5Spn7I7mXRsa9kBsXMqB-Ag/viewform?edit2=2_ABaOnueYWLUCkhOyJAhdd6sl35WX-SzQl1fVfL0acBK39C3PrSGDfh5FKCpV-EWK10pwrqQ</v>
      </c>
    </row>
    <row r="21">
      <c r="A21" s="35" t="str">
        <f>IFERROR(__xludf.DUMMYFUNCTION("""COMPUTED_VALUE"""),"Callings")</f>
        <v>Callings</v>
      </c>
      <c r="B21" s="35" t="str">
        <f>IFERROR(__xludf.DUMMYFUNCTION("""COMPUTED_VALUE"""),"Jordan Coker")</f>
        <v>Jordan Coker</v>
      </c>
      <c r="C21" s="36" t="str">
        <f>IFERROR(__xludf.DUMMYFUNCTION("""COMPUTED_VALUE"""),"Elders Quorum President")</f>
        <v>Elders Quorum President</v>
      </c>
      <c r="D21" s="35" t="str">
        <f>IFERROR(__xludf.DUMMYFUNCTION("""COMPUTED_VALUE"""),"Charlotte")</f>
        <v>Charlotte</v>
      </c>
      <c r="E21" s="35" t="str">
        <f>IFERROR(__xludf.DUMMYFUNCTION("""COMPUTED_VALUE"""),"Training")</f>
        <v>Training</v>
      </c>
      <c r="F21" s="37" t="str">
        <f>IFERROR(__xludf.DUMMYFUNCTION("""COMPUTED_VALUE"""),"Rawson")</f>
        <v>Rawson</v>
      </c>
      <c r="G21" s="37" t="str">
        <f>IFERROR(__xludf.DUMMYFUNCTION("""COMPUTED_VALUE"""),"Nelson")</f>
        <v>Nelson</v>
      </c>
      <c r="H21" s="38" t="str">
        <f>IFERROR(__xludf.DUMMYFUNCTION("""COMPUTED_VALUE"""),"https://docs.google.com/forms/d/e/1FAIpQLSd37AKX0Ca1Yeje6eC6NuliFZj5Spn7I7mXRsa9kBsXMqB-Ag/viewform?edit2=2_ABaOnucjwEQQpKVtkpHfLLSdr7wlsJ123jmny_Y0VAZ3t1dzFLz17xf1AylOpEj0gIyz5Dg")</f>
        <v>https://docs.google.com/forms/d/e/1FAIpQLSd37AKX0Ca1Yeje6eC6NuliFZj5Spn7I7mXRsa9kBsXMqB-Ag/viewform?edit2=2_ABaOnucjwEQQpKVtkpHfLLSdr7wlsJ123jmny_Y0VAZ3t1dzFLz17xf1AylOpEj0gIyz5Dg</v>
      </c>
    </row>
    <row r="22">
      <c r="A22" s="35"/>
      <c r="B22" s="35"/>
      <c r="C22" s="36"/>
      <c r="D22" s="35"/>
      <c r="E22" s="35"/>
      <c r="F22" s="37"/>
      <c r="G22" s="37"/>
      <c r="H22" s="35"/>
    </row>
    <row r="23">
      <c r="A23" s="35"/>
      <c r="B23" s="35"/>
      <c r="C23" s="36"/>
      <c r="D23" s="35"/>
      <c r="E23" s="35"/>
      <c r="F23" s="37"/>
      <c r="G23" s="37"/>
      <c r="H23" s="35"/>
    </row>
    <row r="24">
      <c r="A24" s="35"/>
      <c r="B24" s="35"/>
      <c r="C24" s="36"/>
      <c r="D24" s="35"/>
      <c r="E24" s="35"/>
      <c r="F24" s="37"/>
      <c r="G24" s="37"/>
      <c r="H24" s="35"/>
    </row>
    <row r="25">
      <c r="A25" s="35"/>
      <c r="B25" s="35"/>
      <c r="C25" s="36"/>
      <c r="D25" s="35"/>
      <c r="E25" s="35"/>
      <c r="F25" s="37"/>
      <c r="G25" s="37"/>
      <c r="H25" s="35"/>
    </row>
    <row r="26">
      <c r="A26" s="35"/>
      <c r="B26" s="35"/>
      <c r="C26" s="36"/>
      <c r="D26" s="35"/>
      <c r="E26" s="35"/>
      <c r="F26" s="37"/>
      <c r="G26" s="37"/>
      <c r="H26" s="35"/>
    </row>
    <row r="27">
      <c r="A27" s="35"/>
      <c r="B27" s="35"/>
      <c r="C27" s="36"/>
      <c r="D27" s="35"/>
      <c r="E27" s="35"/>
      <c r="F27" s="37"/>
      <c r="G27" s="37"/>
      <c r="H27" s="35"/>
    </row>
    <row r="28">
      <c r="A28" s="35"/>
      <c r="B28" s="35"/>
      <c r="C28" s="36"/>
      <c r="D28" s="35"/>
      <c r="E28" s="35"/>
      <c r="F28" s="37"/>
      <c r="G28" s="37"/>
      <c r="H28" s="35"/>
    </row>
    <row r="29">
      <c r="A29" s="35"/>
      <c r="B29" s="35"/>
      <c r="C29" s="36"/>
      <c r="D29" s="35"/>
      <c r="E29" s="35"/>
      <c r="F29" s="37"/>
      <c r="G29" s="37"/>
      <c r="H29" s="35"/>
    </row>
    <row r="30">
      <c r="A30" s="35"/>
      <c r="B30" s="35"/>
      <c r="C30" s="36"/>
      <c r="D30" s="35"/>
      <c r="E30" s="35"/>
      <c r="F30" s="37"/>
      <c r="G30" s="37"/>
      <c r="H30" s="35"/>
    </row>
    <row r="31">
      <c r="C31" s="39"/>
      <c r="F31" s="40"/>
      <c r="G31" s="40"/>
    </row>
    <row r="32">
      <c r="C32" s="39"/>
      <c r="F32" s="40"/>
      <c r="G32" s="40"/>
    </row>
    <row r="33">
      <c r="C33" s="39"/>
      <c r="F33" s="40"/>
      <c r="G33" s="40"/>
    </row>
    <row r="34">
      <c r="C34" s="39"/>
      <c r="F34" s="40"/>
      <c r="G34" s="40"/>
    </row>
    <row r="35">
      <c r="C35" s="39"/>
      <c r="F35" s="40"/>
      <c r="G35" s="40"/>
    </row>
    <row r="36">
      <c r="C36" s="39"/>
      <c r="F36" s="40"/>
      <c r="G36" s="40"/>
    </row>
    <row r="37">
      <c r="C37" s="39"/>
      <c r="F37" s="40"/>
      <c r="G37" s="40"/>
    </row>
    <row r="38">
      <c r="C38" s="39"/>
      <c r="F38" s="40"/>
      <c r="G38" s="40"/>
    </row>
    <row r="39">
      <c r="C39" s="39"/>
      <c r="F39" s="40"/>
      <c r="G39" s="40"/>
    </row>
    <row r="40">
      <c r="C40" s="39"/>
      <c r="F40" s="40"/>
      <c r="G40" s="40"/>
    </row>
    <row r="41">
      <c r="C41" s="39"/>
      <c r="F41" s="40"/>
      <c r="G41" s="40"/>
    </row>
    <row r="42">
      <c r="C42" s="39"/>
      <c r="F42" s="40"/>
      <c r="G42" s="40"/>
    </row>
    <row r="43">
      <c r="C43" s="39"/>
      <c r="F43" s="40"/>
      <c r="G43" s="40"/>
    </row>
    <row r="44">
      <c r="C44" s="39"/>
      <c r="F44" s="40"/>
      <c r="G44" s="40"/>
    </row>
    <row r="45">
      <c r="C45" s="39"/>
      <c r="F45" s="40"/>
      <c r="G45" s="40"/>
    </row>
    <row r="46">
      <c r="C46" s="39"/>
      <c r="F46" s="40"/>
      <c r="G46" s="40"/>
    </row>
    <row r="47">
      <c r="C47" s="39"/>
      <c r="F47" s="40"/>
      <c r="G47" s="40"/>
    </row>
    <row r="48">
      <c r="C48" s="39"/>
      <c r="F48" s="40"/>
      <c r="G48" s="40"/>
    </row>
    <row r="49">
      <c r="C49" s="39"/>
      <c r="F49" s="40"/>
      <c r="G49" s="40"/>
    </row>
    <row r="50">
      <c r="C50" s="39"/>
      <c r="F50" s="40"/>
      <c r="G50" s="40"/>
    </row>
  </sheetData>
  <conditionalFormatting sqref="F2:F50">
    <cfRule type="expression" dxfId="5" priority="1">
      <formula>$E2="Training"</formula>
    </cfRule>
  </conditionalFormatting>
  <conditionalFormatting sqref="E1:E50">
    <cfRule type="cellIs" dxfId="6" priority="2" operator="equal">
      <formula>"Training"</formula>
    </cfRule>
  </conditionalFormatting>
  <conditionalFormatting sqref="E1:E50">
    <cfRule type="cellIs" dxfId="7" priority="3" operator="equal">
      <formula>"Call / Release"</formula>
    </cfRule>
  </conditionalFormatting>
  <conditionalFormatting sqref="E1:E50">
    <cfRule type="containsText" dxfId="8" priority="4" operator="containsText" text="Sustain">
      <formula>NOT(ISERROR(SEARCH(("Sustain"),(E1))))</formula>
    </cfRule>
  </conditionalFormatting>
  <conditionalFormatting sqref="E1:E50">
    <cfRule type="cellIs" dxfId="9" priority="5" operator="equal">
      <formula>"Approval"</formula>
    </cfRule>
  </conditionalFormatting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</hyperlinks>
  <drawing r:id="rId20"/>
  <tableParts count="1"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5.13"/>
    <col customWidth="1" min="3" max="3" width="19.25"/>
    <col customWidth="1" min="4" max="4" width="41.0"/>
    <col customWidth="1" min="5" max="5" width="12.5"/>
    <col customWidth="1" min="6" max="6" width="19.25"/>
  </cols>
  <sheetData>
    <row r="1">
      <c r="A1" s="41" t="str">
        <f>IFERROR(__xludf.DUMMYFUNCTION("query(Sustainings!A3:P1000,""Select A,B,C,D,O Where O = 'Stake Conf'"")"),"Individual")</f>
        <v>Individual</v>
      </c>
      <c r="B1" s="41" t="str">
        <f>IFERROR(__xludf.DUMMYFUNCTION("""COMPUTED_VALUE"""),"Unit")</f>
        <v>Unit</v>
      </c>
      <c r="C1" s="41" t="str">
        <f>IFERROR(__xludf.DUMMYFUNCTION("""COMPUTED_VALUE"""),"Action")</f>
        <v>Action</v>
      </c>
      <c r="D1" s="41" t="str">
        <f>IFERROR(__xludf.DUMMYFUNCTION("""COMPUTED_VALUE"""),"Calling / Office")</f>
        <v>Calling / Office</v>
      </c>
      <c r="E1" s="41" t="str">
        <f>IFERROR(__xludf.DUMMYFUNCTION("""COMPUTED_VALUE"""),"Status")</f>
        <v>Status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2" t="str">
        <f>IFERROR(__xludf.DUMMYFUNCTION("""COMPUTED_VALUE"""),"Clayton Hoekwater")</f>
        <v>Clayton Hoekwater</v>
      </c>
      <c r="B2" s="42" t="str">
        <f>IFERROR(__xludf.DUMMYFUNCTION("""COMPUTED_VALUE"""),"YSA")</f>
        <v>YSA</v>
      </c>
      <c r="C2" s="42" t="str">
        <f>IFERROR(__xludf.DUMMYFUNCTION("""COMPUTED_VALUE"""),"Sustain")</f>
        <v>Sustain</v>
      </c>
      <c r="D2" s="42" t="str">
        <f>IFERROR(__xludf.DUMMYFUNCTION("""COMPUTED_VALUE"""),"Elder")</f>
        <v>Elder</v>
      </c>
      <c r="E2" s="42" t="str">
        <f>IFERROR(__xludf.DUMMYFUNCTION("""COMPUTED_VALUE"""),"Stake Conf")</f>
        <v>Stake Conf</v>
      </c>
    </row>
    <row r="3">
      <c r="A3" s="42" t="str">
        <f>IFERROR(__xludf.DUMMYFUNCTION("""COMPUTED_VALUE"""),"Skyler Roper")</f>
        <v>Skyler Roper</v>
      </c>
      <c r="B3" s="42" t="str">
        <f>IFERROR(__xludf.DUMMYFUNCTION("""COMPUTED_VALUE"""),"Portland")</f>
        <v>Portland</v>
      </c>
      <c r="C3" s="42" t="str">
        <f>IFERROR(__xludf.DUMMYFUNCTION("""COMPUTED_VALUE"""),"Sustain")</f>
        <v>Sustain</v>
      </c>
      <c r="D3" s="42" t="str">
        <f>IFERROR(__xludf.DUMMYFUNCTION("""COMPUTED_VALUE"""),"High Priest")</f>
        <v>High Priest</v>
      </c>
      <c r="E3" s="42" t="str">
        <f>IFERROR(__xludf.DUMMYFUNCTION("""COMPUTED_VALUE"""),"Stake Conf")</f>
        <v>Stake Conf</v>
      </c>
    </row>
    <row r="4">
      <c r="A4" s="42" t="str">
        <f>IFERROR(__xludf.DUMMYFUNCTION("""COMPUTED_VALUE"""),"Tristan Packard")</f>
        <v>Tristan Packard</v>
      </c>
      <c r="B4" s="42" t="str">
        <f>IFERROR(__xludf.DUMMYFUNCTION("""COMPUTED_VALUE"""),"Lansing")</f>
        <v>Lansing</v>
      </c>
      <c r="C4" s="42" t="str">
        <f>IFERROR(__xludf.DUMMYFUNCTION("""COMPUTED_VALUE"""),"Sustain")</f>
        <v>Sustain</v>
      </c>
      <c r="D4" s="42" t="str">
        <f>IFERROR(__xludf.DUMMYFUNCTION("""COMPUTED_VALUE"""),"High Priest")</f>
        <v>High Priest</v>
      </c>
      <c r="E4" s="42" t="str">
        <f>IFERROR(__xludf.DUMMYFUNCTION("""COMPUTED_VALUE"""),"Stake Conf")</f>
        <v>Stake Conf</v>
      </c>
    </row>
    <row r="5">
      <c r="A5" s="42" t="str">
        <f>IFERROR(__xludf.DUMMYFUNCTION("""COMPUTED_VALUE"""),"Gavin Johnson")</f>
        <v>Gavin Johnson</v>
      </c>
      <c r="B5" s="42" t="str">
        <f>IFERROR(__xludf.DUMMYFUNCTION("""COMPUTED_VALUE"""),"Lansing")</f>
        <v>Lansing</v>
      </c>
      <c r="C5" s="42" t="str">
        <f>IFERROR(__xludf.DUMMYFUNCTION("""COMPUTED_VALUE"""),"Sustain")</f>
        <v>Sustain</v>
      </c>
      <c r="D5" s="42" t="str">
        <f>IFERROR(__xludf.DUMMYFUNCTION("""COMPUTED_VALUE"""),"High Priest")</f>
        <v>High Priest</v>
      </c>
      <c r="E5" s="42" t="str">
        <f>IFERROR(__xludf.DUMMYFUNCTION("""COMPUTED_VALUE"""),"Stake Conf")</f>
        <v>Stake Conf</v>
      </c>
    </row>
    <row r="26">
      <c r="A26" s="40"/>
      <c r="B26" s="40"/>
      <c r="C26" s="40"/>
      <c r="D26" s="40"/>
      <c r="E26" s="40"/>
      <c r="F26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5.13"/>
    <col customWidth="1" min="3" max="3" width="19.25"/>
    <col customWidth="1" min="4" max="4" width="41.0"/>
    <col customWidth="1" min="5" max="5" width="12.5"/>
    <col customWidth="1" min="6" max="6" width="21.13"/>
  </cols>
  <sheetData>
    <row r="1">
      <c r="A1" s="43" t="str">
        <f>IFERROR(__xludf.DUMMYFUNCTION("query(Sustainings!A3:P1000,""Select A,B,C,D,O,P Where P Is Not Null ORDER BY P Desc"")"),"Individual")</f>
        <v>Individual</v>
      </c>
      <c r="B1" s="43" t="str">
        <f>IFERROR(__xludf.DUMMYFUNCTION("""COMPUTED_VALUE"""),"Unit")</f>
        <v>Unit</v>
      </c>
      <c r="C1" s="43" t="str">
        <f>IFERROR(__xludf.DUMMYFUNCTION("""COMPUTED_VALUE"""),"Action")</f>
        <v>Action</v>
      </c>
      <c r="D1" s="43" t="str">
        <f>IFERROR(__xludf.DUMMYFUNCTION("""COMPUTED_VALUE"""),"Calling / Office")</f>
        <v>Calling / Office</v>
      </c>
      <c r="E1" s="43" t="str">
        <f>IFERROR(__xludf.DUMMYFUNCTION("""COMPUTED_VALUE"""),"Status")</f>
        <v>Status</v>
      </c>
      <c r="F1" s="43" t="str">
        <f>IFERROR(__xludf.DUMMYFUNCTION("""COMPUTED_VALUE"""),"Stake Conf Sustain Date")</f>
        <v>Stake Conf Sustain Date</v>
      </c>
    </row>
    <row r="2">
      <c r="A2" s="42" t="str">
        <f>IFERROR(__xludf.DUMMYFUNCTION("""COMPUTED_VALUE"""),"David Cramer")</f>
        <v>David Cramer</v>
      </c>
      <c r="B2" s="42" t="str">
        <f>IFERROR(__xludf.DUMMYFUNCTION("""COMPUTED_VALUE"""),"Williamston")</f>
        <v>Williamston</v>
      </c>
      <c r="C2" s="42" t="str">
        <f>IFERROR(__xludf.DUMMYFUNCTION("""COMPUTED_VALUE"""),"Sustain")</f>
        <v>Sustain</v>
      </c>
      <c r="D2" s="42" t="str">
        <f>IFERROR(__xludf.DUMMYFUNCTION("""COMPUTED_VALUE"""),"Elder")</f>
        <v>Elder</v>
      </c>
      <c r="E2" s="42" t="str">
        <f>IFERROR(__xludf.DUMMYFUNCTION("""COMPUTED_VALUE"""),"Complete")</f>
        <v>Complete</v>
      </c>
      <c r="F2" s="44">
        <f>IFERROR(__xludf.DUMMYFUNCTION("""COMPUTED_VALUE"""),46089.0)</f>
        <v>46089</v>
      </c>
    </row>
    <row r="3">
      <c r="A3" s="42" t="str">
        <f>IFERROR(__xludf.DUMMYFUNCTION("""COMPUTED_VALUE"""),"Ian Webster")</f>
        <v>Ian Webster</v>
      </c>
      <c r="B3" s="42" t="str">
        <f>IFERROR(__xludf.DUMMYFUNCTION("""COMPUTED_VALUE"""),"YSA")</f>
        <v>YSA</v>
      </c>
      <c r="C3" s="42" t="str">
        <f>IFERROR(__xludf.DUMMYFUNCTION("""COMPUTED_VALUE"""),"Sustain")</f>
        <v>Sustain</v>
      </c>
      <c r="D3" s="42" t="str">
        <f>IFERROR(__xludf.DUMMYFUNCTION("""COMPUTED_VALUE"""),"Elder")</f>
        <v>Elder</v>
      </c>
      <c r="E3" s="42" t="str">
        <f>IFERROR(__xludf.DUMMYFUNCTION("""COMPUTED_VALUE"""),"Complete")</f>
        <v>Complete</v>
      </c>
      <c r="F3" s="44">
        <f>IFERROR(__xludf.DUMMYFUNCTION("""COMPUTED_VALUE"""),46089.0)</f>
        <v>46089</v>
      </c>
    </row>
    <row r="4">
      <c r="A4" s="42" t="str">
        <f>IFERROR(__xludf.DUMMYFUNCTION("""COMPUTED_VALUE"""),"David Polhamus")</f>
        <v>David Polhamus</v>
      </c>
      <c r="B4" s="42" t="str">
        <f>IFERROR(__xludf.DUMMYFUNCTION("""COMPUTED_VALUE"""),"Charlotte")</f>
        <v>Charlotte</v>
      </c>
      <c r="C4" s="42" t="str">
        <f>IFERROR(__xludf.DUMMYFUNCTION("""COMPUTED_VALUE"""),"Sustain")</f>
        <v>Sustain</v>
      </c>
      <c r="D4" s="42" t="str">
        <f>IFERROR(__xludf.DUMMYFUNCTION("""COMPUTED_VALUE"""),"Elder")</f>
        <v>Elder</v>
      </c>
      <c r="E4" s="42" t="str">
        <f>IFERROR(__xludf.DUMMYFUNCTION("""COMPUTED_VALUE"""),"Complete")</f>
        <v>Complete</v>
      </c>
      <c r="F4" s="44">
        <f>IFERROR(__xludf.DUMMYFUNCTION("""COMPUTED_VALUE"""),46089.0)</f>
        <v>46089</v>
      </c>
    </row>
    <row r="5">
      <c r="A5" s="42" t="str">
        <f>IFERROR(__xludf.DUMMYFUNCTION("""COMPUTED_VALUE"""),"Sean Potter")</f>
        <v>Sean Potter</v>
      </c>
      <c r="B5" s="42" t="str">
        <f>IFERROR(__xludf.DUMMYFUNCTION("""COMPUTED_VALUE"""),"Holt")</f>
        <v>Holt</v>
      </c>
      <c r="C5" s="42" t="str">
        <f>IFERROR(__xludf.DUMMYFUNCTION("""COMPUTED_VALUE"""),"Sustain")</f>
        <v>Sustain</v>
      </c>
      <c r="D5" s="42" t="str">
        <f>IFERROR(__xludf.DUMMYFUNCTION("""COMPUTED_VALUE"""),"Elder")</f>
        <v>Elder</v>
      </c>
      <c r="E5" s="42" t="str">
        <f>IFERROR(__xludf.DUMMYFUNCTION("""COMPUTED_VALUE"""),"Complete")</f>
        <v>Complete</v>
      </c>
      <c r="F5" s="44">
        <f>IFERROR(__xludf.DUMMYFUNCTION("""COMPUTED_VALUE"""),46089.0)</f>
        <v>46089</v>
      </c>
    </row>
    <row r="6">
      <c r="A6" s="42" t="str">
        <f>IFERROR(__xludf.DUMMYFUNCTION("""COMPUTED_VALUE"""),"Travis Stanton")</f>
        <v>Travis Stanton</v>
      </c>
      <c r="B6" s="42" t="str">
        <f>IFERROR(__xludf.DUMMYFUNCTION("""COMPUTED_VALUE"""),"Holt")</f>
        <v>Holt</v>
      </c>
      <c r="C6" s="42" t="str">
        <f>IFERROR(__xludf.DUMMYFUNCTION("""COMPUTED_VALUE"""),"Sustain")</f>
        <v>Sustain</v>
      </c>
      <c r="D6" s="42" t="str">
        <f>IFERROR(__xludf.DUMMYFUNCTION("""COMPUTED_VALUE"""),"Elder")</f>
        <v>Elder</v>
      </c>
      <c r="E6" s="42" t="str">
        <f>IFERROR(__xludf.DUMMYFUNCTION("""COMPUTED_VALUE"""),"Complete")</f>
        <v>Complete</v>
      </c>
      <c r="F6" s="44">
        <f>IFERROR(__xludf.DUMMYFUNCTION("""COMPUTED_VALUE"""),46089.0)</f>
        <v>46089</v>
      </c>
    </row>
    <row r="7">
      <c r="A7" s="42" t="str">
        <f>IFERROR(__xludf.DUMMYFUNCTION("""COMPUTED_VALUE"""),"Kenneth Vansconis")</f>
        <v>Kenneth Vansconis</v>
      </c>
      <c r="B7" s="42" t="str">
        <f>IFERROR(__xludf.DUMMYFUNCTION("""COMPUTED_VALUE"""),"Portland")</f>
        <v>Portland</v>
      </c>
      <c r="C7" s="42" t="str">
        <f>IFERROR(__xludf.DUMMYFUNCTION("""COMPUTED_VALUE"""),"Sustain")</f>
        <v>Sustain</v>
      </c>
      <c r="D7" s="42" t="str">
        <f>IFERROR(__xludf.DUMMYFUNCTION("""COMPUTED_VALUE"""),"Elder")</f>
        <v>Elder</v>
      </c>
      <c r="E7" s="42" t="str">
        <f>IFERROR(__xludf.DUMMYFUNCTION("""COMPUTED_VALUE"""),"Complete")</f>
        <v>Complete</v>
      </c>
      <c r="F7" s="44">
        <f>IFERROR(__xludf.DUMMYFUNCTION("""COMPUTED_VALUE"""),46089.0)</f>
        <v>46089</v>
      </c>
    </row>
    <row r="8">
      <c r="A8" s="42" t="str">
        <f>IFERROR(__xludf.DUMMYFUNCTION("""COMPUTED_VALUE"""),"Sue Zimmerlee")</f>
        <v>Sue Zimmerlee</v>
      </c>
      <c r="B8" s="42" t="str">
        <f>IFERROR(__xludf.DUMMYFUNCTION("""COMPUTED_VALUE"""),"Holt")</f>
        <v>Holt</v>
      </c>
      <c r="C8" s="42" t="str">
        <f>IFERROR(__xludf.DUMMYFUNCTION("""COMPUTED_VALUE"""),"Sustain")</f>
        <v>Sustain</v>
      </c>
      <c r="D8" s="42" t="str">
        <f>IFERROR(__xludf.DUMMYFUNCTION("""COMPUTED_VALUE"""),"Stake Temple and Family History Consultant")</f>
        <v>Stake Temple and Family History Consultant</v>
      </c>
      <c r="E8" s="42" t="str">
        <f>IFERROR(__xludf.DUMMYFUNCTION("""COMPUTED_VALUE"""),"Complete")</f>
        <v>Complete</v>
      </c>
      <c r="F8" s="44">
        <f>IFERROR(__xludf.DUMMYFUNCTION("""COMPUTED_VALUE"""),45717.0)</f>
        <v>45717</v>
      </c>
    </row>
    <row r="9">
      <c r="A9" s="42" t="str">
        <f>IFERROR(__xludf.DUMMYFUNCTION("""COMPUTED_VALUE"""),"Brit Fathi")</f>
        <v>Brit Fathi</v>
      </c>
      <c r="B9" s="42" t="str">
        <f>IFERROR(__xludf.DUMMYFUNCTION("""COMPUTED_VALUE"""),"Holt")</f>
        <v>Holt</v>
      </c>
      <c r="C9" s="42" t="str">
        <f>IFERROR(__xludf.DUMMYFUNCTION("""COMPUTED_VALUE"""),"Sustain")</f>
        <v>Sustain</v>
      </c>
      <c r="D9" s="42" t="str">
        <f>IFERROR(__xludf.DUMMYFUNCTION("""COMPUTED_VALUE"""),"Stake Temple and Family History Consultant")</f>
        <v>Stake Temple and Family History Consultant</v>
      </c>
      <c r="E9" s="42" t="str">
        <f>IFERROR(__xludf.DUMMYFUNCTION("""COMPUTED_VALUE"""),"Complete")</f>
        <v>Complete</v>
      </c>
      <c r="F9" s="44">
        <f>IFERROR(__xludf.DUMMYFUNCTION("""COMPUTED_VALUE"""),45717.0)</f>
        <v>45717</v>
      </c>
    </row>
    <row r="10">
      <c r="A10" s="42" t="str">
        <f>IFERROR(__xludf.DUMMYFUNCTION("""COMPUTED_VALUE"""),"Maggie Gamble")</f>
        <v>Maggie Gamble</v>
      </c>
      <c r="B10" s="42" t="str">
        <f>IFERROR(__xludf.DUMMYFUNCTION("""COMPUTED_VALUE"""),"Williamston")</f>
        <v>Williamston</v>
      </c>
      <c r="C10" s="42" t="str">
        <f>IFERROR(__xludf.DUMMYFUNCTION("""COMPUTED_VALUE"""),"Sustain")</f>
        <v>Sustain</v>
      </c>
      <c r="D10" s="42" t="str">
        <f>IFERROR(__xludf.DUMMYFUNCTION("""COMPUTED_VALUE"""),"Stake JustServe Assistant Coordinator")</f>
        <v>Stake JustServe Assistant Coordinator</v>
      </c>
      <c r="E10" s="42" t="str">
        <f>IFERROR(__xludf.DUMMYFUNCTION("""COMPUTED_VALUE"""),"Complete")</f>
        <v>Complete</v>
      </c>
      <c r="F10" s="44">
        <f>IFERROR(__xludf.DUMMYFUNCTION("""COMPUTED_VALUE"""),45717.0)</f>
        <v>45717</v>
      </c>
    </row>
    <row r="11">
      <c r="A11" s="42" t="str">
        <f>IFERROR(__xludf.DUMMYFUNCTION("""COMPUTED_VALUE"""),"Stephanie Prosser")</f>
        <v>Stephanie Prosser</v>
      </c>
      <c r="B11" s="42" t="str">
        <f>IFERROR(__xludf.DUMMYFUNCTION("""COMPUTED_VALUE"""),"Holt")</f>
        <v>Holt</v>
      </c>
      <c r="C11" s="42" t="str">
        <f>IFERROR(__xludf.DUMMYFUNCTION("""COMPUTED_VALUE"""),"Release &amp; Thank")</f>
        <v>Release &amp; Thank</v>
      </c>
      <c r="D11" s="42" t="str">
        <f>IFERROR(__xludf.DUMMYFUNCTION("""COMPUTED_VALUE"""),"Stake YW Assistant Camp Director")</f>
        <v>Stake YW Assistant Camp Director</v>
      </c>
      <c r="E11" s="42" t="str">
        <f>IFERROR(__xludf.DUMMYFUNCTION("""COMPUTED_VALUE"""),"Complete")</f>
        <v>Complete</v>
      </c>
      <c r="F11" s="44">
        <f>IFERROR(__xludf.DUMMYFUNCTION("""COMPUTED_VALUE"""),45717.0)</f>
        <v>45717</v>
      </c>
    </row>
    <row r="12">
      <c r="A12" s="42" t="str">
        <f>IFERROR(__xludf.DUMMYFUNCTION("""COMPUTED_VALUE"""),"Whitney Kirkham")</f>
        <v>Whitney Kirkham</v>
      </c>
      <c r="B12" s="42" t="str">
        <f>IFERROR(__xludf.DUMMYFUNCTION("""COMPUTED_VALUE"""),"St Johns")</f>
        <v>St Johns</v>
      </c>
      <c r="C12" s="42" t="str">
        <f>IFERROR(__xludf.DUMMYFUNCTION("""COMPUTED_VALUE"""),"Sustain")</f>
        <v>Sustain</v>
      </c>
      <c r="D12" s="42" t="str">
        <f>IFERROR(__xludf.DUMMYFUNCTION("""COMPUTED_VALUE"""),"Stake Young Women Assistant Camp Director")</f>
        <v>Stake Young Women Assistant Camp Director</v>
      </c>
      <c r="E12" s="42" t="str">
        <f>IFERROR(__xludf.DUMMYFUNCTION("""COMPUTED_VALUE"""),"Complete")</f>
        <v>Complete</v>
      </c>
      <c r="F12" s="44">
        <f>IFERROR(__xludf.DUMMYFUNCTION("""COMPUTED_VALUE"""),45717.0)</f>
        <v>45717</v>
      </c>
    </row>
    <row r="13">
      <c r="A13" s="42" t="str">
        <f>IFERROR(__xludf.DUMMYFUNCTION("""COMPUTED_VALUE"""),"David Knighton")</f>
        <v>David Knighton</v>
      </c>
      <c r="B13" s="42" t="str">
        <f>IFERROR(__xludf.DUMMYFUNCTION("""COMPUTED_VALUE"""),"Holt")</f>
        <v>Holt</v>
      </c>
      <c r="C13" s="42" t="str">
        <f>IFERROR(__xludf.DUMMYFUNCTION("""COMPUTED_VALUE"""),"Release &amp; Thank")</f>
        <v>Release &amp; Thank</v>
      </c>
      <c r="D13" s="42" t="str">
        <f>IFERROR(__xludf.DUMMYFUNCTION("""COMPUTED_VALUE"""),"Assistant Stake Clerk")</f>
        <v>Assistant Stake Clerk</v>
      </c>
      <c r="E13" s="42" t="str">
        <f>IFERROR(__xludf.DUMMYFUNCTION("""COMPUTED_VALUE"""),"Complete")</f>
        <v>Complete</v>
      </c>
      <c r="F13" s="44">
        <f>IFERROR(__xludf.DUMMYFUNCTION("""COMPUTED_VALUE"""),45717.0)</f>
        <v>45717</v>
      </c>
    </row>
    <row r="14">
      <c r="A14" s="42" t="str">
        <f>IFERROR(__xludf.DUMMYFUNCTION("""COMPUTED_VALUE"""),"Barry Godwin")</f>
        <v>Barry Godwin</v>
      </c>
      <c r="B14" s="42" t="str">
        <f>IFERROR(__xludf.DUMMYFUNCTION("""COMPUTED_VALUE"""),"Williamston")</f>
        <v>Williamston</v>
      </c>
      <c r="C14" s="42" t="str">
        <f>IFERROR(__xludf.DUMMYFUNCTION("""COMPUTED_VALUE"""),"Release &amp; Thank")</f>
        <v>Release &amp; Thank</v>
      </c>
      <c r="D14" s="42" t="str">
        <f>IFERROR(__xludf.DUMMYFUNCTION("""COMPUTED_VALUE"""),"Stake Single Adult Representative")</f>
        <v>Stake Single Adult Representative</v>
      </c>
      <c r="E14" s="42" t="str">
        <f>IFERROR(__xludf.DUMMYFUNCTION("""COMPUTED_VALUE"""),"Complete")</f>
        <v>Complete</v>
      </c>
      <c r="F14" s="44">
        <f>IFERROR(__xludf.DUMMYFUNCTION("""COMPUTED_VALUE"""),45717.0)</f>
        <v>45717</v>
      </c>
    </row>
    <row r="15">
      <c r="A15" s="42" t="str">
        <f>IFERROR(__xludf.DUMMYFUNCTION("""COMPUTED_VALUE"""),"Angie Brantley")</f>
        <v>Angie Brantley</v>
      </c>
      <c r="B15" s="42" t="str">
        <f>IFERROR(__xludf.DUMMYFUNCTION("""COMPUTED_VALUE"""),"Jackson")</f>
        <v>Jackson</v>
      </c>
      <c r="C15" s="42" t="str">
        <f>IFERROR(__xludf.DUMMYFUNCTION("""COMPUTED_VALUE"""),"Release &amp; Thank")</f>
        <v>Release &amp; Thank</v>
      </c>
      <c r="D15" s="42" t="str">
        <f>IFERROR(__xludf.DUMMYFUNCTION("""COMPUTED_VALUE"""),"Stake Welfare and Self-Reliance Specialist")</f>
        <v>Stake Welfare and Self-Reliance Specialist</v>
      </c>
      <c r="E15" s="42" t="str">
        <f>IFERROR(__xludf.DUMMYFUNCTION("""COMPUTED_VALUE"""),"Complete")</f>
        <v>Complete</v>
      </c>
      <c r="F15" s="44">
        <f>IFERROR(__xludf.DUMMYFUNCTION("""COMPUTED_VALUE"""),45717.0)</f>
        <v>45717</v>
      </c>
    </row>
    <row r="16">
      <c r="A16" s="42" t="str">
        <f>IFERROR(__xludf.DUMMYFUNCTION("""COMPUTED_VALUE"""),"Mark and Susan Joseph")</f>
        <v>Mark and Susan Joseph</v>
      </c>
      <c r="B16" s="42" t="str">
        <f>IFERROR(__xludf.DUMMYFUNCTION("""COMPUTED_VALUE"""),"St Johns")</f>
        <v>St Johns</v>
      </c>
      <c r="C16" s="42" t="str">
        <f>IFERROR(__xludf.DUMMYFUNCTION("""COMPUTED_VALUE"""),"Sustain")</f>
        <v>Sustain</v>
      </c>
      <c r="D16" s="42" t="str">
        <f>IFERROR(__xludf.DUMMYFUNCTION("""COMPUTED_VALUE"""),"Stake Welfare and Self Reliance Specialists")</f>
        <v>Stake Welfare and Self Reliance Specialists</v>
      </c>
      <c r="E16" s="42" t="str">
        <f>IFERROR(__xludf.DUMMYFUNCTION("""COMPUTED_VALUE"""),"Complete")</f>
        <v>Complete</v>
      </c>
      <c r="F16" s="44">
        <f>IFERROR(__xludf.DUMMYFUNCTION("""COMPUTED_VALUE"""),45717.0)</f>
        <v>45717</v>
      </c>
    </row>
    <row r="17">
      <c r="A17" s="42" t="str">
        <f>IFERROR(__xludf.DUMMYFUNCTION("""COMPUTED_VALUE"""),"Jesse Ward")</f>
        <v>Jesse Ward</v>
      </c>
      <c r="B17" s="42" t="str">
        <f>IFERROR(__xludf.DUMMYFUNCTION("""COMPUTED_VALUE"""),"Portland")</f>
        <v>Portland</v>
      </c>
      <c r="C17" s="42" t="str">
        <f>IFERROR(__xludf.DUMMYFUNCTION("""COMPUTED_VALUE"""),"Sustain")</f>
        <v>Sustain</v>
      </c>
      <c r="D17" s="42" t="str">
        <f>IFERROR(__xludf.DUMMYFUNCTION("""COMPUTED_VALUE"""),"Elder")</f>
        <v>Elder</v>
      </c>
      <c r="E17" s="42" t="str">
        <f>IFERROR(__xludf.DUMMYFUNCTION("""COMPUTED_VALUE"""),"Complete")</f>
        <v>Complete</v>
      </c>
      <c r="F17" s="44">
        <f>IFERROR(__xludf.DUMMYFUNCTION("""COMPUTED_VALUE"""),45717.0)</f>
        <v>45717</v>
      </c>
    </row>
    <row r="18">
      <c r="A18" s="42" t="str">
        <f>IFERROR(__xludf.DUMMYFUNCTION("""COMPUTED_VALUE"""),"Rusty Joseph King")</f>
        <v>Rusty Joseph King</v>
      </c>
      <c r="B18" s="42" t="str">
        <f>IFERROR(__xludf.DUMMYFUNCTION("""COMPUTED_VALUE"""),"Jackson")</f>
        <v>Jackson</v>
      </c>
      <c r="C18" s="42" t="str">
        <f>IFERROR(__xludf.DUMMYFUNCTION("""COMPUTED_VALUE"""),"Sustain")</f>
        <v>Sustain</v>
      </c>
      <c r="D18" s="42" t="str">
        <f>IFERROR(__xludf.DUMMYFUNCTION("""COMPUTED_VALUE"""),"Elder")</f>
        <v>Elder</v>
      </c>
      <c r="E18" s="42" t="str">
        <f>IFERROR(__xludf.DUMMYFUNCTION("""COMPUTED_VALUE"""),"Complete")</f>
        <v>Complete</v>
      </c>
      <c r="F18" s="44">
        <f>IFERROR(__xludf.DUMMYFUNCTION("""COMPUTED_VALUE"""),45717.0)</f>
        <v>45717</v>
      </c>
    </row>
    <row r="19">
      <c r="A19" s="42" t="str">
        <f>IFERROR(__xludf.DUMMYFUNCTION("""COMPUTED_VALUE"""),"Allen Scheck")</f>
        <v>Allen Scheck</v>
      </c>
      <c r="B19" s="42" t="str">
        <f>IFERROR(__xludf.DUMMYFUNCTION("""COMPUTED_VALUE"""),"Williamston")</f>
        <v>Williamston</v>
      </c>
      <c r="C19" s="42" t="str">
        <f>IFERROR(__xludf.DUMMYFUNCTION("""COMPUTED_VALUE"""),"Release &amp; Thank")</f>
        <v>Release &amp; Thank</v>
      </c>
      <c r="D19" s="42" t="str">
        <f>IFERROR(__xludf.DUMMYFUNCTION("""COMPUTED_VALUE"""),"Stake Executive Secretary ")</f>
        <v>Stake Executive Secretary </v>
      </c>
      <c r="E19" s="42" t="str">
        <f>IFERROR(__xludf.DUMMYFUNCTION("""COMPUTED_VALUE"""),"Complete")</f>
        <v>Complete</v>
      </c>
      <c r="F19" s="44">
        <f>IFERROR(__xludf.DUMMYFUNCTION("""COMPUTED_VALUE"""),45536.0)</f>
        <v>45536</v>
      </c>
    </row>
    <row r="20">
      <c r="A20" s="42" t="str">
        <f>IFERROR(__xludf.DUMMYFUNCTION("""COMPUTED_VALUE"""),"Chris Hilgendorf")</f>
        <v>Chris Hilgendorf</v>
      </c>
      <c r="B20" s="42" t="str">
        <f>IFERROR(__xludf.DUMMYFUNCTION("""COMPUTED_VALUE"""),"Williamston")</f>
        <v>Williamston</v>
      </c>
      <c r="C20" s="42" t="str">
        <f>IFERROR(__xludf.DUMMYFUNCTION("""COMPUTED_VALUE"""),"Sustain")</f>
        <v>Sustain</v>
      </c>
      <c r="D20" s="42" t="str">
        <f>IFERROR(__xludf.DUMMYFUNCTION("""COMPUTED_VALUE"""),"Stake Executive Secretary")</f>
        <v>Stake Executive Secretary</v>
      </c>
      <c r="E20" s="42" t="str">
        <f>IFERROR(__xludf.DUMMYFUNCTION("""COMPUTED_VALUE"""),"Complete")</f>
        <v>Complete</v>
      </c>
      <c r="F20" s="44">
        <f>IFERROR(__xludf.DUMMYFUNCTION("""COMPUTED_VALUE"""),45536.0)</f>
        <v>45536</v>
      </c>
    </row>
    <row r="21">
      <c r="A21" s="42" t="str">
        <f>IFERROR(__xludf.DUMMYFUNCTION("""COMPUTED_VALUE"""),"Elliott Renin Earl")</f>
        <v>Elliott Renin Earl</v>
      </c>
      <c r="B21" s="42" t="str">
        <f>IFERROR(__xludf.DUMMYFUNCTION("""COMPUTED_VALUE"""),"St Johns")</f>
        <v>St Johns</v>
      </c>
      <c r="C21" s="42" t="str">
        <f>IFERROR(__xludf.DUMMYFUNCTION("""COMPUTED_VALUE"""),"Sustain")</f>
        <v>Sustain</v>
      </c>
      <c r="D21" s="42" t="str">
        <f>IFERROR(__xludf.DUMMYFUNCTION("""COMPUTED_VALUE"""),"Elder")</f>
        <v>Elder</v>
      </c>
      <c r="E21" s="42" t="str">
        <f>IFERROR(__xludf.DUMMYFUNCTION("""COMPUTED_VALUE"""),"Complete")</f>
        <v>Complete</v>
      </c>
      <c r="F21" s="44">
        <f>IFERROR(__xludf.DUMMYFUNCTION("""COMPUTED_VALUE"""),45536.0)</f>
        <v>45536</v>
      </c>
    </row>
    <row r="22">
      <c r="A22" s="42" t="str">
        <f>IFERROR(__xludf.DUMMYFUNCTION("""COMPUTED_VALUE"""),"Mark Bell")</f>
        <v>Mark Bell</v>
      </c>
      <c r="B22" s="42" t="str">
        <f>IFERROR(__xludf.DUMMYFUNCTION("""COMPUTED_VALUE"""),"Holt")</f>
        <v>Holt</v>
      </c>
      <c r="C22" s="42" t="str">
        <f>IFERROR(__xludf.DUMMYFUNCTION("""COMPUTED_VALUE"""),"Sustain")</f>
        <v>Sustain</v>
      </c>
      <c r="D22" s="42" t="str">
        <f>IFERROR(__xludf.DUMMYFUNCTION("""COMPUTED_VALUE"""),"High Priest")</f>
        <v>High Priest</v>
      </c>
      <c r="E22" s="42" t="str">
        <f>IFERROR(__xludf.DUMMYFUNCTION("""COMPUTED_VALUE"""),"Complete")</f>
        <v>Complete</v>
      </c>
      <c r="F22" s="44">
        <f>IFERROR(__xludf.DUMMYFUNCTION("""COMPUTED_VALUE"""),45536.0)</f>
        <v>45536</v>
      </c>
    </row>
    <row r="23">
      <c r="A23" s="42" t="str">
        <f>IFERROR(__xludf.DUMMYFUNCTION("""COMPUTED_VALUE"""),"Nick Warren")</f>
        <v>Nick Warren</v>
      </c>
      <c r="B23" s="42" t="str">
        <f>IFERROR(__xludf.DUMMYFUNCTION("""COMPUTED_VALUE"""),"Lansing")</f>
        <v>Lansing</v>
      </c>
      <c r="C23" s="42" t="str">
        <f>IFERROR(__xludf.DUMMYFUNCTION("""COMPUTED_VALUE"""),"Release &amp; Thank")</f>
        <v>Release &amp; Thank</v>
      </c>
      <c r="D23" s="42" t="str">
        <f>IFERROR(__xludf.DUMMYFUNCTION("""COMPUTED_VALUE"""),"Stake High Councilor")</f>
        <v>Stake High Councilor</v>
      </c>
      <c r="E23" s="42" t="str">
        <f>IFERROR(__xludf.DUMMYFUNCTION("""COMPUTED_VALUE"""),"Complete")</f>
        <v>Complete</v>
      </c>
      <c r="F23" s="44">
        <f>IFERROR(__xludf.DUMMYFUNCTION("""COMPUTED_VALUE"""),45536.0)</f>
        <v>45536</v>
      </c>
    </row>
    <row r="24">
      <c r="A24" s="42" t="str">
        <f>IFERROR(__xludf.DUMMYFUNCTION("""COMPUTED_VALUE"""),"Ken Bills")</f>
        <v>Ken Bills</v>
      </c>
      <c r="B24" s="42" t="str">
        <f>IFERROR(__xludf.DUMMYFUNCTION("""COMPUTED_VALUE"""),"Williamston")</f>
        <v>Williamston</v>
      </c>
      <c r="C24" s="42" t="str">
        <f>IFERROR(__xludf.DUMMYFUNCTION("""COMPUTED_VALUE"""),"Sustain")</f>
        <v>Sustain</v>
      </c>
      <c r="D24" s="42" t="str">
        <f>IFERROR(__xludf.DUMMYFUNCTION("""COMPUTED_VALUE"""),"Stake High Councilor")</f>
        <v>Stake High Councilor</v>
      </c>
      <c r="E24" s="42" t="str">
        <f>IFERROR(__xludf.DUMMYFUNCTION("""COMPUTED_VALUE"""),"Complete")</f>
        <v>Complete</v>
      </c>
      <c r="F24" s="44">
        <f>IFERROR(__xludf.DUMMYFUNCTION("""COMPUTED_VALUE"""),45536.0)</f>
        <v>45536</v>
      </c>
    </row>
    <row r="25">
      <c r="A25" s="42" t="str">
        <f>IFERROR(__xludf.DUMMYFUNCTION("""COMPUTED_VALUE"""),"Ian McCrary")</f>
        <v>Ian McCrary</v>
      </c>
      <c r="B25" s="42" t="str">
        <f>IFERROR(__xludf.DUMMYFUNCTION("""COMPUTED_VALUE"""),"Lansing")</f>
        <v>Lansing</v>
      </c>
      <c r="C25" s="42" t="str">
        <f>IFERROR(__xludf.DUMMYFUNCTION("""COMPUTED_VALUE"""),"Sustain")</f>
        <v>Sustain</v>
      </c>
      <c r="D25" s="42" t="str">
        <f>IFERROR(__xludf.DUMMYFUNCTION("""COMPUTED_VALUE"""),"Stake High Councilor")</f>
        <v>Stake High Councilor</v>
      </c>
      <c r="E25" s="42" t="str">
        <f>IFERROR(__xludf.DUMMYFUNCTION("""COMPUTED_VALUE"""),"Complete")</f>
        <v>Complete</v>
      </c>
      <c r="F25" s="44">
        <f>IFERROR(__xludf.DUMMYFUNCTION("""COMPUTED_VALUE"""),45536.0)</f>
        <v>45536</v>
      </c>
    </row>
    <row r="26">
      <c r="A26" s="42" t="str">
        <f>IFERROR(__xludf.DUMMYFUNCTION("""COMPUTED_VALUE"""),"Doug Neil")</f>
        <v>Doug Neil</v>
      </c>
      <c r="B26" s="42" t="str">
        <f>IFERROR(__xludf.DUMMYFUNCTION("""COMPUTED_VALUE"""),"Williamston")</f>
        <v>Williamston</v>
      </c>
      <c r="C26" s="42" t="str">
        <f>IFERROR(__xludf.DUMMYFUNCTION("""COMPUTED_VALUE"""),"Release &amp; Thank")</f>
        <v>Release &amp; Thank</v>
      </c>
      <c r="D26" s="42" t="str">
        <f>IFERROR(__xludf.DUMMYFUNCTION("""COMPUTED_VALUE"""),"Asst. Stake Clerk - Finance")</f>
        <v>Asst. Stake Clerk - Finance</v>
      </c>
      <c r="E26" s="42" t="str">
        <f>IFERROR(__xludf.DUMMYFUNCTION("""COMPUTED_VALUE"""),"Complete")</f>
        <v>Complete</v>
      </c>
      <c r="F26" s="44">
        <f>IFERROR(__xludf.DUMMYFUNCTION("""COMPUTED_VALUE"""),45536.0)</f>
        <v>45536</v>
      </c>
    </row>
    <row r="27">
      <c r="A27" s="42" t="str">
        <f>IFERROR(__xludf.DUMMYFUNCTION("""COMPUTED_VALUE"""),"Don Ward")</f>
        <v>Don Ward</v>
      </c>
      <c r="B27" s="42" t="str">
        <f>IFERROR(__xludf.DUMMYFUNCTION("""COMPUTED_VALUE"""),"Williamston")</f>
        <v>Williamston</v>
      </c>
      <c r="C27" s="42" t="str">
        <f>IFERROR(__xludf.DUMMYFUNCTION("""COMPUTED_VALUE"""),"Sustain")</f>
        <v>Sustain</v>
      </c>
      <c r="D27" s="42" t="str">
        <f>IFERROR(__xludf.DUMMYFUNCTION("""COMPUTED_VALUE"""),"Asst. Stake Clerk - Finance")</f>
        <v>Asst. Stake Clerk - Finance</v>
      </c>
      <c r="E27" s="42" t="str">
        <f>IFERROR(__xludf.DUMMYFUNCTION("""COMPUTED_VALUE"""),"Complete")</f>
        <v>Complete</v>
      </c>
      <c r="F27" s="44">
        <f>IFERROR(__xludf.DUMMYFUNCTION("""COMPUTED_VALUE"""),45536.0)</f>
        <v>45536</v>
      </c>
    </row>
    <row r="28">
      <c r="A28" s="42" t="str">
        <f>IFERROR(__xludf.DUMMYFUNCTION("""COMPUTED_VALUE"""),"Landon Bartlett")</f>
        <v>Landon Bartlett</v>
      </c>
      <c r="B28" s="42" t="str">
        <f>IFERROR(__xludf.DUMMYFUNCTION("""COMPUTED_VALUE"""),"Williamston")</f>
        <v>Williamston</v>
      </c>
      <c r="C28" s="42" t="str">
        <f>IFERROR(__xludf.DUMMYFUNCTION("""COMPUTED_VALUE"""),"Release &amp; Thank")</f>
        <v>Release &amp; Thank</v>
      </c>
      <c r="D28" s="42" t="str">
        <f>IFERROR(__xludf.DUMMYFUNCTION("""COMPUTED_VALUE"""),"Stake High Councilor - YM 2nd Counselor")</f>
        <v>Stake High Councilor - YM 2nd Counselor</v>
      </c>
      <c r="E28" s="42" t="str">
        <f>IFERROR(__xludf.DUMMYFUNCTION("""COMPUTED_VALUE"""),"Complete")</f>
        <v>Complete</v>
      </c>
      <c r="F28" s="44">
        <f>IFERROR(__xludf.DUMMYFUNCTION("""COMPUTED_VALUE"""),45536.0)</f>
        <v>45536</v>
      </c>
    </row>
    <row r="29">
      <c r="A29" s="42" t="str">
        <f>IFERROR(__xludf.DUMMYFUNCTION("""COMPUTED_VALUE"""),"Mark Bell")</f>
        <v>Mark Bell</v>
      </c>
      <c r="B29" s="42" t="str">
        <f>IFERROR(__xludf.DUMMYFUNCTION("""COMPUTED_VALUE"""),"Holt")</f>
        <v>Holt</v>
      </c>
      <c r="C29" s="42" t="str">
        <f>IFERROR(__xludf.DUMMYFUNCTION("""COMPUTED_VALUE"""),"Sustain")</f>
        <v>Sustain</v>
      </c>
      <c r="D29" s="42" t="str">
        <f>IFERROR(__xludf.DUMMYFUNCTION("""COMPUTED_VALUE"""),"Stake High Councilor - YM 2nd Counselor")</f>
        <v>Stake High Councilor - YM 2nd Counselor</v>
      </c>
      <c r="E29" s="42" t="str">
        <f>IFERROR(__xludf.DUMMYFUNCTION("""COMPUTED_VALUE"""),"Complete")</f>
        <v>Complete</v>
      </c>
      <c r="F29" s="44">
        <f>IFERROR(__xludf.DUMMYFUNCTION("""COMPUTED_VALUE"""),45536.0)</f>
        <v>45536</v>
      </c>
    </row>
    <row r="30">
      <c r="A30" s="42" t="str">
        <f>IFERROR(__xludf.DUMMYFUNCTION("""COMPUTED_VALUE"""),"Calvin Vos")</f>
        <v>Calvin Vos</v>
      </c>
      <c r="B30" s="42" t="str">
        <f>IFERROR(__xludf.DUMMYFUNCTION("""COMPUTED_VALUE"""),"YSA")</f>
        <v>YSA</v>
      </c>
      <c r="C30" s="42" t="str">
        <f>IFERROR(__xludf.DUMMYFUNCTION("""COMPUTED_VALUE"""),"Release &amp; Thank")</f>
        <v>Release &amp; Thank</v>
      </c>
      <c r="D30" s="42" t="str">
        <f>IFERROR(__xludf.DUMMYFUNCTION("""COMPUTED_VALUE"""),"Stake Assistant executive security")</f>
        <v>Stake Assistant executive security</v>
      </c>
      <c r="E30" s="42" t="str">
        <f>IFERROR(__xludf.DUMMYFUNCTION("""COMPUTED_VALUE"""),"Complete")</f>
        <v>Complete</v>
      </c>
      <c r="F30" s="44">
        <f>IFERROR(__xludf.DUMMYFUNCTION("""COMPUTED_VALUE"""),45536.0)</f>
        <v>45536</v>
      </c>
    </row>
    <row r="31">
      <c r="A31" s="42" t="str">
        <f>IFERROR(__xludf.DUMMYFUNCTION("""COMPUTED_VALUE"""),"David Hall")</f>
        <v>David Hall</v>
      </c>
      <c r="B31" s="42" t="str">
        <f>IFERROR(__xludf.DUMMYFUNCTION("""COMPUTED_VALUE"""),"Williamston")</f>
        <v>Williamston</v>
      </c>
      <c r="C31" s="42" t="str">
        <f>IFERROR(__xludf.DUMMYFUNCTION("""COMPUTED_VALUE"""),"Release &amp; Thank")</f>
        <v>Release &amp; Thank</v>
      </c>
      <c r="D31" s="42" t="str">
        <f>IFERROR(__xludf.DUMMYFUNCTION("""COMPUTED_VALUE"""),"Stake High Council")</f>
        <v>Stake High Council</v>
      </c>
      <c r="E31" s="42" t="str">
        <f>IFERROR(__xludf.DUMMYFUNCTION("""COMPUTED_VALUE"""),"Complete")</f>
        <v>Complete</v>
      </c>
      <c r="F31" s="44">
        <f>IFERROR(__xludf.DUMMYFUNCTION("""COMPUTED_VALUE"""),45536.0)</f>
        <v>45536</v>
      </c>
    </row>
    <row r="32">
      <c r="A32" s="42" t="str">
        <f>IFERROR(__xludf.DUMMYFUNCTION("""COMPUTED_VALUE"""),"Tom and Stephanie Smith")</f>
        <v>Tom and Stephanie Smith</v>
      </c>
      <c r="B32" s="42" t="str">
        <f>IFERROR(__xludf.DUMMYFUNCTION("""COMPUTED_VALUE"""),"St Johns")</f>
        <v>St Johns</v>
      </c>
      <c r="C32" s="42" t="str">
        <f>IFERROR(__xludf.DUMMYFUNCTION("""COMPUTED_VALUE"""),"Release &amp; Thank")</f>
        <v>Release &amp; Thank</v>
      </c>
      <c r="D32" s="42" t="str">
        <f>IFERROR(__xludf.DUMMYFUNCTION("""COMPUTED_VALUE"""),"Stake Single Adult Advisers")</f>
        <v>Stake Single Adult Advisers</v>
      </c>
      <c r="E32" s="42" t="str">
        <f>IFERROR(__xludf.DUMMYFUNCTION("""COMPUTED_VALUE"""),"Complete")</f>
        <v>Complete</v>
      </c>
      <c r="F32" s="44">
        <f>IFERROR(__xludf.DUMMYFUNCTION("""COMPUTED_VALUE"""),45536.0)</f>
        <v>45536</v>
      </c>
    </row>
    <row r="33">
      <c r="A33" s="42" t="str">
        <f>IFERROR(__xludf.DUMMYFUNCTION("""COMPUTED_VALUE"""),"David Hall")</f>
        <v>David Hall</v>
      </c>
      <c r="B33" s="42" t="str">
        <f>IFERROR(__xludf.DUMMYFUNCTION("""COMPUTED_VALUE"""),"Williamston")</f>
        <v>Williamston</v>
      </c>
      <c r="C33" s="42" t="str">
        <f>IFERROR(__xludf.DUMMYFUNCTION("""COMPUTED_VALUE"""),"Sustain")</f>
        <v>Sustain</v>
      </c>
      <c r="D33" s="42" t="str">
        <f>IFERROR(__xludf.DUMMYFUNCTION("""COMPUTED_VALUE"""),"Stake YM Specialist")</f>
        <v>Stake YM Specialist</v>
      </c>
      <c r="E33" s="42" t="str">
        <f>IFERROR(__xludf.DUMMYFUNCTION("""COMPUTED_VALUE"""),"Complete")</f>
        <v>Complete</v>
      </c>
      <c r="F33" s="44">
        <f>IFERROR(__xludf.DUMMYFUNCTION("""COMPUTED_VALUE"""),45536.0)</f>
        <v>45536</v>
      </c>
    </row>
    <row r="34">
      <c r="A34" s="42" t="str">
        <f>IFERROR(__xludf.DUMMYFUNCTION("""COMPUTED_VALUE"""),"Barry Godwin")</f>
        <v>Barry Godwin</v>
      </c>
      <c r="B34" s="42" t="str">
        <f>IFERROR(__xludf.DUMMYFUNCTION("""COMPUTED_VALUE"""),"Williamston")</f>
        <v>Williamston</v>
      </c>
      <c r="C34" s="42" t="str">
        <f>IFERROR(__xludf.DUMMYFUNCTION("""COMPUTED_VALUE"""),"Sustain")</f>
        <v>Sustain</v>
      </c>
      <c r="D34" s="42" t="str">
        <f>IFERROR(__xludf.DUMMYFUNCTION("""COMPUTED_VALUE"""),"Stake Single Adult Representative")</f>
        <v>Stake Single Adult Representative</v>
      </c>
      <c r="E34" s="42" t="str">
        <f>IFERROR(__xludf.DUMMYFUNCTION("""COMPUTED_VALUE"""),"Complete")</f>
        <v>Complete</v>
      </c>
      <c r="F34" s="44">
        <f>IFERROR(__xludf.DUMMYFUNCTION("""COMPUTED_VALUE"""),45536.0)</f>
        <v>45536</v>
      </c>
    </row>
    <row r="35">
      <c r="A35" s="42" t="str">
        <f>IFERROR(__xludf.DUMMYFUNCTION("""COMPUTED_VALUE"""),"Conan Heiselt")</f>
        <v>Conan Heiselt</v>
      </c>
      <c r="B35" s="42" t="str">
        <f>IFERROR(__xludf.DUMMYFUNCTION("""COMPUTED_VALUE"""),"Holt")</f>
        <v>Holt</v>
      </c>
      <c r="C35" s="42" t="str">
        <f>IFERROR(__xludf.DUMMYFUNCTION("""COMPUTED_VALUE"""),"Sustain")</f>
        <v>Sustain</v>
      </c>
      <c r="D35" s="42" t="str">
        <f>IFERROR(__xludf.DUMMYFUNCTION("""COMPUTED_VALUE"""),"Stake Technology Specialist")</f>
        <v>Stake Technology Specialist</v>
      </c>
      <c r="E35" s="42" t="str">
        <f>IFERROR(__xludf.DUMMYFUNCTION("""COMPUTED_VALUE"""),"Complete")</f>
        <v>Complete</v>
      </c>
      <c r="F35" s="44">
        <f>IFERROR(__xludf.DUMMYFUNCTION("""COMPUTED_VALUE"""),45536.0)</f>
        <v>45536</v>
      </c>
    </row>
    <row r="36">
      <c r="A36" s="42" t="str">
        <f>IFERROR(__xludf.DUMMYFUNCTION("""COMPUTED_VALUE"""),"Noah Wood")</f>
        <v>Noah Wood</v>
      </c>
      <c r="B36" s="42" t="str">
        <f>IFERROR(__xludf.DUMMYFUNCTION("""COMPUTED_VALUE"""),"Jackson")</f>
        <v>Jackson</v>
      </c>
      <c r="C36" s="42" t="str">
        <f>IFERROR(__xludf.DUMMYFUNCTION("""COMPUTED_VALUE"""),"Sustain")</f>
        <v>Sustain</v>
      </c>
      <c r="D36" s="42" t="str">
        <f>IFERROR(__xludf.DUMMYFUNCTION("""COMPUTED_VALUE"""),"Elder")</f>
        <v>Elder</v>
      </c>
      <c r="E36" s="42" t="str">
        <f>IFERROR(__xludf.DUMMYFUNCTION("""COMPUTED_VALUE"""),"Complete")</f>
        <v>Complete</v>
      </c>
      <c r="F36" s="44">
        <f>IFERROR(__xludf.DUMMYFUNCTION("""COMPUTED_VALUE"""),45536.0)</f>
        <v>45536</v>
      </c>
    </row>
    <row r="37">
      <c r="A37" s="42" t="str">
        <f>IFERROR(__xludf.DUMMYFUNCTION("""COMPUTED_VALUE"""),"Travis Sybrowsky")</f>
        <v>Travis Sybrowsky</v>
      </c>
      <c r="B37" s="42" t="str">
        <f>IFERROR(__xludf.DUMMYFUNCTION("""COMPUTED_VALUE"""),"Portland")</f>
        <v>Portland</v>
      </c>
      <c r="C37" s="42" t="str">
        <f>IFERROR(__xludf.DUMMYFUNCTION("""COMPUTED_VALUE"""),"Sustain")</f>
        <v>Sustain</v>
      </c>
      <c r="D37" s="42" t="str">
        <f>IFERROR(__xludf.DUMMYFUNCTION("""COMPUTED_VALUE"""),"Stake Seminary Teacher")</f>
        <v>Stake Seminary Teacher</v>
      </c>
      <c r="E37" s="42" t="str">
        <f>IFERROR(__xludf.DUMMYFUNCTION("""COMPUTED_VALUE"""),"Complete")</f>
        <v>Complete</v>
      </c>
      <c r="F37" s="44">
        <f>IFERROR(__xludf.DUMMYFUNCTION("""COMPUTED_VALUE"""),45536.0)</f>
        <v>45536</v>
      </c>
    </row>
    <row r="38">
      <c r="A38" s="42" t="str">
        <f>IFERROR(__xludf.DUMMYFUNCTION("""COMPUTED_VALUE"""),"Sister Michael (Mickey) Jeanne Tuelle")</f>
        <v>Sister Michael (Mickey) Jeanne Tuelle</v>
      </c>
      <c r="B38" s="42" t="str">
        <f>IFERROR(__xludf.DUMMYFUNCTION("""COMPUTED_VALUE"""),"Charlotte")</f>
        <v>Charlotte</v>
      </c>
      <c r="C38" s="42" t="str">
        <f>IFERROR(__xludf.DUMMYFUNCTION("""COMPUTED_VALUE"""),"Sustain")</f>
        <v>Sustain</v>
      </c>
      <c r="D38" s="42" t="str">
        <f>IFERROR(__xludf.DUMMYFUNCTION("""COMPUTED_VALUE"""),"Stake Single Adult Representative")</f>
        <v>Stake Single Adult Representative</v>
      </c>
      <c r="E38" s="42" t="str">
        <f>IFERROR(__xludf.DUMMYFUNCTION("""COMPUTED_VALUE"""),"Complete")</f>
        <v>Complete</v>
      </c>
      <c r="F38" s="44">
        <f>IFERROR(__xludf.DUMMYFUNCTION("""COMPUTED_VALUE"""),45352.0)</f>
        <v>45352</v>
      </c>
    </row>
    <row r="39">
      <c r="A39" s="42" t="str">
        <f>IFERROR(__xludf.DUMMYFUNCTION("""COMPUTED_VALUE"""),"Bonnie Robison")</f>
        <v>Bonnie Robison</v>
      </c>
      <c r="B39" s="42" t="str">
        <f>IFERROR(__xludf.DUMMYFUNCTION("""COMPUTED_VALUE"""),"Williamston")</f>
        <v>Williamston</v>
      </c>
      <c r="C39" s="42" t="str">
        <f>IFERROR(__xludf.DUMMYFUNCTION("""COMPUTED_VALUE"""),"Sustain")</f>
        <v>Sustain</v>
      </c>
      <c r="D39" s="42" t="str">
        <f>IFERROR(__xludf.DUMMYFUNCTION("""COMPUTED_VALUE"""),"Stake Communication Council Specialist")</f>
        <v>Stake Communication Council Specialist</v>
      </c>
      <c r="E39" s="42" t="str">
        <f>IFERROR(__xludf.DUMMYFUNCTION("""COMPUTED_VALUE"""),"Complete")</f>
        <v>Complete</v>
      </c>
      <c r="F39" s="44">
        <f>IFERROR(__xludf.DUMMYFUNCTION("""COMPUTED_VALUE"""),45352.0)</f>
        <v>45352</v>
      </c>
    </row>
    <row r="40">
      <c r="A40" s="42" t="str">
        <f>IFERROR(__xludf.DUMMYFUNCTION("""COMPUTED_VALUE"""),"Melissa  Heiselt")</f>
        <v>Melissa  Heiselt</v>
      </c>
      <c r="B40" s="42" t="str">
        <f>IFERROR(__xludf.DUMMYFUNCTION("""COMPUTED_VALUE"""),"Holt")</f>
        <v>Holt</v>
      </c>
      <c r="C40" s="42" t="str">
        <f>IFERROR(__xludf.DUMMYFUNCTION("""COMPUTED_VALUE"""),"Release &amp; Thank")</f>
        <v>Release &amp; Thank</v>
      </c>
      <c r="D40" s="42" t="str">
        <f>IFERROR(__xludf.DUMMYFUNCTION("""COMPUTED_VALUE"""),"Stake Primary Secretary")</f>
        <v>Stake Primary Secretary</v>
      </c>
      <c r="E40" s="42" t="str">
        <f>IFERROR(__xludf.DUMMYFUNCTION("""COMPUTED_VALUE"""),"Complete")</f>
        <v>Complete</v>
      </c>
      <c r="F40" s="44">
        <f>IFERROR(__xludf.DUMMYFUNCTION("""COMPUTED_VALUE"""),45352.0)</f>
        <v>45352</v>
      </c>
    </row>
    <row r="41">
      <c r="A41" s="42" t="str">
        <f>IFERROR(__xludf.DUMMYFUNCTION("""COMPUTED_VALUE"""),"Karen Fitch")</f>
        <v>Karen Fitch</v>
      </c>
      <c r="B41" s="42" t="str">
        <f>IFERROR(__xludf.DUMMYFUNCTION("""COMPUTED_VALUE"""),"Williamston")</f>
        <v>Williamston</v>
      </c>
      <c r="C41" s="42" t="str">
        <f>IFERROR(__xludf.DUMMYFUNCTION("""COMPUTED_VALUE"""),"Sustain")</f>
        <v>Sustain</v>
      </c>
      <c r="D41" s="42" t="str">
        <f>IFERROR(__xludf.DUMMYFUNCTION("""COMPUTED_VALUE"""),"Stake Primary Secretary")</f>
        <v>Stake Primary Secretary</v>
      </c>
      <c r="E41" s="42" t="str">
        <f>IFERROR(__xludf.DUMMYFUNCTION("""COMPUTED_VALUE"""),"Complete")</f>
        <v>Complete</v>
      </c>
      <c r="F41" s="44">
        <f>IFERROR(__xludf.DUMMYFUNCTION("""COMPUTED_VALUE"""),45352.0)</f>
        <v>45352</v>
      </c>
    </row>
    <row r="42">
      <c r="A42" s="42" t="str">
        <f>IFERROR(__xludf.DUMMYFUNCTION("""COMPUTED_VALUE"""),"Calvin Vos")</f>
        <v>Calvin Vos</v>
      </c>
      <c r="B42" s="42" t="str">
        <f>IFERROR(__xludf.DUMMYFUNCTION("""COMPUTED_VALUE"""),"Lansing")</f>
        <v>Lansing</v>
      </c>
      <c r="C42" s="42" t="str">
        <f>IFERROR(__xludf.DUMMYFUNCTION("""COMPUTED_VALUE"""),"Sustain")</f>
        <v>Sustain</v>
      </c>
      <c r="D42" s="42" t="str">
        <f>IFERROR(__xludf.DUMMYFUNCTION("""COMPUTED_VALUE"""),"Stake Assistant Executive Secretary")</f>
        <v>Stake Assistant Executive Secretary</v>
      </c>
      <c r="E42" s="42" t="str">
        <f>IFERROR(__xludf.DUMMYFUNCTION("""COMPUTED_VALUE"""),"Complete")</f>
        <v>Complete</v>
      </c>
      <c r="F42" s="44">
        <f>IFERROR(__xludf.DUMMYFUNCTION("""COMPUTED_VALUE"""),45352.0)</f>
        <v>45352</v>
      </c>
    </row>
    <row r="43">
      <c r="A43" s="42" t="str">
        <f>IFERROR(__xludf.DUMMYFUNCTION("""COMPUTED_VALUE"""),"Kristi Weber")</f>
        <v>Kristi Weber</v>
      </c>
      <c r="B43" s="42" t="str">
        <f>IFERROR(__xludf.DUMMYFUNCTION("""COMPUTED_VALUE"""),"St Johns")</f>
        <v>St Johns</v>
      </c>
      <c r="C43" s="42" t="str">
        <f>IFERROR(__xludf.DUMMYFUNCTION("""COMPUTED_VALUE"""),"Release &amp; Thank")</f>
        <v>Release &amp; Thank</v>
      </c>
      <c r="D43" s="42" t="str">
        <f>IFERROR(__xludf.DUMMYFUNCTION("""COMPUTED_VALUE"""),"Stake For the Strength of Youth Rep")</f>
        <v>Stake For the Strength of Youth Rep</v>
      </c>
      <c r="E43" s="42" t="str">
        <f>IFERROR(__xludf.DUMMYFUNCTION("""COMPUTED_VALUE"""),"Complete")</f>
        <v>Complete</v>
      </c>
      <c r="F43" s="44">
        <f>IFERROR(__xludf.DUMMYFUNCTION("""COMPUTED_VALUE"""),45352.0)</f>
        <v>45352</v>
      </c>
    </row>
    <row r="44">
      <c r="A44" s="42" t="str">
        <f>IFERROR(__xludf.DUMMYFUNCTION("""COMPUTED_VALUE"""),"Nate Jones")</f>
        <v>Nate Jones</v>
      </c>
      <c r="B44" s="42" t="str">
        <f>IFERROR(__xludf.DUMMYFUNCTION("""COMPUTED_VALUE"""),"St Johns")</f>
        <v>St Johns</v>
      </c>
      <c r="C44" s="42" t="str">
        <f>IFERROR(__xludf.DUMMYFUNCTION("""COMPUTED_VALUE"""),"Sustain")</f>
        <v>Sustain</v>
      </c>
      <c r="D44" s="42" t="str">
        <f>IFERROR(__xludf.DUMMYFUNCTION("""COMPUTED_VALUE"""),"Stake For the Strength of Youth Rep")</f>
        <v>Stake For the Strength of Youth Rep</v>
      </c>
      <c r="E44" s="42" t="str">
        <f>IFERROR(__xludf.DUMMYFUNCTION("""COMPUTED_VALUE"""),"Complete")</f>
        <v>Complete</v>
      </c>
      <c r="F44" s="44">
        <f>IFERROR(__xludf.DUMMYFUNCTION("""COMPUTED_VALUE"""),45352.0)</f>
        <v>45352</v>
      </c>
    </row>
    <row r="45">
      <c r="A45" s="42" t="str">
        <f>IFERROR(__xludf.DUMMYFUNCTION("""COMPUTED_VALUE"""),"Brit Quarnberg Fathi")</f>
        <v>Brit Quarnberg Fathi</v>
      </c>
      <c r="B45" s="42" t="str">
        <f>IFERROR(__xludf.DUMMYFUNCTION("""COMPUTED_VALUE"""),"Holt")</f>
        <v>Holt</v>
      </c>
      <c r="C45" s="42" t="str">
        <f>IFERROR(__xludf.DUMMYFUNCTION("""COMPUTED_VALUE"""),"Release &amp; Thank")</f>
        <v>Release &amp; Thank</v>
      </c>
      <c r="D45" s="42" t="str">
        <f>IFERROR(__xludf.DUMMYFUNCTION("""COMPUTED_VALUE"""),"Stake Relief Society 2nd Counselor")</f>
        <v>Stake Relief Society 2nd Counselor</v>
      </c>
      <c r="E45" s="42" t="str">
        <f>IFERROR(__xludf.DUMMYFUNCTION("""COMPUTED_VALUE"""),"Complete")</f>
        <v>Complete</v>
      </c>
      <c r="F45" s="44">
        <f>IFERROR(__xludf.DUMMYFUNCTION("""COMPUTED_VALUE"""),45170.0)</f>
        <v>45170</v>
      </c>
    </row>
    <row r="46">
      <c r="A46" s="42" t="str">
        <f>IFERROR(__xludf.DUMMYFUNCTION("""COMPUTED_VALUE"""),"Holly Hickman")</f>
        <v>Holly Hickman</v>
      </c>
      <c r="B46" s="42" t="str">
        <f>IFERROR(__xludf.DUMMYFUNCTION("""COMPUTED_VALUE"""),"Lansing")</f>
        <v>Lansing</v>
      </c>
      <c r="C46" s="42" t="str">
        <f>IFERROR(__xludf.DUMMYFUNCTION("""COMPUTED_VALUE"""),"Sustain")</f>
        <v>Sustain</v>
      </c>
      <c r="D46" s="42" t="str">
        <f>IFERROR(__xludf.DUMMYFUNCTION("""COMPUTED_VALUE"""),"Stake Relief Society 2nd Counselor")</f>
        <v>Stake Relief Society 2nd Counselor</v>
      </c>
      <c r="E46" s="42" t="str">
        <f>IFERROR(__xludf.DUMMYFUNCTION("""COMPUTED_VALUE"""),"Complete")</f>
        <v>Complete</v>
      </c>
      <c r="F46" s="44">
        <f>IFERROR(__xludf.DUMMYFUNCTION("""COMPUTED_VALUE"""),45170.0)</f>
        <v>45170</v>
      </c>
    </row>
    <row r="47">
      <c r="A47" s="42" t="str">
        <f>IFERROR(__xludf.DUMMYFUNCTION("""COMPUTED_VALUE"""),"Dawn Meadows")</f>
        <v>Dawn Meadows</v>
      </c>
      <c r="B47" s="42" t="str">
        <f>IFERROR(__xludf.DUMMYFUNCTION("""COMPUTED_VALUE"""),"Williamston")</f>
        <v>Williamston</v>
      </c>
      <c r="C47" s="42" t="str">
        <f>IFERROR(__xludf.DUMMYFUNCTION("""COMPUTED_VALUE"""),"Sustain")</f>
        <v>Sustain</v>
      </c>
      <c r="D47" s="42" t="str">
        <f>IFERROR(__xludf.DUMMYFUNCTION("""COMPUTED_VALUE"""),"Assistant Just Serve Coordinator")</f>
        <v>Assistant Just Serve Coordinator</v>
      </c>
      <c r="E47" s="42" t="str">
        <f>IFERROR(__xludf.DUMMYFUNCTION("""COMPUTED_VALUE"""),"Complete")</f>
        <v>Complete</v>
      </c>
      <c r="F47" s="44">
        <f>IFERROR(__xludf.DUMMYFUNCTION("""COMPUTED_VALUE"""),45170.0)</f>
        <v>45170</v>
      </c>
    </row>
    <row r="48">
      <c r="A48" s="42" t="str">
        <f>IFERROR(__xludf.DUMMYFUNCTION("""COMPUTED_VALUE"""),"Eric Hunter")</f>
        <v>Eric Hunter</v>
      </c>
      <c r="B48" s="42" t="str">
        <f>IFERROR(__xludf.DUMMYFUNCTION("""COMPUTED_VALUE"""),"Williamston")</f>
        <v>Williamston</v>
      </c>
      <c r="C48" s="42" t="str">
        <f>IFERROR(__xludf.DUMMYFUNCTION("""COMPUTED_VALUE"""),"Release &amp; Thank")</f>
        <v>Release &amp; Thank</v>
      </c>
      <c r="D48" s="42" t="str">
        <f>IFERROR(__xludf.DUMMYFUNCTION("""COMPUTED_VALUE"""),"Stake High Councilor and Stake Young Men President")</f>
        <v>Stake High Councilor and Stake Young Men President</v>
      </c>
      <c r="E48" s="42" t="str">
        <f>IFERROR(__xludf.DUMMYFUNCTION("""COMPUTED_VALUE"""),"Complete")</f>
        <v>Complete</v>
      </c>
      <c r="F48" s="44">
        <f>IFERROR(__xludf.DUMMYFUNCTION("""COMPUTED_VALUE"""),45170.0)</f>
        <v>45170</v>
      </c>
    </row>
    <row r="49">
      <c r="A49" s="42" t="str">
        <f>IFERROR(__xludf.DUMMYFUNCTION("""COMPUTED_VALUE"""),"Curtis Ferrin")</f>
        <v>Curtis Ferrin</v>
      </c>
      <c r="B49" s="42" t="str">
        <f>IFERROR(__xludf.DUMMYFUNCTION("""COMPUTED_VALUE"""),"Lansing")</f>
        <v>Lansing</v>
      </c>
      <c r="C49" s="42" t="str">
        <f>IFERROR(__xludf.DUMMYFUNCTION("""COMPUTED_VALUE"""),"Sustain")</f>
        <v>Sustain</v>
      </c>
      <c r="D49" s="42" t="str">
        <f>IFERROR(__xludf.DUMMYFUNCTION("""COMPUTED_VALUE"""),"Stake High Councilor and Stake Young Men President")</f>
        <v>Stake High Councilor and Stake Young Men President</v>
      </c>
      <c r="E49" s="42" t="str">
        <f>IFERROR(__xludf.DUMMYFUNCTION("""COMPUTED_VALUE"""),"Complete")</f>
        <v>Complete</v>
      </c>
      <c r="F49" s="44">
        <f>IFERROR(__xludf.DUMMYFUNCTION("""COMPUTED_VALUE"""),45170.0)</f>
        <v>45170</v>
      </c>
    </row>
    <row r="50">
      <c r="A50" s="42" t="str">
        <f>IFERROR(__xludf.DUMMYFUNCTION("""COMPUTED_VALUE"""),"Brooke Judd")</f>
        <v>Brooke Judd</v>
      </c>
      <c r="B50" s="42" t="str">
        <f>IFERROR(__xludf.DUMMYFUNCTION("""COMPUTED_VALUE"""),"Charlotte")</f>
        <v>Charlotte</v>
      </c>
      <c r="C50" s="42" t="str">
        <f>IFERROR(__xludf.DUMMYFUNCTION("""COMPUTED_VALUE"""),"Release &amp; Thank")</f>
        <v>Release &amp; Thank</v>
      </c>
      <c r="D50" s="42" t="str">
        <f>IFERROR(__xludf.DUMMYFUNCTION("""COMPUTED_VALUE"""),"Stake Communication Director")</f>
        <v>Stake Communication Director</v>
      </c>
      <c r="E50" s="42" t="str">
        <f>IFERROR(__xludf.DUMMYFUNCTION("""COMPUTED_VALUE"""),"Complete")</f>
        <v>Complete</v>
      </c>
      <c r="F50" s="44">
        <f>IFERROR(__xludf.DUMMYFUNCTION("""COMPUTED_VALUE"""),45170.0)</f>
        <v>45170</v>
      </c>
    </row>
    <row r="51">
      <c r="A51" s="42" t="str">
        <f>IFERROR(__xludf.DUMMYFUNCTION("""COMPUTED_VALUE"""),"Stephanie Farero")</f>
        <v>Stephanie Farero</v>
      </c>
      <c r="B51" s="42" t="str">
        <f>IFERROR(__xludf.DUMMYFUNCTION("""COMPUTED_VALUE"""),"Holt")</f>
        <v>Holt</v>
      </c>
      <c r="C51" s="42" t="str">
        <f>IFERROR(__xludf.DUMMYFUNCTION("""COMPUTED_VALUE"""),"Sustain")</f>
        <v>Sustain</v>
      </c>
      <c r="D51" s="42" t="str">
        <f>IFERROR(__xludf.DUMMYFUNCTION("""COMPUTED_VALUE"""),"Stake Communication Director")</f>
        <v>Stake Communication Director</v>
      </c>
      <c r="E51" s="42" t="str">
        <f>IFERROR(__xludf.DUMMYFUNCTION("""COMPUTED_VALUE"""),"Complete")</f>
        <v>Complete</v>
      </c>
      <c r="F51" s="44">
        <f>IFERROR(__xludf.DUMMYFUNCTION("""COMPUTED_VALUE"""),45170.0)</f>
        <v>45170</v>
      </c>
    </row>
    <row r="52">
      <c r="A52" s="42" t="str">
        <f>IFERROR(__xludf.DUMMYFUNCTION("""COMPUTED_VALUE"""),"Don &amp; Nancy Ward")</f>
        <v>Don &amp; Nancy Ward</v>
      </c>
      <c r="B52" s="42" t="str">
        <f>IFERROR(__xludf.DUMMYFUNCTION("""COMPUTED_VALUE"""),"Williamston")</f>
        <v>Williamston</v>
      </c>
      <c r="C52" s="42" t="str">
        <f>IFERROR(__xludf.DUMMYFUNCTION("""COMPUTED_VALUE"""),"Sustain")</f>
        <v>Sustain</v>
      </c>
      <c r="D52" s="42" t="str">
        <f>IFERROR(__xludf.DUMMYFUNCTION("""COMPUTED_VALUE"""),"Stake Clothing Distribution Specialists")</f>
        <v>Stake Clothing Distribution Specialists</v>
      </c>
      <c r="E52" s="42" t="str">
        <f>IFERROR(__xludf.DUMMYFUNCTION("""COMPUTED_VALUE"""),"Complete")</f>
        <v>Complete</v>
      </c>
      <c r="F52" s="44">
        <f>IFERROR(__xludf.DUMMYFUNCTION("""COMPUTED_VALUE"""),45170.0)</f>
        <v>45170</v>
      </c>
    </row>
    <row r="53">
      <c r="A53" s="42" t="str">
        <f>IFERROR(__xludf.DUMMYFUNCTION("""COMPUTED_VALUE"""),"Victoria Hall")</f>
        <v>Victoria Hall</v>
      </c>
      <c r="B53" s="42" t="str">
        <f>IFERROR(__xludf.DUMMYFUNCTION("""COMPUTED_VALUE"""),"Williamston")</f>
        <v>Williamston</v>
      </c>
      <c r="C53" s="42" t="str">
        <f>IFERROR(__xludf.DUMMYFUNCTION("""COMPUTED_VALUE"""),"Sustain")</f>
        <v>Sustain</v>
      </c>
      <c r="D53" s="42" t="str">
        <f>IFERROR(__xludf.DUMMYFUNCTION("""COMPUTED_VALUE"""),"Stake YW 2nd Counselor")</f>
        <v>Stake YW 2nd Counselor</v>
      </c>
      <c r="E53" s="42" t="str">
        <f>IFERROR(__xludf.DUMMYFUNCTION("""COMPUTED_VALUE"""),"Complete")</f>
        <v>Complete</v>
      </c>
      <c r="F53" s="44">
        <f>IFERROR(__xludf.DUMMYFUNCTION("""COMPUTED_VALUE"""),45170.0)</f>
        <v>45170</v>
      </c>
    </row>
    <row r="54">
      <c r="A54" s="42" t="str">
        <f>IFERROR(__xludf.DUMMYFUNCTION("""COMPUTED_VALUE"""),"Brandon Howard")</f>
        <v>Brandon Howard</v>
      </c>
      <c r="B54" s="42" t="str">
        <f>IFERROR(__xludf.DUMMYFUNCTION("""COMPUTED_VALUE"""),"Lansing")</f>
        <v>Lansing</v>
      </c>
      <c r="C54" s="42" t="str">
        <f>IFERROR(__xludf.DUMMYFUNCTION("""COMPUTED_VALUE"""),"Sustain")</f>
        <v>Sustain</v>
      </c>
      <c r="D54" s="42" t="str">
        <f>IFERROR(__xludf.DUMMYFUNCTION("""COMPUTED_VALUE"""),"Stake YM Secretary")</f>
        <v>Stake YM Secretary</v>
      </c>
      <c r="E54" s="42" t="str">
        <f>IFERROR(__xludf.DUMMYFUNCTION("""COMPUTED_VALUE"""),"Complete")</f>
        <v>Complete</v>
      </c>
      <c r="F54" s="44">
        <f>IFERROR(__xludf.DUMMYFUNCTION("""COMPUTED_VALUE"""),45170.0)</f>
        <v>45170</v>
      </c>
    </row>
    <row r="55">
      <c r="A55" s="42" t="str">
        <f>IFERROR(__xludf.DUMMYFUNCTION("""COMPUTED_VALUE"""),"Laura Hunter")</f>
        <v>Laura Hunter</v>
      </c>
      <c r="B55" s="42" t="str">
        <f>IFERROR(__xludf.DUMMYFUNCTION("""COMPUTED_VALUE"""),"Williamston")</f>
        <v>Williamston</v>
      </c>
      <c r="C55" s="42" t="str">
        <f>IFERROR(__xludf.DUMMYFUNCTION("""COMPUTED_VALUE"""),"Release &amp; Thank")</f>
        <v>Release &amp; Thank</v>
      </c>
      <c r="D55" s="42" t="str">
        <f>IFERROR(__xludf.DUMMYFUNCTION("""COMPUTED_VALUE"""),"Stake Primary 2nd Counselor")</f>
        <v>Stake Primary 2nd Counselor</v>
      </c>
      <c r="E55" s="42" t="str">
        <f>IFERROR(__xludf.DUMMYFUNCTION("""COMPUTED_VALUE"""),"Complete")</f>
        <v>Complete</v>
      </c>
      <c r="F55" s="44">
        <f>IFERROR(__xludf.DUMMYFUNCTION("""COMPUTED_VALUE"""),45170.0)</f>
        <v>45170</v>
      </c>
    </row>
    <row r="56">
      <c r="A56" s="42" t="str">
        <f>IFERROR(__xludf.DUMMYFUNCTION("""COMPUTED_VALUE"""),"Cheryl Kelly")</f>
        <v>Cheryl Kelly</v>
      </c>
      <c r="B56" s="42" t="str">
        <f>IFERROR(__xludf.DUMMYFUNCTION("""COMPUTED_VALUE"""),"Williamston")</f>
        <v>Williamston</v>
      </c>
      <c r="C56" s="42" t="str">
        <f>IFERROR(__xludf.DUMMYFUNCTION("""COMPUTED_VALUE"""),"Sustain")</f>
        <v>Sustain</v>
      </c>
      <c r="D56" s="42" t="str">
        <f>IFERROR(__xludf.DUMMYFUNCTION("""COMPUTED_VALUE"""),"Stake Primary 2nd Counselor")</f>
        <v>Stake Primary 2nd Counselor</v>
      </c>
      <c r="E56" s="42" t="str">
        <f>IFERROR(__xludf.DUMMYFUNCTION("""COMPUTED_VALUE"""),"Complete")</f>
        <v>Complete</v>
      </c>
      <c r="F56" s="44">
        <f>IFERROR(__xludf.DUMMYFUNCTION("""COMPUTED_VALUE"""),45170.0)</f>
        <v>45170</v>
      </c>
    </row>
    <row r="57">
      <c r="A57" s="42" t="str">
        <f>IFERROR(__xludf.DUMMYFUNCTION("""COMPUTED_VALUE"""),"Carla Moore")</f>
        <v>Carla Moore</v>
      </c>
      <c r="B57" s="42" t="str">
        <f>IFERROR(__xludf.DUMMYFUNCTION("""COMPUTED_VALUE"""),"St Johns")</f>
        <v>St Johns</v>
      </c>
      <c r="C57" s="42" t="str">
        <f>IFERROR(__xludf.DUMMYFUNCTION("""COMPUTED_VALUE"""),"Release &amp; Thank")</f>
        <v>Release &amp; Thank</v>
      </c>
      <c r="D57" s="42" t="str">
        <f>IFERROR(__xludf.DUMMYFUNCTION("""COMPUTED_VALUE"""),"Stake RS Secretary")</f>
        <v>Stake RS Secretary</v>
      </c>
      <c r="E57" s="42" t="str">
        <f>IFERROR(__xludf.DUMMYFUNCTION("""COMPUTED_VALUE"""),"Complete")</f>
        <v>Complete</v>
      </c>
      <c r="F57" s="44">
        <f>IFERROR(__xludf.DUMMYFUNCTION("""COMPUTED_VALUE"""),45170.0)</f>
        <v>45170</v>
      </c>
    </row>
    <row r="58">
      <c r="A58" s="42" t="str">
        <f>IFERROR(__xludf.DUMMYFUNCTION("""COMPUTED_VALUE"""),"Kirsten Rawson")</f>
        <v>Kirsten Rawson</v>
      </c>
      <c r="B58" s="42" t="str">
        <f>IFERROR(__xludf.DUMMYFUNCTION("""COMPUTED_VALUE"""),"Williamston")</f>
        <v>Williamston</v>
      </c>
      <c r="C58" s="42" t="str">
        <f>IFERROR(__xludf.DUMMYFUNCTION("""COMPUTED_VALUE"""),"Sustain")</f>
        <v>Sustain</v>
      </c>
      <c r="D58" s="42" t="str">
        <f>IFERROR(__xludf.DUMMYFUNCTION("""COMPUTED_VALUE"""),"Stake RS Secretary")</f>
        <v>Stake RS Secretary</v>
      </c>
      <c r="E58" s="42" t="str">
        <f>IFERROR(__xludf.DUMMYFUNCTION("""COMPUTED_VALUE"""),"Complete")</f>
        <v>Complete</v>
      </c>
      <c r="F58" s="44">
        <f>IFERROR(__xludf.DUMMYFUNCTION("""COMPUTED_VALUE"""),45170.0)</f>
        <v>45170</v>
      </c>
    </row>
    <row r="59">
      <c r="A59" s="42" t="str">
        <f>IFERROR(__xludf.DUMMYFUNCTION("""COMPUTED_VALUE"""),"Thomas Smith")</f>
        <v>Thomas Smith</v>
      </c>
      <c r="B59" s="42" t="str">
        <f>IFERROR(__xludf.DUMMYFUNCTION("""COMPUTED_VALUE"""),"St Johns")</f>
        <v>St Johns</v>
      </c>
      <c r="C59" s="42" t="str">
        <f>IFERROR(__xludf.DUMMYFUNCTION("""COMPUTED_VALUE"""),"Release &amp; Thank")</f>
        <v>Release &amp; Thank</v>
      </c>
      <c r="D59" s="42" t="str">
        <f>IFERROR(__xludf.DUMMYFUNCTION("""COMPUTED_VALUE"""),"Stake High Councilor")</f>
        <v>Stake High Councilor</v>
      </c>
      <c r="E59" s="42" t="str">
        <f>IFERROR(__xludf.DUMMYFUNCTION("""COMPUTED_VALUE"""),"Complete")</f>
        <v>Complete</v>
      </c>
      <c r="F59" s="44">
        <f>IFERROR(__xludf.DUMMYFUNCTION("""COMPUTED_VALUE"""),45170.0)</f>
        <v>45170</v>
      </c>
    </row>
    <row r="60">
      <c r="A60" s="42" t="str">
        <f>IFERROR(__xludf.DUMMYFUNCTION("""COMPUTED_VALUE"""),"David Hall")</f>
        <v>David Hall</v>
      </c>
      <c r="B60" s="42" t="str">
        <f>IFERROR(__xludf.DUMMYFUNCTION("""COMPUTED_VALUE"""),"Williamston")</f>
        <v>Williamston</v>
      </c>
      <c r="C60" s="42" t="str">
        <f>IFERROR(__xludf.DUMMYFUNCTION("""COMPUTED_VALUE"""),"Sustain")</f>
        <v>Sustain</v>
      </c>
      <c r="D60" s="42" t="str">
        <f>IFERROR(__xludf.DUMMYFUNCTION("""COMPUTED_VALUE"""),"Stake High Councilor")</f>
        <v>Stake High Councilor</v>
      </c>
      <c r="E60" s="42" t="str">
        <f>IFERROR(__xludf.DUMMYFUNCTION("""COMPUTED_VALUE"""),"Complete")</f>
        <v>Complete</v>
      </c>
      <c r="F60" s="44">
        <f>IFERROR(__xludf.DUMMYFUNCTION("""COMPUTED_VALUE"""),45170.0)</f>
        <v>45170</v>
      </c>
    </row>
    <row r="61">
      <c r="A61" s="42" t="str">
        <f>IFERROR(__xludf.DUMMYFUNCTION("""COMPUTED_VALUE"""),"Julie Potter")</f>
        <v>Julie Potter</v>
      </c>
      <c r="B61" s="42" t="str">
        <f>IFERROR(__xludf.DUMMYFUNCTION("""COMPUTED_VALUE"""),"Holt")</f>
        <v>Holt</v>
      </c>
      <c r="C61" s="42" t="str">
        <f>IFERROR(__xludf.DUMMYFUNCTION("""COMPUTED_VALUE"""),"Release &amp; Thank")</f>
        <v>Release &amp; Thank</v>
      </c>
      <c r="D61" s="42" t="str">
        <f>IFERROR(__xludf.DUMMYFUNCTION("""COMPUTED_VALUE"""),"Stake Single Adult Representative")</f>
        <v>Stake Single Adult Representative</v>
      </c>
      <c r="E61" s="42" t="str">
        <f>IFERROR(__xludf.DUMMYFUNCTION("""COMPUTED_VALUE"""),"Complete")</f>
        <v>Complete</v>
      </c>
      <c r="F61" s="44">
        <f>IFERROR(__xludf.DUMMYFUNCTION("""COMPUTED_VALUE"""),45170.0)</f>
        <v>45170</v>
      </c>
    </row>
    <row r="62">
      <c r="A62" s="42" t="str">
        <f>IFERROR(__xludf.DUMMYFUNCTION("""COMPUTED_VALUE"""),"Jakob Bartlett")</f>
        <v>Jakob Bartlett</v>
      </c>
      <c r="B62" s="42" t="str">
        <f>IFERROR(__xludf.DUMMYFUNCTION("""COMPUTED_VALUE"""),"Lansing")</f>
        <v>Lansing</v>
      </c>
      <c r="C62" s="42" t="str">
        <f>IFERROR(__xludf.DUMMYFUNCTION("""COMPUTED_VALUE"""),"Release &amp; Thank")</f>
        <v>Release &amp; Thank</v>
      </c>
      <c r="D62" s="42" t="str">
        <f>IFERROR(__xludf.DUMMYFUNCTION("""COMPUTED_VALUE"""),"Seminary and Institute Teacher")</f>
        <v>Seminary and Institute Teacher</v>
      </c>
      <c r="E62" s="42" t="str">
        <f>IFERROR(__xludf.DUMMYFUNCTION("""COMPUTED_VALUE"""),"Complete")</f>
        <v>Complete</v>
      </c>
      <c r="F62" s="44">
        <f>IFERROR(__xludf.DUMMYFUNCTION("""COMPUTED_VALUE"""),45170.0)</f>
        <v>45170</v>
      </c>
    </row>
    <row r="63">
      <c r="A63" s="42" t="str">
        <f>IFERROR(__xludf.DUMMYFUNCTION("""COMPUTED_VALUE"""),"Bethany Jeffery")</f>
        <v>Bethany Jeffery</v>
      </c>
      <c r="B63" s="42" t="str">
        <f>IFERROR(__xludf.DUMMYFUNCTION("""COMPUTED_VALUE"""),"Williamston")</f>
        <v>Williamston</v>
      </c>
      <c r="C63" s="42" t="str">
        <f>IFERROR(__xludf.DUMMYFUNCTION("""COMPUTED_VALUE"""),"Release &amp; Thank")</f>
        <v>Release &amp; Thank</v>
      </c>
      <c r="D63" s="42" t="str">
        <f>IFERROR(__xludf.DUMMYFUNCTION("""COMPUTED_VALUE"""),"Seminary Teacher")</f>
        <v>Seminary Teacher</v>
      </c>
      <c r="E63" s="42" t="str">
        <f>IFERROR(__xludf.DUMMYFUNCTION("""COMPUTED_VALUE"""),"Complete")</f>
        <v>Complete</v>
      </c>
      <c r="F63" s="44">
        <f>IFERROR(__xludf.DUMMYFUNCTION("""COMPUTED_VALUE"""),45170.0)</f>
        <v>45170</v>
      </c>
    </row>
    <row r="64">
      <c r="A64" s="42" t="str">
        <f>IFERROR(__xludf.DUMMYFUNCTION("""COMPUTED_VALUE"""),"George and Colleen Owen")</f>
        <v>George and Colleen Owen</v>
      </c>
      <c r="B64" s="42" t="str">
        <f>IFERROR(__xludf.DUMMYFUNCTION("""COMPUTED_VALUE"""),"Williamston")</f>
        <v>Williamston</v>
      </c>
      <c r="C64" s="42" t="str">
        <f>IFERROR(__xludf.DUMMYFUNCTION("""COMPUTED_VALUE"""),"Sustain")</f>
        <v>Sustain</v>
      </c>
      <c r="D64" s="42" t="str">
        <f>IFERROR(__xludf.DUMMYFUNCTION("""COMPUTED_VALUE"""),"Seminary Teachers")</f>
        <v>Seminary Teachers</v>
      </c>
      <c r="E64" s="42" t="str">
        <f>IFERROR(__xludf.DUMMYFUNCTION("""COMPUTED_VALUE"""),"Complete")</f>
        <v>Complete</v>
      </c>
      <c r="F64" s="44">
        <f>IFERROR(__xludf.DUMMYFUNCTION("""COMPUTED_VALUE"""),45170.0)</f>
        <v>45170</v>
      </c>
    </row>
    <row r="65">
      <c r="A65" s="42" t="str">
        <f>IFERROR(__xludf.DUMMYFUNCTION("""COMPUTED_VALUE"""),"Ginger Piatt")</f>
        <v>Ginger Piatt</v>
      </c>
      <c r="B65" s="42" t="str">
        <f>IFERROR(__xludf.DUMMYFUNCTION("""COMPUTED_VALUE"""),"Holt")</f>
        <v>Holt</v>
      </c>
      <c r="C65" s="42" t="str">
        <f>IFERROR(__xludf.DUMMYFUNCTION("""COMPUTED_VALUE"""),"Sustain")</f>
        <v>Sustain</v>
      </c>
      <c r="D65" s="42" t="str">
        <f>IFERROR(__xludf.DUMMYFUNCTION("""COMPUTED_VALUE"""),"Institute Teacher")</f>
        <v>Institute Teacher</v>
      </c>
      <c r="E65" s="42" t="str">
        <f>IFERROR(__xludf.DUMMYFUNCTION("""COMPUTED_VALUE"""),"Complete")</f>
        <v>Complete</v>
      </c>
      <c r="F65" s="44">
        <f>IFERROR(__xludf.DUMMYFUNCTION("""COMPUTED_VALUE"""),45170.0)</f>
        <v>45170</v>
      </c>
    </row>
  </sheetData>
  <autoFilter ref="$A$1:$F$59"/>
  <conditionalFormatting sqref="C1:C1000">
    <cfRule type="containsText" dxfId="10" priority="1" operator="containsText" text="Sustain">
      <formula>NOT(ISERROR(SEARCH(("Sustain"),(C1))))</formula>
    </cfRule>
  </conditionalFormatting>
  <conditionalFormatting sqref="C1:C1000">
    <cfRule type="containsText" dxfId="11" priority="2" operator="containsText" text="Release">
      <formula>NOT(ISERROR(SEARCH(("Release"),(C1))))</formula>
    </cfRule>
  </conditionalFormatting>
  <conditionalFormatting sqref="D1:D1000">
    <cfRule type="containsText" dxfId="12" priority="3" operator="containsText" text="Elder">
      <formula>NOT(ISERROR(SEARCH(("Elder"),(D1))))</formula>
    </cfRule>
  </conditionalFormatting>
  <conditionalFormatting sqref="D1:D1000">
    <cfRule type="containsText" dxfId="13" priority="4" operator="containsText" text="High Priest">
      <formula>NOT(ISERROR(SEARCH(("High Priest"),(D1))))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9.88"/>
    <col customWidth="1" min="3" max="3" width="18.63"/>
    <col customWidth="1" min="4" max="4" width="42.25"/>
    <col customWidth="1" min="5" max="13" width="3.0"/>
    <col customWidth="1" min="14" max="14" width="5.25"/>
    <col customWidth="1" min="16" max="16" width="16.0"/>
  </cols>
  <sheetData>
    <row r="1">
      <c r="A1" s="45" t="s">
        <v>286</v>
      </c>
    </row>
    <row r="2">
      <c r="A2" s="46" t="s">
        <v>287</v>
      </c>
    </row>
    <row r="3">
      <c r="A3" s="47" t="s">
        <v>33</v>
      </c>
      <c r="B3" s="48" t="s">
        <v>34</v>
      </c>
      <c r="C3" s="48" t="s">
        <v>35</v>
      </c>
      <c r="D3" s="48" t="s">
        <v>288</v>
      </c>
      <c r="E3" s="49" t="s">
        <v>4</v>
      </c>
      <c r="F3" s="49" t="s">
        <v>20</v>
      </c>
      <c r="G3" s="49" t="s">
        <v>6</v>
      </c>
      <c r="H3" s="49" t="s">
        <v>8</v>
      </c>
      <c r="I3" s="49" t="s">
        <v>10</v>
      </c>
      <c r="J3" s="49" t="s">
        <v>14</v>
      </c>
      <c r="K3" s="49" t="s">
        <v>12</v>
      </c>
      <c r="L3" s="49" t="s">
        <v>16</v>
      </c>
      <c r="M3" s="49" t="s">
        <v>18</v>
      </c>
      <c r="N3" s="50" t="s">
        <v>37</v>
      </c>
      <c r="P3" s="51" t="s">
        <v>289</v>
      </c>
    </row>
    <row r="4" ht="25.5" customHeight="1">
      <c r="A4" s="52" t="s">
        <v>90</v>
      </c>
      <c r="B4" s="53" t="s">
        <v>290</v>
      </c>
      <c r="C4" s="53" t="s">
        <v>41</v>
      </c>
      <c r="D4" s="53" t="s">
        <v>91</v>
      </c>
      <c r="E4" s="53" t="b">
        <v>1</v>
      </c>
      <c r="F4" s="53" t="b">
        <v>0</v>
      </c>
      <c r="G4" s="53" t="b">
        <v>1</v>
      </c>
      <c r="H4" s="53" t="b">
        <v>1</v>
      </c>
      <c r="I4" s="53" t="b">
        <v>0</v>
      </c>
      <c r="J4" s="53" t="b">
        <v>1</v>
      </c>
      <c r="K4" s="53" t="b">
        <v>1</v>
      </c>
      <c r="L4" s="53" t="b">
        <v>1</v>
      </c>
      <c r="M4" s="53" t="b">
        <v>1</v>
      </c>
      <c r="N4" s="54">
        <f t="shared" ref="N4:N12" si="1">IF(A4="","",COUNTIF(E4:M4,TRUE)/COUNTA(E4:M4))</f>
        <v>0.7777777778</v>
      </c>
    </row>
    <row r="5" ht="25.5" customHeight="1">
      <c r="A5" s="52" t="s">
        <v>92</v>
      </c>
      <c r="B5" s="53" t="s">
        <v>290</v>
      </c>
      <c r="C5" s="53" t="s">
        <v>45</v>
      </c>
      <c r="D5" s="53" t="s">
        <v>93</v>
      </c>
      <c r="E5" s="53" t="b">
        <v>1</v>
      </c>
      <c r="F5" s="53" t="b">
        <v>0</v>
      </c>
      <c r="G5" s="53" t="b">
        <v>1</v>
      </c>
      <c r="H5" s="53" t="b">
        <v>1</v>
      </c>
      <c r="I5" s="53" t="b">
        <v>0</v>
      </c>
      <c r="J5" s="53" t="b">
        <v>1</v>
      </c>
      <c r="K5" s="53" t="b">
        <v>1</v>
      </c>
      <c r="L5" s="53" t="b">
        <v>1</v>
      </c>
      <c r="M5" s="53" t="b">
        <v>1</v>
      </c>
      <c r="N5" s="54">
        <f t="shared" si="1"/>
        <v>0.7777777778</v>
      </c>
    </row>
    <row r="6" ht="25.5" customHeight="1">
      <c r="A6" s="52"/>
      <c r="B6" s="53"/>
      <c r="C6" s="53"/>
      <c r="D6" s="53"/>
      <c r="E6" s="53" t="b">
        <v>0</v>
      </c>
      <c r="F6" s="53" t="b">
        <v>0</v>
      </c>
      <c r="G6" s="53" t="b">
        <v>0</v>
      </c>
      <c r="H6" s="53" t="b">
        <v>0</v>
      </c>
      <c r="I6" s="53" t="b">
        <v>0</v>
      </c>
      <c r="J6" s="53" t="b">
        <v>0</v>
      </c>
      <c r="K6" s="53" t="b">
        <v>0</v>
      </c>
      <c r="L6" s="53" t="b">
        <v>0</v>
      </c>
      <c r="M6" s="53" t="b">
        <v>0</v>
      </c>
      <c r="N6" s="54" t="str">
        <f t="shared" si="1"/>
        <v/>
      </c>
    </row>
    <row r="7" ht="25.5" customHeight="1">
      <c r="A7" s="52"/>
      <c r="B7" s="53"/>
      <c r="C7" s="53"/>
      <c r="D7" s="53"/>
      <c r="E7" s="53" t="b">
        <v>0</v>
      </c>
      <c r="F7" s="53" t="b">
        <v>0</v>
      </c>
      <c r="G7" s="53" t="b">
        <v>0</v>
      </c>
      <c r="H7" s="53" t="b">
        <v>0</v>
      </c>
      <c r="I7" s="53" t="b">
        <v>0</v>
      </c>
      <c r="J7" s="53" t="b">
        <v>0</v>
      </c>
      <c r="K7" s="53" t="b">
        <v>0</v>
      </c>
      <c r="L7" s="53" t="b">
        <v>0</v>
      </c>
      <c r="M7" s="53" t="b">
        <v>0</v>
      </c>
      <c r="N7" s="54" t="str">
        <f t="shared" si="1"/>
        <v/>
      </c>
    </row>
    <row r="8" ht="25.5" customHeight="1">
      <c r="A8" s="52"/>
      <c r="B8" s="53"/>
      <c r="C8" s="53"/>
      <c r="D8" s="53"/>
      <c r="E8" s="53" t="b">
        <v>0</v>
      </c>
      <c r="F8" s="53" t="b">
        <v>0</v>
      </c>
      <c r="G8" s="53" t="b">
        <v>0</v>
      </c>
      <c r="H8" s="53" t="b">
        <v>0</v>
      </c>
      <c r="I8" s="53" t="b">
        <v>0</v>
      </c>
      <c r="J8" s="53" t="b">
        <v>0</v>
      </c>
      <c r="K8" s="53" t="b">
        <v>0</v>
      </c>
      <c r="L8" s="53" t="b">
        <v>0</v>
      </c>
      <c r="M8" s="53" t="b">
        <v>0</v>
      </c>
      <c r="N8" s="54" t="str">
        <f t="shared" si="1"/>
        <v/>
      </c>
    </row>
    <row r="9" ht="25.5" customHeight="1">
      <c r="A9" s="52"/>
      <c r="B9" s="53"/>
      <c r="C9" s="53"/>
      <c r="D9" s="53"/>
      <c r="E9" s="53" t="b">
        <v>0</v>
      </c>
      <c r="F9" s="53" t="b">
        <v>0</v>
      </c>
      <c r="G9" s="53" t="b">
        <v>0</v>
      </c>
      <c r="H9" s="53" t="b">
        <v>0</v>
      </c>
      <c r="I9" s="53" t="b">
        <v>0</v>
      </c>
      <c r="J9" s="53" t="b">
        <v>0</v>
      </c>
      <c r="K9" s="53" t="b">
        <v>0</v>
      </c>
      <c r="L9" s="53" t="b">
        <v>0</v>
      </c>
      <c r="M9" s="53" t="b">
        <v>0</v>
      </c>
      <c r="N9" s="54" t="str">
        <f t="shared" si="1"/>
        <v/>
      </c>
    </row>
    <row r="10" ht="25.5" customHeight="1">
      <c r="A10" s="52"/>
      <c r="B10" s="53"/>
      <c r="C10" s="53"/>
      <c r="D10" s="53"/>
      <c r="E10" s="53" t="b">
        <v>0</v>
      </c>
      <c r="F10" s="53" t="b">
        <v>0</v>
      </c>
      <c r="G10" s="53" t="b">
        <v>0</v>
      </c>
      <c r="H10" s="53" t="b">
        <v>0</v>
      </c>
      <c r="I10" s="53" t="b">
        <v>0</v>
      </c>
      <c r="J10" s="53" t="b">
        <v>0</v>
      </c>
      <c r="K10" s="53" t="b">
        <v>0</v>
      </c>
      <c r="L10" s="53" t="b">
        <v>0</v>
      </c>
      <c r="M10" s="53" t="b">
        <v>0</v>
      </c>
      <c r="N10" s="54" t="str">
        <f t="shared" si="1"/>
        <v/>
      </c>
    </row>
    <row r="11" ht="25.5" customHeight="1">
      <c r="A11" s="52"/>
      <c r="B11" s="53"/>
      <c r="C11" s="53"/>
      <c r="D11" s="53"/>
      <c r="E11" s="53" t="b">
        <v>0</v>
      </c>
      <c r="F11" s="53" t="b">
        <v>0</v>
      </c>
      <c r="G11" s="53" t="b">
        <v>0</v>
      </c>
      <c r="H11" s="53" t="b">
        <v>0</v>
      </c>
      <c r="I11" s="53" t="b">
        <v>0</v>
      </c>
      <c r="J11" s="53" t="b">
        <v>0</v>
      </c>
      <c r="K11" s="53" t="b">
        <v>0</v>
      </c>
      <c r="L11" s="53" t="b">
        <v>0</v>
      </c>
      <c r="M11" s="53" t="b">
        <v>0</v>
      </c>
      <c r="N11" s="54" t="str">
        <f t="shared" si="1"/>
        <v/>
      </c>
    </row>
    <row r="12" ht="25.5" customHeight="1">
      <c r="A12" s="52"/>
      <c r="B12" s="53"/>
      <c r="C12" s="53"/>
      <c r="D12" s="53"/>
      <c r="E12" s="53" t="b">
        <v>0</v>
      </c>
      <c r="F12" s="53" t="b">
        <v>0</v>
      </c>
      <c r="G12" s="53" t="b">
        <v>0</v>
      </c>
      <c r="H12" s="53" t="b">
        <v>0</v>
      </c>
      <c r="I12" s="53" t="b">
        <v>0</v>
      </c>
      <c r="J12" s="53" t="b">
        <v>0</v>
      </c>
      <c r="K12" s="53" t="b">
        <v>0</v>
      </c>
      <c r="L12" s="53" t="b">
        <v>0</v>
      </c>
      <c r="M12" s="53" t="b">
        <v>0</v>
      </c>
      <c r="N12" s="54" t="str">
        <f t="shared" si="1"/>
        <v/>
      </c>
    </row>
    <row r="13">
      <c r="N13" s="55"/>
    </row>
    <row r="14">
      <c r="N14" s="55"/>
    </row>
    <row r="15">
      <c r="N15" s="55"/>
    </row>
    <row r="16">
      <c r="N16" s="55"/>
    </row>
    <row r="17">
      <c r="N17" s="55"/>
    </row>
    <row r="18">
      <c r="N18" s="55"/>
    </row>
    <row r="19">
      <c r="N19" s="55"/>
    </row>
    <row r="20">
      <c r="N20" s="55"/>
    </row>
    <row r="21">
      <c r="N21" s="55"/>
    </row>
    <row r="22">
      <c r="N22" s="55"/>
    </row>
    <row r="23">
      <c r="N23" s="55"/>
    </row>
    <row r="24">
      <c r="N24" s="55"/>
    </row>
    <row r="25">
      <c r="N25" s="55"/>
    </row>
    <row r="26">
      <c r="N26" s="55"/>
    </row>
    <row r="27">
      <c r="N27" s="55"/>
    </row>
    <row r="28">
      <c r="N28" s="55"/>
    </row>
    <row r="29">
      <c r="N29" s="55"/>
    </row>
    <row r="30">
      <c r="N30" s="55"/>
    </row>
    <row r="31">
      <c r="N31" s="55"/>
    </row>
    <row r="32">
      <c r="N32" s="55"/>
    </row>
    <row r="33">
      <c r="N33" s="55"/>
    </row>
    <row r="34">
      <c r="N34" s="55"/>
    </row>
    <row r="35">
      <c r="N35" s="55"/>
    </row>
    <row r="36">
      <c r="N36" s="55"/>
    </row>
    <row r="37">
      <c r="N37" s="55"/>
    </row>
    <row r="38">
      <c r="N38" s="55"/>
    </row>
    <row r="39">
      <c r="N39" s="55"/>
    </row>
    <row r="40">
      <c r="N40" s="55"/>
    </row>
    <row r="41">
      <c r="N41" s="55"/>
    </row>
    <row r="42">
      <c r="N42" s="55"/>
    </row>
    <row r="43">
      <c r="N43" s="55"/>
    </row>
    <row r="44">
      <c r="N44" s="55"/>
    </row>
    <row r="45">
      <c r="N45" s="55"/>
    </row>
    <row r="46">
      <c r="N46" s="55"/>
    </row>
    <row r="47">
      <c r="N47" s="55"/>
    </row>
    <row r="48">
      <c r="N48" s="55"/>
    </row>
    <row r="49">
      <c r="N49" s="55"/>
    </row>
    <row r="50">
      <c r="N50" s="55"/>
    </row>
    <row r="51">
      <c r="N51" s="55"/>
    </row>
    <row r="52">
      <c r="N52" s="55"/>
    </row>
    <row r="53">
      <c r="N53" s="55"/>
    </row>
    <row r="54">
      <c r="N54" s="55"/>
    </row>
    <row r="55">
      <c r="N55" s="55"/>
    </row>
    <row r="56">
      <c r="N56" s="55"/>
    </row>
    <row r="57">
      <c r="N57" s="55"/>
    </row>
    <row r="58">
      <c r="N58" s="55"/>
    </row>
    <row r="59">
      <c r="N59" s="55"/>
    </row>
    <row r="60">
      <c r="N60" s="55"/>
    </row>
    <row r="61">
      <c r="N61" s="55"/>
    </row>
    <row r="62">
      <c r="N62" s="55"/>
    </row>
    <row r="63">
      <c r="N63" s="55"/>
    </row>
    <row r="64">
      <c r="N64" s="55"/>
    </row>
    <row r="65">
      <c r="N65" s="55"/>
    </row>
    <row r="66">
      <c r="N66" s="55"/>
    </row>
    <row r="67">
      <c r="N67" s="55"/>
    </row>
    <row r="68">
      <c r="N68" s="55"/>
    </row>
    <row r="69">
      <c r="N69" s="55"/>
    </row>
    <row r="70">
      <c r="N70" s="55"/>
    </row>
    <row r="71">
      <c r="N71" s="55"/>
    </row>
    <row r="72">
      <c r="N72" s="55"/>
    </row>
    <row r="73">
      <c r="N73" s="55"/>
    </row>
    <row r="74">
      <c r="N74" s="55"/>
    </row>
    <row r="75">
      <c r="N75" s="55"/>
    </row>
    <row r="76">
      <c r="N76" s="55"/>
    </row>
    <row r="77">
      <c r="N77" s="55"/>
    </row>
    <row r="78">
      <c r="N78" s="55"/>
    </row>
    <row r="79">
      <c r="N79" s="55"/>
    </row>
    <row r="80">
      <c r="N80" s="55"/>
    </row>
    <row r="81">
      <c r="N81" s="55"/>
    </row>
    <row r="82">
      <c r="N82" s="55"/>
    </row>
    <row r="83">
      <c r="N83" s="55"/>
    </row>
    <row r="84">
      <c r="N84" s="55"/>
    </row>
    <row r="85">
      <c r="N85" s="55"/>
    </row>
    <row r="86">
      <c r="N86" s="55"/>
    </row>
    <row r="87">
      <c r="N87" s="55"/>
    </row>
    <row r="88">
      <c r="N88" s="55"/>
    </row>
    <row r="89">
      <c r="N89" s="55"/>
    </row>
    <row r="90">
      <c r="N90" s="55"/>
    </row>
    <row r="91">
      <c r="N91" s="55"/>
    </row>
    <row r="92">
      <c r="N92" s="55"/>
    </row>
    <row r="93">
      <c r="N93" s="55"/>
    </row>
    <row r="94">
      <c r="N94" s="55"/>
    </row>
    <row r="95">
      <c r="N95" s="55"/>
    </row>
    <row r="96">
      <c r="N96" s="55"/>
    </row>
    <row r="97">
      <c r="N97" s="55"/>
    </row>
    <row r="98">
      <c r="N98" s="55"/>
    </row>
    <row r="99">
      <c r="N99" s="55"/>
    </row>
    <row r="100">
      <c r="N100" s="55"/>
    </row>
    <row r="101">
      <c r="N101" s="55"/>
    </row>
    <row r="102">
      <c r="N102" s="55"/>
    </row>
    <row r="103">
      <c r="N103" s="55"/>
    </row>
    <row r="104">
      <c r="N104" s="55"/>
    </row>
    <row r="105">
      <c r="N105" s="55"/>
    </row>
    <row r="106">
      <c r="N106" s="55"/>
    </row>
    <row r="107">
      <c r="N107" s="55"/>
    </row>
    <row r="108">
      <c r="N108" s="55"/>
    </row>
    <row r="109">
      <c r="N109" s="55"/>
    </row>
    <row r="110">
      <c r="N110" s="55"/>
    </row>
    <row r="111">
      <c r="N111" s="55"/>
    </row>
    <row r="112">
      <c r="N112" s="55"/>
    </row>
    <row r="113">
      <c r="N113" s="55"/>
    </row>
    <row r="114">
      <c r="N114" s="55"/>
    </row>
    <row r="115">
      <c r="N115" s="55"/>
    </row>
    <row r="116">
      <c r="N116" s="55"/>
    </row>
    <row r="117">
      <c r="N117" s="55"/>
    </row>
    <row r="118">
      <c r="N118" s="55"/>
    </row>
    <row r="119">
      <c r="N119" s="55"/>
    </row>
    <row r="120">
      <c r="N120" s="55"/>
    </row>
    <row r="121">
      <c r="N121" s="55"/>
    </row>
    <row r="122">
      <c r="N122" s="55"/>
    </row>
    <row r="123">
      <c r="N123" s="55"/>
    </row>
    <row r="124">
      <c r="N124" s="55"/>
    </row>
    <row r="125">
      <c r="N125" s="55"/>
    </row>
    <row r="126">
      <c r="N126" s="55"/>
    </row>
    <row r="127">
      <c r="N127" s="55"/>
    </row>
    <row r="128">
      <c r="N128" s="55"/>
    </row>
    <row r="129">
      <c r="N129" s="55"/>
    </row>
    <row r="130">
      <c r="N130" s="55"/>
    </row>
    <row r="131">
      <c r="N131" s="55"/>
    </row>
    <row r="132">
      <c r="N132" s="55"/>
    </row>
    <row r="133">
      <c r="N133" s="55"/>
    </row>
    <row r="134">
      <c r="N134" s="55"/>
    </row>
    <row r="135">
      <c r="N135" s="55"/>
    </row>
    <row r="136">
      <c r="N136" s="55"/>
    </row>
    <row r="137">
      <c r="N137" s="55"/>
    </row>
    <row r="138">
      <c r="N138" s="55"/>
    </row>
    <row r="139">
      <c r="N139" s="55"/>
    </row>
    <row r="140">
      <c r="N140" s="55"/>
    </row>
    <row r="141">
      <c r="N141" s="55"/>
    </row>
    <row r="142">
      <c r="N142" s="55"/>
    </row>
    <row r="143">
      <c r="N143" s="55"/>
    </row>
    <row r="144">
      <c r="N144" s="55"/>
    </row>
    <row r="145">
      <c r="N145" s="55"/>
    </row>
    <row r="146">
      <c r="N146" s="55"/>
    </row>
    <row r="147">
      <c r="N147" s="55"/>
    </row>
    <row r="148">
      <c r="N148" s="55"/>
    </row>
    <row r="149">
      <c r="N149" s="55"/>
    </row>
    <row r="150">
      <c r="N150" s="55"/>
    </row>
    <row r="151">
      <c r="N151" s="55"/>
    </row>
    <row r="152">
      <c r="N152" s="55"/>
    </row>
    <row r="153">
      <c r="N153" s="55"/>
    </row>
    <row r="154">
      <c r="N154" s="55"/>
    </row>
    <row r="155">
      <c r="N155" s="55"/>
    </row>
    <row r="156">
      <c r="N156" s="55"/>
    </row>
    <row r="157">
      <c r="N157" s="55"/>
    </row>
    <row r="158">
      <c r="N158" s="55"/>
    </row>
    <row r="159">
      <c r="N159" s="55"/>
    </row>
    <row r="160">
      <c r="N160" s="55"/>
    </row>
    <row r="161">
      <c r="N161" s="55"/>
    </row>
    <row r="162">
      <c r="N162" s="55"/>
    </row>
    <row r="163">
      <c r="N163" s="55"/>
    </row>
    <row r="164">
      <c r="N164" s="55"/>
    </row>
    <row r="165">
      <c r="N165" s="55"/>
    </row>
    <row r="166">
      <c r="N166" s="55"/>
    </row>
    <row r="167">
      <c r="N167" s="55"/>
    </row>
    <row r="168">
      <c r="N168" s="55"/>
    </row>
    <row r="169">
      <c r="N169" s="55"/>
    </row>
    <row r="170">
      <c r="N170" s="55"/>
    </row>
    <row r="171">
      <c r="N171" s="55"/>
    </row>
    <row r="172">
      <c r="N172" s="55"/>
    </row>
    <row r="173">
      <c r="N173" s="55"/>
    </row>
    <row r="174">
      <c r="N174" s="55"/>
    </row>
    <row r="175">
      <c r="N175" s="55"/>
    </row>
    <row r="176">
      <c r="N176" s="55"/>
    </row>
    <row r="177">
      <c r="N177" s="55"/>
    </row>
    <row r="178">
      <c r="N178" s="55"/>
    </row>
    <row r="179">
      <c r="N179" s="55"/>
    </row>
    <row r="180">
      <c r="N180" s="55"/>
    </row>
    <row r="181">
      <c r="N181" s="55"/>
    </row>
    <row r="182">
      <c r="N182" s="55"/>
    </row>
    <row r="183">
      <c r="N183" s="55"/>
    </row>
    <row r="184">
      <c r="N184" s="55"/>
    </row>
    <row r="185">
      <c r="N185" s="55"/>
    </row>
    <row r="186">
      <c r="N186" s="55"/>
    </row>
    <row r="187">
      <c r="N187" s="55"/>
    </row>
    <row r="188">
      <c r="N188" s="55"/>
    </row>
    <row r="189">
      <c r="N189" s="55"/>
    </row>
    <row r="190">
      <c r="N190" s="55"/>
    </row>
    <row r="191">
      <c r="N191" s="55"/>
    </row>
    <row r="192">
      <c r="N192" s="55"/>
    </row>
    <row r="193">
      <c r="N193" s="55"/>
    </row>
    <row r="194">
      <c r="N194" s="55"/>
    </row>
    <row r="195">
      <c r="N195" s="55"/>
    </row>
    <row r="196">
      <c r="N196" s="55"/>
    </row>
    <row r="197">
      <c r="N197" s="55"/>
    </row>
    <row r="198">
      <c r="N198" s="55"/>
    </row>
    <row r="199">
      <c r="N199" s="55"/>
    </row>
    <row r="200">
      <c r="N200" s="55"/>
    </row>
    <row r="201">
      <c r="N201" s="55"/>
    </row>
    <row r="202">
      <c r="N202" s="55"/>
    </row>
    <row r="203">
      <c r="N203" s="55"/>
    </row>
    <row r="204">
      <c r="N204" s="55"/>
    </row>
    <row r="205">
      <c r="N205" s="55"/>
    </row>
    <row r="206">
      <c r="N206" s="55"/>
    </row>
    <row r="207">
      <c r="N207" s="55"/>
    </row>
    <row r="208">
      <c r="N208" s="55"/>
    </row>
    <row r="209">
      <c r="N209" s="55"/>
    </row>
    <row r="210">
      <c r="N210" s="55"/>
    </row>
    <row r="211">
      <c r="N211" s="55"/>
    </row>
    <row r="212">
      <c r="N212" s="55"/>
    </row>
    <row r="213">
      <c r="N213" s="55"/>
    </row>
    <row r="214">
      <c r="N214" s="55"/>
    </row>
    <row r="215">
      <c r="N215" s="55"/>
    </row>
    <row r="216">
      <c r="N216" s="55"/>
    </row>
    <row r="217">
      <c r="N217" s="55"/>
    </row>
    <row r="218">
      <c r="N218" s="55"/>
    </row>
    <row r="219">
      <c r="N219" s="55"/>
    </row>
    <row r="220">
      <c r="N220" s="55"/>
    </row>
    <row r="221">
      <c r="N221" s="55"/>
    </row>
    <row r="222">
      <c r="N222" s="55"/>
    </row>
    <row r="223">
      <c r="N223" s="55"/>
    </row>
    <row r="224">
      <c r="N224" s="55"/>
    </row>
    <row r="225">
      <c r="N225" s="55"/>
    </row>
    <row r="226">
      <c r="N226" s="55"/>
    </row>
    <row r="227">
      <c r="N227" s="55"/>
    </row>
    <row r="228">
      <c r="N228" s="55"/>
    </row>
    <row r="229">
      <c r="N229" s="55"/>
    </row>
    <row r="230">
      <c r="N230" s="55"/>
    </row>
    <row r="231">
      <c r="N231" s="55"/>
    </row>
    <row r="232">
      <c r="N232" s="55"/>
    </row>
    <row r="233">
      <c r="N233" s="55"/>
    </row>
    <row r="234">
      <c r="N234" s="55"/>
    </row>
    <row r="235">
      <c r="N235" s="55"/>
    </row>
    <row r="236">
      <c r="N236" s="55"/>
    </row>
    <row r="237">
      <c r="N237" s="55"/>
    </row>
    <row r="238">
      <c r="N238" s="55"/>
    </row>
    <row r="239">
      <c r="N239" s="55"/>
    </row>
    <row r="240">
      <c r="N240" s="55"/>
    </row>
    <row r="241">
      <c r="N241" s="55"/>
    </row>
    <row r="242">
      <c r="N242" s="55"/>
    </row>
    <row r="243">
      <c r="N243" s="55"/>
    </row>
    <row r="244">
      <c r="N244" s="55"/>
    </row>
    <row r="245">
      <c r="N245" s="55"/>
    </row>
    <row r="246">
      <c r="N246" s="55"/>
    </row>
    <row r="247">
      <c r="N247" s="55"/>
    </row>
    <row r="248">
      <c r="N248" s="55"/>
    </row>
    <row r="249">
      <c r="N249" s="55"/>
    </row>
    <row r="250">
      <c r="N250" s="55"/>
    </row>
    <row r="251">
      <c r="N251" s="55"/>
    </row>
    <row r="252">
      <c r="N252" s="55"/>
    </row>
    <row r="253">
      <c r="N253" s="55"/>
    </row>
    <row r="254">
      <c r="N254" s="55"/>
    </row>
    <row r="255">
      <c r="N255" s="55"/>
    </row>
    <row r="256">
      <c r="N256" s="55"/>
    </row>
    <row r="257">
      <c r="N257" s="55"/>
    </row>
    <row r="258">
      <c r="N258" s="55"/>
    </row>
    <row r="259">
      <c r="N259" s="55"/>
    </row>
    <row r="260">
      <c r="N260" s="55"/>
    </row>
    <row r="261">
      <c r="N261" s="55"/>
    </row>
    <row r="262">
      <c r="N262" s="55"/>
    </row>
    <row r="263">
      <c r="N263" s="55"/>
    </row>
    <row r="264">
      <c r="N264" s="55"/>
    </row>
    <row r="265">
      <c r="N265" s="55"/>
    </row>
    <row r="266">
      <c r="N266" s="55"/>
    </row>
    <row r="267">
      <c r="N267" s="55"/>
    </row>
    <row r="268">
      <c r="N268" s="55"/>
    </row>
    <row r="269">
      <c r="N269" s="55"/>
    </row>
    <row r="270">
      <c r="N270" s="55"/>
    </row>
    <row r="271">
      <c r="N271" s="55"/>
    </row>
    <row r="272">
      <c r="N272" s="55"/>
    </row>
    <row r="273">
      <c r="N273" s="55"/>
    </row>
    <row r="274">
      <c r="N274" s="55"/>
    </row>
    <row r="275">
      <c r="N275" s="55"/>
    </row>
    <row r="276">
      <c r="N276" s="55"/>
    </row>
    <row r="277">
      <c r="N277" s="55"/>
    </row>
    <row r="278">
      <c r="N278" s="55"/>
    </row>
    <row r="279">
      <c r="N279" s="55"/>
    </row>
    <row r="280">
      <c r="N280" s="55"/>
    </row>
    <row r="281">
      <c r="N281" s="55"/>
    </row>
    <row r="282">
      <c r="N282" s="55"/>
    </row>
    <row r="283">
      <c r="N283" s="55"/>
    </row>
    <row r="284">
      <c r="N284" s="55"/>
    </row>
    <row r="285">
      <c r="N285" s="55"/>
    </row>
    <row r="286">
      <c r="N286" s="55"/>
    </row>
    <row r="287">
      <c r="N287" s="55"/>
    </row>
    <row r="288">
      <c r="N288" s="55"/>
    </row>
    <row r="289">
      <c r="N289" s="55"/>
    </row>
    <row r="290">
      <c r="N290" s="55"/>
    </row>
    <row r="291">
      <c r="N291" s="55"/>
    </row>
    <row r="292">
      <c r="N292" s="55"/>
    </row>
    <row r="293">
      <c r="N293" s="55"/>
    </row>
    <row r="294">
      <c r="N294" s="55"/>
    </row>
    <row r="295">
      <c r="N295" s="55"/>
    </row>
    <row r="296">
      <c r="N296" s="55"/>
    </row>
    <row r="297">
      <c r="N297" s="55"/>
    </row>
    <row r="298">
      <c r="N298" s="55"/>
    </row>
    <row r="299">
      <c r="N299" s="55"/>
    </row>
    <row r="300">
      <c r="N300" s="55"/>
    </row>
    <row r="301">
      <c r="N301" s="55"/>
    </row>
    <row r="302">
      <c r="N302" s="55"/>
    </row>
    <row r="303">
      <c r="N303" s="55"/>
    </row>
    <row r="304">
      <c r="N304" s="55"/>
    </row>
    <row r="305">
      <c r="N305" s="55"/>
    </row>
    <row r="306">
      <c r="N306" s="55"/>
    </row>
    <row r="307">
      <c r="N307" s="55"/>
    </row>
    <row r="308">
      <c r="N308" s="55"/>
    </row>
    <row r="309">
      <c r="N309" s="55"/>
    </row>
    <row r="310">
      <c r="N310" s="55"/>
    </row>
    <row r="311">
      <c r="N311" s="55"/>
    </row>
    <row r="312">
      <c r="N312" s="55"/>
    </row>
    <row r="313">
      <c r="N313" s="55"/>
    </row>
    <row r="314">
      <c r="N314" s="55"/>
    </row>
    <row r="315">
      <c r="N315" s="55"/>
    </row>
    <row r="316">
      <c r="N316" s="55"/>
    </row>
    <row r="317">
      <c r="N317" s="55"/>
    </row>
    <row r="318">
      <c r="N318" s="55"/>
    </row>
    <row r="319">
      <c r="N319" s="55"/>
    </row>
    <row r="320">
      <c r="N320" s="55"/>
    </row>
    <row r="321">
      <c r="N321" s="55"/>
    </row>
    <row r="322">
      <c r="N322" s="55"/>
    </row>
    <row r="323">
      <c r="N323" s="55"/>
    </row>
    <row r="324">
      <c r="N324" s="55"/>
    </row>
    <row r="325">
      <c r="N325" s="55"/>
    </row>
    <row r="326">
      <c r="N326" s="55"/>
    </row>
    <row r="327">
      <c r="N327" s="55"/>
    </row>
    <row r="328">
      <c r="N328" s="55"/>
    </row>
    <row r="329">
      <c r="N329" s="55"/>
    </row>
    <row r="330">
      <c r="N330" s="55"/>
    </row>
    <row r="331">
      <c r="N331" s="55"/>
    </row>
    <row r="332">
      <c r="N332" s="55"/>
    </row>
    <row r="333">
      <c r="N333" s="55"/>
    </row>
    <row r="334">
      <c r="N334" s="55"/>
    </row>
    <row r="335">
      <c r="N335" s="55"/>
    </row>
    <row r="336">
      <c r="N336" s="55"/>
    </row>
    <row r="337">
      <c r="N337" s="55"/>
    </row>
    <row r="338">
      <c r="N338" s="55"/>
    </row>
    <row r="339">
      <c r="N339" s="55"/>
    </row>
    <row r="340">
      <c r="N340" s="55"/>
    </row>
    <row r="341">
      <c r="N341" s="55"/>
    </row>
    <row r="342">
      <c r="N342" s="55"/>
    </row>
    <row r="343">
      <c r="N343" s="55"/>
    </row>
    <row r="344">
      <c r="N344" s="55"/>
    </row>
    <row r="345">
      <c r="N345" s="55"/>
    </row>
    <row r="346">
      <c r="N346" s="55"/>
    </row>
    <row r="347">
      <c r="N347" s="55"/>
    </row>
    <row r="348">
      <c r="N348" s="55"/>
    </row>
    <row r="349">
      <c r="N349" s="55"/>
    </row>
    <row r="350">
      <c r="N350" s="55"/>
    </row>
    <row r="351">
      <c r="N351" s="55"/>
    </row>
    <row r="352">
      <c r="N352" s="55"/>
    </row>
    <row r="353">
      <c r="N353" s="55"/>
    </row>
    <row r="354">
      <c r="N354" s="55"/>
    </row>
    <row r="355">
      <c r="N355" s="55"/>
    </row>
    <row r="356">
      <c r="N356" s="55"/>
    </row>
    <row r="357">
      <c r="N357" s="55"/>
    </row>
    <row r="358">
      <c r="N358" s="55"/>
    </row>
    <row r="359">
      <c r="N359" s="55"/>
    </row>
    <row r="360">
      <c r="N360" s="55"/>
    </row>
    <row r="361">
      <c r="N361" s="55"/>
    </row>
    <row r="362">
      <c r="N362" s="55"/>
    </row>
    <row r="363">
      <c r="N363" s="55"/>
    </row>
    <row r="364">
      <c r="N364" s="55"/>
    </row>
    <row r="365">
      <c r="N365" s="55"/>
    </row>
    <row r="366">
      <c r="N366" s="55"/>
    </row>
    <row r="367">
      <c r="N367" s="55"/>
    </row>
    <row r="368">
      <c r="N368" s="55"/>
    </row>
    <row r="369">
      <c r="N369" s="55"/>
    </row>
    <row r="370">
      <c r="N370" s="55"/>
    </row>
    <row r="371">
      <c r="N371" s="55"/>
    </row>
    <row r="372">
      <c r="N372" s="55"/>
    </row>
    <row r="373">
      <c r="N373" s="55"/>
    </row>
    <row r="374">
      <c r="N374" s="55"/>
    </row>
    <row r="375">
      <c r="N375" s="55"/>
    </row>
    <row r="376">
      <c r="N376" s="55"/>
    </row>
    <row r="377">
      <c r="N377" s="55"/>
    </row>
    <row r="378">
      <c r="N378" s="55"/>
    </row>
    <row r="379">
      <c r="N379" s="55"/>
    </row>
    <row r="380">
      <c r="N380" s="55"/>
    </row>
    <row r="381">
      <c r="N381" s="55"/>
    </row>
    <row r="382">
      <c r="N382" s="55"/>
    </row>
    <row r="383">
      <c r="N383" s="55"/>
    </row>
    <row r="384">
      <c r="N384" s="55"/>
    </row>
    <row r="385">
      <c r="N385" s="55"/>
    </row>
    <row r="386">
      <c r="N386" s="55"/>
    </row>
    <row r="387">
      <c r="N387" s="55"/>
    </row>
    <row r="388">
      <c r="N388" s="55"/>
    </row>
    <row r="389">
      <c r="N389" s="55"/>
    </row>
    <row r="390">
      <c r="N390" s="55"/>
    </row>
    <row r="391">
      <c r="N391" s="55"/>
    </row>
    <row r="392">
      <c r="N392" s="55"/>
    </row>
    <row r="393">
      <c r="N393" s="55"/>
    </row>
    <row r="394">
      <c r="N394" s="55"/>
    </row>
    <row r="395">
      <c r="N395" s="55"/>
    </row>
    <row r="396">
      <c r="N396" s="55"/>
    </row>
    <row r="397">
      <c r="N397" s="55"/>
    </row>
    <row r="398">
      <c r="N398" s="55"/>
    </row>
    <row r="399">
      <c r="N399" s="55"/>
    </row>
    <row r="400">
      <c r="N400" s="55"/>
    </row>
    <row r="401">
      <c r="N401" s="55"/>
    </row>
    <row r="402">
      <c r="N402" s="55"/>
    </row>
    <row r="403">
      <c r="N403" s="55"/>
    </row>
    <row r="404">
      <c r="N404" s="55"/>
    </row>
    <row r="405">
      <c r="N405" s="55"/>
    </row>
    <row r="406">
      <c r="N406" s="55"/>
    </row>
    <row r="407">
      <c r="N407" s="55"/>
    </row>
    <row r="408">
      <c r="N408" s="55"/>
    </row>
    <row r="409">
      <c r="N409" s="55"/>
    </row>
    <row r="410">
      <c r="N410" s="55"/>
    </row>
    <row r="411">
      <c r="N411" s="55"/>
    </row>
    <row r="412">
      <c r="N412" s="55"/>
    </row>
    <row r="413">
      <c r="N413" s="55"/>
    </row>
    <row r="414">
      <c r="N414" s="55"/>
    </row>
    <row r="415">
      <c r="N415" s="55"/>
    </row>
    <row r="416">
      <c r="N416" s="55"/>
    </row>
    <row r="417">
      <c r="N417" s="55"/>
    </row>
    <row r="418">
      <c r="N418" s="55"/>
    </row>
    <row r="419">
      <c r="N419" s="55"/>
    </row>
    <row r="420">
      <c r="N420" s="55"/>
    </row>
    <row r="421">
      <c r="N421" s="55"/>
    </row>
    <row r="422">
      <c r="N422" s="55"/>
    </row>
    <row r="423">
      <c r="N423" s="55"/>
    </row>
    <row r="424">
      <c r="N424" s="55"/>
    </row>
    <row r="425">
      <c r="N425" s="55"/>
    </row>
    <row r="426">
      <c r="N426" s="55"/>
    </row>
    <row r="427">
      <c r="N427" s="55"/>
    </row>
    <row r="428">
      <c r="N428" s="55"/>
    </row>
    <row r="429">
      <c r="N429" s="55"/>
    </row>
    <row r="430">
      <c r="N430" s="55"/>
    </row>
    <row r="431">
      <c r="N431" s="55"/>
    </row>
    <row r="432">
      <c r="N432" s="55"/>
    </row>
    <row r="433">
      <c r="N433" s="55"/>
    </row>
    <row r="434">
      <c r="N434" s="55"/>
    </row>
    <row r="435">
      <c r="N435" s="55"/>
    </row>
    <row r="436">
      <c r="N436" s="55"/>
    </row>
    <row r="437">
      <c r="N437" s="55"/>
    </row>
    <row r="438">
      <c r="N438" s="55"/>
    </row>
    <row r="439">
      <c r="N439" s="55"/>
    </row>
    <row r="440">
      <c r="N440" s="55"/>
    </row>
    <row r="441">
      <c r="N441" s="55"/>
    </row>
    <row r="442">
      <c r="N442" s="55"/>
    </row>
    <row r="443">
      <c r="N443" s="55"/>
    </row>
    <row r="444">
      <c r="N444" s="55"/>
    </row>
    <row r="445">
      <c r="N445" s="55"/>
    </row>
    <row r="446">
      <c r="N446" s="55"/>
    </row>
    <row r="447">
      <c r="N447" s="55"/>
    </row>
    <row r="448">
      <c r="N448" s="55"/>
    </row>
    <row r="449">
      <c r="N449" s="55"/>
    </row>
    <row r="450">
      <c r="N450" s="55"/>
    </row>
    <row r="451">
      <c r="N451" s="55"/>
    </row>
    <row r="452">
      <c r="N452" s="55"/>
    </row>
    <row r="453">
      <c r="N453" s="55"/>
    </row>
    <row r="454">
      <c r="N454" s="55"/>
    </row>
    <row r="455">
      <c r="N455" s="55"/>
    </row>
    <row r="456">
      <c r="N456" s="55"/>
    </row>
    <row r="457">
      <c r="N457" s="55"/>
    </row>
    <row r="458">
      <c r="N458" s="55"/>
    </row>
    <row r="459">
      <c r="N459" s="55"/>
    </row>
    <row r="460">
      <c r="N460" s="55"/>
    </row>
    <row r="461">
      <c r="N461" s="55"/>
    </row>
    <row r="462">
      <c r="N462" s="55"/>
    </row>
    <row r="463">
      <c r="N463" s="55"/>
    </row>
    <row r="464">
      <c r="N464" s="55"/>
    </row>
    <row r="465">
      <c r="N465" s="55"/>
    </row>
    <row r="466">
      <c r="N466" s="55"/>
    </row>
    <row r="467">
      <c r="N467" s="55"/>
    </row>
    <row r="468">
      <c r="N468" s="55"/>
    </row>
    <row r="469">
      <c r="N469" s="55"/>
    </row>
    <row r="470">
      <c r="N470" s="55"/>
    </row>
    <row r="471">
      <c r="N471" s="55"/>
    </row>
    <row r="472">
      <c r="N472" s="55"/>
    </row>
    <row r="473">
      <c r="N473" s="55"/>
    </row>
    <row r="474">
      <c r="N474" s="55"/>
    </row>
    <row r="475">
      <c r="N475" s="55"/>
    </row>
    <row r="476">
      <c r="N476" s="55"/>
    </row>
    <row r="477">
      <c r="N477" s="55"/>
    </row>
    <row r="478">
      <c r="N478" s="55"/>
    </row>
    <row r="479">
      <c r="N479" s="55"/>
    </row>
    <row r="480">
      <c r="N480" s="55"/>
    </row>
    <row r="481">
      <c r="N481" s="55"/>
    </row>
    <row r="482">
      <c r="N482" s="55"/>
    </row>
    <row r="483">
      <c r="N483" s="55"/>
    </row>
    <row r="484">
      <c r="N484" s="55"/>
    </row>
    <row r="485">
      <c r="N485" s="55"/>
    </row>
    <row r="486">
      <c r="N486" s="55"/>
    </row>
    <row r="487">
      <c r="N487" s="55"/>
    </row>
    <row r="488">
      <c r="N488" s="55"/>
    </row>
    <row r="489">
      <c r="N489" s="55"/>
    </row>
    <row r="490">
      <c r="N490" s="55"/>
    </row>
    <row r="491">
      <c r="N491" s="55"/>
    </row>
    <row r="492">
      <c r="N492" s="55"/>
    </row>
    <row r="493">
      <c r="N493" s="55"/>
    </row>
    <row r="494">
      <c r="N494" s="55"/>
    </row>
    <row r="495">
      <c r="N495" s="55"/>
    </row>
    <row r="496">
      <c r="N496" s="55"/>
    </row>
    <row r="497">
      <c r="N497" s="55"/>
    </row>
    <row r="498">
      <c r="N498" s="55"/>
    </row>
    <row r="499">
      <c r="N499" s="55"/>
    </row>
    <row r="500">
      <c r="N500" s="55"/>
    </row>
    <row r="501">
      <c r="N501" s="55"/>
    </row>
    <row r="502">
      <c r="N502" s="55"/>
    </row>
    <row r="503">
      <c r="N503" s="55"/>
    </row>
    <row r="504">
      <c r="N504" s="55"/>
    </row>
    <row r="505">
      <c r="N505" s="55"/>
    </row>
    <row r="506">
      <c r="N506" s="55"/>
    </row>
    <row r="507">
      <c r="N507" s="55"/>
    </row>
    <row r="508">
      <c r="N508" s="55"/>
    </row>
    <row r="509">
      <c r="N509" s="55"/>
    </row>
    <row r="510">
      <c r="N510" s="55"/>
    </row>
    <row r="511">
      <c r="N511" s="55"/>
    </row>
    <row r="512">
      <c r="N512" s="55"/>
    </row>
    <row r="513">
      <c r="N513" s="55"/>
    </row>
    <row r="514">
      <c r="N514" s="55"/>
    </row>
    <row r="515">
      <c r="N515" s="55"/>
    </row>
    <row r="516">
      <c r="N516" s="55"/>
    </row>
    <row r="517">
      <c r="N517" s="55"/>
    </row>
    <row r="518">
      <c r="N518" s="55"/>
    </row>
    <row r="519">
      <c r="N519" s="55"/>
    </row>
    <row r="520">
      <c r="N520" s="55"/>
    </row>
    <row r="521">
      <c r="N521" s="55"/>
    </row>
    <row r="522">
      <c r="N522" s="55"/>
    </row>
    <row r="523">
      <c r="N523" s="55"/>
    </row>
    <row r="524">
      <c r="N524" s="55"/>
    </row>
    <row r="525">
      <c r="N525" s="55"/>
    </row>
    <row r="526">
      <c r="N526" s="55"/>
    </row>
    <row r="527">
      <c r="N527" s="55"/>
    </row>
    <row r="528">
      <c r="N528" s="55"/>
    </row>
    <row r="529">
      <c r="N529" s="55"/>
    </row>
    <row r="530">
      <c r="N530" s="55"/>
    </row>
    <row r="531">
      <c r="N531" s="55"/>
    </row>
    <row r="532">
      <c r="N532" s="55"/>
    </row>
    <row r="533">
      <c r="N533" s="55"/>
    </row>
    <row r="534">
      <c r="N534" s="55"/>
    </row>
    <row r="535">
      <c r="N535" s="55"/>
    </row>
    <row r="536">
      <c r="N536" s="55"/>
    </row>
    <row r="537">
      <c r="N537" s="55"/>
    </row>
    <row r="538">
      <c r="N538" s="55"/>
    </row>
    <row r="539">
      <c r="N539" s="55"/>
    </row>
    <row r="540">
      <c r="N540" s="55"/>
    </row>
    <row r="541">
      <c r="N541" s="55"/>
    </row>
    <row r="542">
      <c r="N542" s="55"/>
    </row>
    <row r="543">
      <c r="N543" s="55"/>
    </row>
    <row r="544">
      <c r="N544" s="55"/>
    </row>
    <row r="545">
      <c r="N545" s="55"/>
    </row>
    <row r="546">
      <c r="N546" s="55"/>
    </row>
    <row r="547">
      <c r="N547" s="55"/>
    </row>
    <row r="548">
      <c r="N548" s="55"/>
    </row>
    <row r="549">
      <c r="N549" s="55"/>
    </row>
    <row r="550">
      <c r="N550" s="55"/>
    </row>
    <row r="551">
      <c r="N551" s="55"/>
    </row>
    <row r="552">
      <c r="N552" s="55"/>
    </row>
    <row r="553">
      <c r="N553" s="55"/>
    </row>
    <row r="554">
      <c r="N554" s="55"/>
    </row>
    <row r="555">
      <c r="N555" s="55"/>
    </row>
    <row r="556">
      <c r="N556" s="55"/>
    </row>
    <row r="557">
      <c r="N557" s="55"/>
    </row>
    <row r="558">
      <c r="N558" s="55"/>
    </row>
    <row r="559">
      <c r="N559" s="55"/>
    </row>
    <row r="560">
      <c r="N560" s="55"/>
    </row>
    <row r="561">
      <c r="N561" s="55"/>
    </row>
    <row r="562">
      <c r="N562" s="55"/>
    </row>
    <row r="563">
      <c r="N563" s="55"/>
    </row>
    <row r="564">
      <c r="N564" s="55"/>
    </row>
    <row r="565">
      <c r="N565" s="55"/>
    </row>
    <row r="566">
      <c r="N566" s="55"/>
    </row>
    <row r="567">
      <c r="N567" s="55"/>
    </row>
    <row r="568">
      <c r="N568" s="55"/>
    </row>
    <row r="569">
      <c r="N569" s="55"/>
    </row>
    <row r="570">
      <c r="N570" s="55"/>
    </row>
    <row r="571">
      <c r="N571" s="55"/>
    </row>
    <row r="572">
      <c r="N572" s="55"/>
    </row>
    <row r="573">
      <c r="N573" s="55"/>
    </row>
    <row r="574">
      <c r="N574" s="55"/>
    </row>
    <row r="575">
      <c r="N575" s="55"/>
    </row>
    <row r="576">
      <c r="N576" s="55"/>
    </row>
    <row r="577">
      <c r="N577" s="55"/>
    </row>
    <row r="578">
      <c r="N578" s="55"/>
    </row>
    <row r="579">
      <c r="N579" s="55"/>
    </row>
    <row r="580">
      <c r="N580" s="55"/>
    </row>
    <row r="581">
      <c r="N581" s="55"/>
    </row>
    <row r="582">
      <c r="N582" s="55"/>
    </row>
    <row r="583">
      <c r="N583" s="55"/>
    </row>
    <row r="584">
      <c r="N584" s="55"/>
    </row>
    <row r="585">
      <c r="N585" s="55"/>
    </row>
    <row r="586">
      <c r="N586" s="55"/>
    </row>
    <row r="587">
      <c r="N587" s="55"/>
    </row>
    <row r="588">
      <c r="N588" s="55"/>
    </row>
    <row r="589">
      <c r="N589" s="55"/>
    </row>
    <row r="590">
      <c r="N590" s="55"/>
    </row>
    <row r="591">
      <c r="N591" s="55"/>
    </row>
    <row r="592">
      <c r="N592" s="55"/>
    </row>
    <row r="593">
      <c r="N593" s="55"/>
    </row>
    <row r="594">
      <c r="N594" s="55"/>
    </row>
    <row r="595">
      <c r="N595" s="55"/>
    </row>
    <row r="596">
      <c r="N596" s="55"/>
    </row>
    <row r="597">
      <c r="N597" s="55"/>
    </row>
    <row r="598">
      <c r="N598" s="55"/>
    </row>
    <row r="599">
      <c r="N599" s="55"/>
    </row>
    <row r="600">
      <c r="N600" s="55"/>
    </row>
    <row r="601">
      <c r="N601" s="55"/>
    </row>
    <row r="602">
      <c r="N602" s="55"/>
    </row>
    <row r="603">
      <c r="N603" s="55"/>
    </row>
    <row r="604">
      <c r="N604" s="55"/>
    </row>
    <row r="605">
      <c r="N605" s="55"/>
    </row>
    <row r="606">
      <c r="N606" s="55"/>
    </row>
    <row r="607">
      <c r="N607" s="55"/>
    </row>
    <row r="608">
      <c r="N608" s="55"/>
    </row>
    <row r="609">
      <c r="N609" s="55"/>
    </row>
    <row r="610">
      <c r="N610" s="55"/>
    </row>
    <row r="611">
      <c r="N611" s="55"/>
    </row>
    <row r="612">
      <c r="N612" s="55"/>
    </row>
    <row r="613">
      <c r="N613" s="55"/>
    </row>
    <row r="614">
      <c r="N614" s="55"/>
    </row>
    <row r="615">
      <c r="N615" s="55"/>
    </row>
    <row r="616">
      <c r="N616" s="55"/>
    </row>
    <row r="617">
      <c r="N617" s="55"/>
    </row>
    <row r="618">
      <c r="N618" s="55"/>
    </row>
    <row r="619">
      <c r="N619" s="55"/>
    </row>
    <row r="620">
      <c r="N620" s="55"/>
    </row>
    <row r="621">
      <c r="N621" s="55"/>
    </row>
    <row r="622">
      <c r="N622" s="55"/>
    </row>
    <row r="623">
      <c r="N623" s="55"/>
    </row>
    <row r="624">
      <c r="N624" s="55"/>
    </row>
    <row r="625">
      <c r="N625" s="55"/>
    </row>
    <row r="626">
      <c r="N626" s="55"/>
    </row>
    <row r="627">
      <c r="N627" s="55"/>
    </row>
    <row r="628">
      <c r="N628" s="55"/>
    </row>
    <row r="629">
      <c r="N629" s="55"/>
    </row>
    <row r="630">
      <c r="N630" s="55"/>
    </row>
    <row r="631">
      <c r="N631" s="55"/>
    </row>
    <row r="632">
      <c r="N632" s="55"/>
    </row>
    <row r="633">
      <c r="N633" s="55"/>
    </row>
    <row r="634">
      <c r="N634" s="55"/>
    </row>
    <row r="635">
      <c r="N635" s="55"/>
    </row>
    <row r="636">
      <c r="N636" s="55"/>
    </row>
    <row r="637">
      <c r="N637" s="55"/>
    </row>
    <row r="638">
      <c r="N638" s="55"/>
    </row>
    <row r="639">
      <c r="N639" s="55"/>
    </row>
    <row r="640">
      <c r="N640" s="55"/>
    </row>
    <row r="641">
      <c r="N641" s="55"/>
    </row>
    <row r="642">
      <c r="N642" s="55"/>
    </row>
    <row r="643">
      <c r="N643" s="55"/>
    </row>
    <row r="644">
      <c r="N644" s="55"/>
    </row>
    <row r="645">
      <c r="N645" s="55"/>
    </row>
    <row r="646">
      <c r="N646" s="55"/>
    </row>
    <row r="647">
      <c r="N647" s="55"/>
    </row>
    <row r="648">
      <c r="N648" s="55"/>
    </row>
    <row r="649">
      <c r="N649" s="55"/>
    </row>
    <row r="650">
      <c r="N650" s="55"/>
    </row>
    <row r="651">
      <c r="N651" s="55"/>
    </row>
    <row r="652">
      <c r="N652" s="55"/>
    </row>
    <row r="653">
      <c r="N653" s="55"/>
    </row>
    <row r="654">
      <c r="N654" s="55"/>
    </row>
    <row r="655">
      <c r="N655" s="55"/>
    </row>
    <row r="656">
      <c r="N656" s="55"/>
    </row>
    <row r="657">
      <c r="N657" s="55"/>
    </row>
    <row r="658">
      <c r="N658" s="55"/>
    </row>
    <row r="659">
      <c r="N659" s="55"/>
    </row>
    <row r="660">
      <c r="N660" s="55"/>
    </row>
    <row r="661">
      <c r="N661" s="55"/>
    </row>
    <row r="662">
      <c r="N662" s="55"/>
    </row>
    <row r="663">
      <c r="N663" s="55"/>
    </row>
    <row r="664">
      <c r="N664" s="55"/>
    </row>
    <row r="665">
      <c r="N665" s="55"/>
    </row>
    <row r="666">
      <c r="N666" s="55"/>
    </row>
    <row r="667">
      <c r="N667" s="55"/>
    </row>
    <row r="668">
      <c r="N668" s="55"/>
    </row>
    <row r="669">
      <c r="N669" s="55"/>
    </row>
    <row r="670">
      <c r="N670" s="55"/>
    </row>
    <row r="671">
      <c r="N671" s="55"/>
    </row>
    <row r="672">
      <c r="N672" s="55"/>
    </row>
    <row r="673">
      <c r="N673" s="55"/>
    </row>
    <row r="674">
      <c r="N674" s="55"/>
    </row>
    <row r="675">
      <c r="N675" s="55"/>
    </row>
    <row r="676">
      <c r="N676" s="55"/>
    </row>
    <row r="677">
      <c r="N677" s="55"/>
    </row>
    <row r="678">
      <c r="N678" s="55"/>
    </row>
    <row r="679">
      <c r="N679" s="55"/>
    </row>
    <row r="680">
      <c r="N680" s="55"/>
    </row>
    <row r="681">
      <c r="N681" s="55"/>
    </row>
    <row r="682">
      <c r="N682" s="55"/>
    </row>
    <row r="683">
      <c r="N683" s="55"/>
    </row>
    <row r="684">
      <c r="N684" s="55"/>
    </row>
    <row r="685">
      <c r="N685" s="55"/>
    </row>
    <row r="686">
      <c r="N686" s="55"/>
    </row>
    <row r="687">
      <c r="N687" s="55"/>
    </row>
    <row r="688">
      <c r="N688" s="55"/>
    </row>
    <row r="689">
      <c r="N689" s="55"/>
    </row>
    <row r="690">
      <c r="N690" s="55"/>
    </row>
    <row r="691">
      <c r="N691" s="55"/>
    </row>
    <row r="692">
      <c r="N692" s="55"/>
    </row>
    <row r="693">
      <c r="N693" s="55"/>
    </row>
    <row r="694">
      <c r="N694" s="55"/>
    </row>
    <row r="695">
      <c r="N695" s="55"/>
    </row>
    <row r="696">
      <c r="N696" s="55"/>
    </row>
    <row r="697">
      <c r="N697" s="55"/>
    </row>
    <row r="698">
      <c r="N698" s="55"/>
    </row>
    <row r="699">
      <c r="N699" s="55"/>
    </row>
    <row r="700">
      <c r="N700" s="55"/>
    </row>
    <row r="701">
      <c r="N701" s="55"/>
    </row>
    <row r="702">
      <c r="N702" s="55"/>
    </row>
    <row r="703">
      <c r="N703" s="55"/>
    </row>
    <row r="704">
      <c r="N704" s="55"/>
    </row>
    <row r="705">
      <c r="N705" s="55"/>
    </row>
    <row r="706">
      <c r="N706" s="55"/>
    </row>
    <row r="707">
      <c r="N707" s="55"/>
    </row>
    <row r="708">
      <c r="N708" s="55"/>
    </row>
    <row r="709">
      <c r="N709" s="55"/>
    </row>
    <row r="710">
      <c r="N710" s="55"/>
    </row>
    <row r="711">
      <c r="N711" s="55"/>
    </row>
    <row r="712">
      <c r="N712" s="55"/>
    </row>
    <row r="713">
      <c r="N713" s="55"/>
    </row>
    <row r="714">
      <c r="N714" s="55"/>
    </row>
    <row r="715">
      <c r="N715" s="55"/>
    </row>
    <row r="716">
      <c r="N716" s="55"/>
    </row>
    <row r="717">
      <c r="N717" s="55"/>
    </row>
    <row r="718">
      <c r="N718" s="55"/>
    </row>
    <row r="719">
      <c r="N719" s="55"/>
    </row>
    <row r="720">
      <c r="N720" s="55"/>
    </row>
    <row r="721">
      <c r="N721" s="55"/>
    </row>
    <row r="722">
      <c r="N722" s="55"/>
    </row>
    <row r="723">
      <c r="N723" s="55"/>
    </row>
    <row r="724">
      <c r="N724" s="55"/>
    </row>
    <row r="725">
      <c r="N725" s="55"/>
    </row>
    <row r="726">
      <c r="N726" s="55"/>
    </row>
    <row r="727">
      <c r="N727" s="55"/>
    </row>
    <row r="728">
      <c r="N728" s="55"/>
    </row>
    <row r="729">
      <c r="N729" s="55"/>
    </row>
    <row r="730">
      <c r="N730" s="55"/>
    </row>
    <row r="731">
      <c r="N731" s="55"/>
    </row>
    <row r="732">
      <c r="N732" s="55"/>
    </row>
    <row r="733">
      <c r="N733" s="55"/>
    </row>
    <row r="734">
      <c r="N734" s="55"/>
    </row>
    <row r="735">
      <c r="N735" s="55"/>
    </row>
    <row r="736">
      <c r="N736" s="55"/>
    </row>
    <row r="737">
      <c r="N737" s="55"/>
    </row>
    <row r="738">
      <c r="N738" s="55"/>
    </row>
    <row r="739">
      <c r="N739" s="55"/>
    </row>
    <row r="740">
      <c r="N740" s="55"/>
    </row>
    <row r="741">
      <c r="N741" s="55"/>
    </row>
    <row r="742">
      <c r="N742" s="55"/>
    </row>
    <row r="743">
      <c r="N743" s="55"/>
    </row>
    <row r="744">
      <c r="N744" s="55"/>
    </row>
    <row r="745">
      <c r="N745" s="55"/>
    </row>
    <row r="746">
      <c r="N746" s="55"/>
    </row>
    <row r="747">
      <c r="N747" s="55"/>
    </row>
    <row r="748">
      <c r="N748" s="55"/>
    </row>
    <row r="749">
      <c r="N749" s="55"/>
    </row>
    <row r="750">
      <c r="N750" s="55"/>
    </row>
    <row r="751">
      <c r="N751" s="55"/>
    </row>
    <row r="752">
      <c r="N752" s="55"/>
    </row>
    <row r="753">
      <c r="N753" s="55"/>
    </row>
    <row r="754">
      <c r="N754" s="55"/>
    </row>
    <row r="755">
      <c r="N755" s="55"/>
    </row>
    <row r="756">
      <c r="N756" s="55"/>
    </row>
    <row r="757">
      <c r="N757" s="55"/>
    </row>
    <row r="758">
      <c r="N758" s="55"/>
    </row>
    <row r="759">
      <c r="N759" s="55"/>
    </row>
    <row r="760">
      <c r="N760" s="55"/>
    </row>
    <row r="761">
      <c r="N761" s="55"/>
    </row>
    <row r="762">
      <c r="N762" s="55"/>
    </row>
    <row r="763">
      <c r="N763" s="55"/>
    </row>
    <row r="764">
      <c r="N764" s="55"/>
    </row>
    <row r="765">
      <c r="N765" s="55"/>
    </row>
    <row r="766">
      <c r="N766" s="55"/>
    </row>
    <row r="767">
      <c r="N767" s="55"/>
    </row>
    <row r="768">
      <c r="N768" s="55"/>
    </row>
    <row r="769">
      <c r="N769" s="55"/>
    </row>
    <row r="770">
      <c r="N770" s="55"/>
    </row>
    <row r="771">
      <c r="N771" s="55"/>
    </row>
    <row r="772">
      <c r="N772" s="55"/>
    </row>
    <row r="773">
      <c r="N773" s="55"/>
    </row>
    <row r="774">
      <c r="N774" s="55"/>
    </row>
    <row r="775">
      <c r="N775" s="55"/>
    </row>
    <row r="776">
      <c r="N776" s="55"/>
    </row>
    <row r="777">
      <c r="N777" s="55"/>
    </row>
    <row r="778">
      <c r="N778" s="55"/>
    </row>
    <row r="779">
      <c r="N779" s="55"/>
    </row>
    <row r="780">
      <c r="N780" s="55"/>
    </row>
    <row r="781">
      <c r="N781" s="55"/>
    </row>
    <row r="782">
      <c r="N782" s="55"/>
    </row>
    <row r="783">
      <c r="N783" s="55"/>
    </row>
    <row r="784">
      <c r="N784" s="55"/>
    </row>
    <row r="785">
      <c r="N785" s="55"/>
    </row>
    <row r="786">
      <c r="N786" s="55"/>
    </row>
    <row r="787">
      <c r="N787" s="55"/>
    </row>
    <row r="788">
      <c r="N788" s="55"/>
    </row>
    <row r="789">
      <c r="N789" s="55"/>
    </row>
    <row r="790">
      <c r="N790" s="55"/>
    </row>
    <row r="791">
      <c r="N791" s="55"/>
    </row>
    <row r="792">
      <c r="N792" s="55"/>
    </row>
    <row r="793">
      <c r="N793" s="55"/>
    </row>
    <row r="794">
      <c r="N794" s="55"/>
    </row>
    <row r="795">
      <c r="N795" s="55"/>
    </row>
    <row r="796">
      <c r="N796" s="55"/>
    </row>
    <row r="797">
      <c r="N797" s="55"/>
    </row>
    <row r="798">
      <c r="N798" s="55"/>
    </row>
    <row r="799">
      <c r="N799" s="55"/>
    </row>
    <row r="800">
      <c r="N800" s="55"/>
    </row>
    <row r="801">
      <c r="N801" s="55"/>
    </row>
    <row r="802">
      <c r="N802" s="55"/>
    </row>
    <row r="803">
      <c r="N803" s="55"/>
    </row>
    <row r="804">
      <c r="N804" s="55"/>
    </row>
    <row r="805">
      <c r="N805" s="55"/>
    </row>
    <row r="806">
      <c r="N806" s="55"/>
    </row>
    <row r="807">
      <c r="N807" s="55"/>
    </row>
    <row r="808">
      <c r="N808" s="55"/>
    </row>
    <row r="809">
      <c r="N809" s="55"/>
    </row>
    <row r="810">
      <c r="N810" s="55"/>
    </row>
    <row r="811">
      <c r="N811" s="55"/>
    </row>
    <row r="812">
      <c r="N812" s="55"/>
    </row>
    <row r="813">
      <c r="N813" s="55"/>
    </row>
    <row r="814">
      <c r="N814" s="55"/>
    </row>
    <row r="815">
      <c r="N815" s="55"/>
    </row>
    <row r="816">
      <c r="N816" s="55"/>
    </row>
    <row r="817">
      <c r="N817" s="55"/>
    </row>
    <row r="818">
      <c r="N818" s="55"/>
    </row>
    <row r="819">
      <c r="N819" s="55"/>
    </row>
    <row r="820">
      <c r="N820" s="55"/>
    </row>
    <row r="821">
      <c r="N821" s="55"/>
    </row>
    <row r="822">
      <c r="N822" s="55"/>
    </row>
    <row r="823">
      <c r="N823" s="55"/>
    </row>
    <row r="824">
      <c r="N824" s="55"/>
    </row>
    <row r="825">
      <c r="N825" s="55"/>
    </row>
    <row r="826">
      <c r="N826" s="55"/>
    </row>
    <row r="827">
      <c r="N827" s="55"/>
    </row>
    <row r="828">
      <c r="N828" s="55"/>
    </row>
    <row r="829">
      <c r="N829" s="55"/>
    </row>
    <row r="830">
      <c r="N830" s="55"/>
    </row>
    <row r="831">
      <c r="N831" s="55"/>
    </row>
    <row r="832">
      <c r="N832" s="55"/>
    </row>
    <row r="833">
      <c r="N833" s="55"/>
    </row>
    <row r="834">
      <c r="N834" s="55"/>
    </row>
    <row r="835">
      <c r="N835" s="55"/>
    </row>
    <row r="836">
      <c r="N836" s="55"/>
    </row>
    <row r="837">
      <c r="N837" s="55"/>
    </row>
    <row r="838">
      <c r="N838" s="55"/>
    </row>
    <row r="839">
      <c r="N839" s="55"/>
    </row>
    <row r="840">
      <c r="N840" s="55"/>
    </row>
    <row r="841">
      <c r="N841" s="55"/>
    </row>
    <row r="842">
      <c r="N842" s="55"/>
    </row>
    <row r="843">
      <c r="N843" s="55"/>
    </row>
    <row r="844">
      <c r="N844" s="55"/>
    </row>
    <row r="845">
      <c r="N845" s="55"/>
    </row>
    <row r="846">
      <c r="N846" s="55"/>
    </row>
    <row r="847">
      <c r="N847" s="55"/>
    </row>
    <row r="848">
      <c r="N848" s="55"/>
    </row>
    <row r="849">
      <c r="N849" s="55"/>
    </row>
    <row r="850">
      <c r="N850" s="55"/>
    </row>
    <row r="851">
      <c r="N851" s="55"/>
    </row>
    <row r="852">
      <c r="N852" s="55"/>
    </row>
    <row r="853">
      <c r="N853" s="55"/>
    </row>
    <row r="854">
      <c r="N854" s="55"/>
    </row>
    <row r="855">
      <c r="N855" s="55"/>
    </row>
    <row r="856">
      <c r="N856" s="55"/>
    </row>
    <row r="857">
      <c r="N857" s="55"/>
    </row>
    <row r="858">
      <c r="N858" s="55"/>
    </row>
    <row r="859">
      <c r="N859" s="55"/>
    </row>
    <row r="860">
      <c r="N860" s="55"/>
    </row>
    <row r="861">
      <c r="N861" s="55"/>
    </row>
    <row r="862">
      <c r="N862" s="55"/>
    </row>
    <row r="863">
      <c r="N863" s="55"/>
    </row>
    <row r="864">
      <c r="N864" s="55"/>
    </row>
    <row r="865">
      <c r="N865" s="55"/>
    </row>
    <row r="866">
      <c r="N866" s="55"/>
    </row>
    <row r="867">
      <c r="N867" s="55"/>
    </row>
    <row r="868">
      <c r="N868" s="55"/>
    </row>
    <row r="869">
      <c r="N869" s="55"/>
    </row>
    <row r="870">
      <c r="N870" s="55"/>
    </row>
    <row r="871">
      <c r="N871" s="55"/>
    </row>
    <row r="872">
      <c r="N872" s="55"/>
    </row>
    <row r="873">
      <c r="N873" s="55"/>
    </row>
    <row r="874">
      <c r="N874" s="55"/>
    </row>
    <row r="875">
      <c r="N875" s="55"/>
    </row>
    <row r="876">
      <c r="N876" s="55"/>
    </row>
    <row r="877">
      <c r="N877" s="55"/>
    </row>
    <row r="878">
      <c r="N878" s="55"/>
    </row>
    <row r="879">
      <c r="N879" s="55"/>
    </row>
    <row r="880">
      <c r="N880" s="55"/>
    </row>
    <row r="881">
      <c r="N881" s="55"/>
    </row>
    <row r="882">
      <c r="N882" s="55"/>
    </row>
    <row r="883">
      <c r="N883" s="55"/>
    </row>
    <row r="884">
      <c r="N884" s="55"/>
    </row>
    <row r="885">
      <c r="N885" s="55"/>
    </row>
    <row r="886">
      <c r="N886" s="55"/>
    </row>
    <row r="887">
      <c r="N887" s="55"/>
    </row>
    <row r="888">
      <c r="N888" s="55"/>
    </row>
    <row r="889">
      <c r="N889" s="55"/>
    </row>
    <row r="890">
      <c r="N890" s="55"/>
    </row>
    <row r="891">
      <c r="N891" s="55"/>
    </row>
    <row r="892">
      <c r="N892" s="55"/>
    </row>
    <row r="893">
      <c r="N893" s="55"/>
    </row>
    <row r="894">
      <c r="N894" s="55"/>
    </row>
    <row r="895">
      <c r="N895" s="55"/>
    </row>
    <row r="896">
      <c r="N896" s="55"/>
    </row>
    <row r="897">
      <c r="N897" s="55"/>
    </row>
    <row r="898">
      <c r="N898" s="55"/>
    </row>
    <row r="899">
      <c r="N899" s="55"/>
    </row>
    <row r="900">
      <c r="N900" s="55"/>
    </row>
    <row r="901">
      <c r="N901" s="55"/>
    </row>
    <row r="902">
      <c r="N902" s="55"/>
    </row>
    <row r="903">
      <c r="N903" s="55"/>
    </row>
    <row r="904">
      <c r="N904" s="55"/>
    </row>
    <row r="905">
      <c r="N905" s="55"/>
    </row>
    <row r="906">
      <c r="N906" s="55"/>
    </row>
    <row r="907">
      <c r="N907" s="55"/>
    </row>
    <row r="908">
      <c r="N908" s="55"/>
    </row>
    <row r="909">
      <c r="N909" s="55"/>
    </row>
    <row r="910">
      <c r="N910" s="55"/>
    </row>
    <row r="911">
      <c r="N911" s="55"/>
    </row>
    <row r="912">
      <c r="N912" s="55"/>
    </row>
    <row r="913">
      <c r="N913" s="55"/>
    </row>
    <row r="914">
      <c r="N914" s="55"/>
    </row>
    <row r="915">
      <c r="N915" s="55"/>
    </row>
    <row r="916">
      <c r="N916" s="55"/>
    </row>
    <row r="917">
      <c r="N917" s="55"/>
    </row>
    <row r="918">
      <c r="N918" s="55"/>
    </row>
    <row r="919">
      <c r="N919" s="55"/>
    </row>
    <row r="920">
      <c r="N920" s="55"/>
    </row>
    <row r="921">
      <c r="N921" s="55"/>
    </row>
    <row r="922">
      <c r="N922" s="55"/>
    </row>
    <row r="923">
      <c r="N923" s="55"/>
    </row>
    <row r="924">
      <c r="N924" s="55"/>
    </row>
    <row r="925">
      <c r="N925" s="55"/>
    </row>
    <row r="926">
      <c r="N926" s="55"/>
    </row>
    <row r="927">
      <c r="N927" s="55"/>
    </row>
    <row r="928">
      <c r="N928" s="55"/>
    </row>
    <row r="929">
      <c r="N929" s="55"/>
    </row>
    <row r="930">
      <c r="N930" s="55"/>
    </row>
    <row r="931">
      <c r="N931" s="55"/>
    </row>
    <row r="932">
      <c r="N932" s="55"/>
    </row>
    <row r="933">
      <c r="N933" s="55"/>
    </row>
    <row r="934">
      <c r="N934" s="55"/>
    </row>
    <row r="935">
      <c r="N935" s="55"/>
    </row>
    <row r="936">
      <c r="N936" s="55"/>
    </row>
    <row r="937">
      <c r="N937" s="55"/>
    </row>
    <row r="938">
      <c r="N938" s="55"/>
    </row>
    <row r="939">
      <c r="N939" s="55"/>
    </row>
    <row r="940">
      <c r="N940" s="55"/>
    </row>
    <row r="941">
      <c r="N941" s="55"/>
    </row>
    <row r="942">
      <c r="N942" s="55"/>
    </row>
    <row r="943">
      <c r="N943" s="55"/>
    </row>
    <row r="944">
      <c r="N944" s="55"/>
    </row>
    <row r="945">
      <c r="N945" s="55"/>
    </row>
    <row r="946">
      <c r="N946" s="55"/>
    </row>
    <row r="947">
      <c r="N947" s="55"/>
    </row>
    <row r="948">
      <c r="N948" s="55"/>
    </row>
    <row r="949">
      <c r="N949" s="55"/>
    </row>
    <row r="950">
      <c r="N950" s="55"/>
    </row>
    <row r="951">
      <c r="N951" s="55"/>
    </row>
    <row r="952">
      <c r="N952" s="55"/>
    </row>
    <row r="953">
      <c r="N953" s="55"/>
    </row>
    <row r="954">
      <c r="N954" s="55"/>
    </row>
    <row r="955">
      <c r="N955" s="55"/>
    </row>
    <row r="956">
      <c r="N956" s="55"/>
    </row>
    <row r="957">
      <c r="N957" s="55"/>
    </row>
    <row r="958">
      <c r="N958" s="55"/>
    </row>
    <row r="959">
      <c r="N959" s="55"/>
    </row>
    <row r="960">
      <c r="N960" s="55"/>
    </row>
    <row r="961">
      <c r="N961" s="55"/>
    </row>
    <row r="962">
      <c r="N962" s="55"/>
    </row>
    <row r="963">
      <c r="N963" s="55"/>
    </row>
    <row r="964">
      <c r="N964" s="55"/>
    </row>
    <row r="965">
      <c r="N965" s="55"/>
    </row>
    <row r="966">
      <c r="N966" s="55"/>
    </row>
    <row r="967">
      <c r="N967" s="55"/>
    </row>
    <row r="968">
      <c r="N968" s="55"/>
    </row>
    <row r="969">
      <c r="N969" s="55"/>
    </row>
    <row r="970">
      <c r="N970" s="55"/>
    </row>
    <row r="971">
      <c r="N971" s="55"/>
    </row>
    <row r="972">
      <c r="N972" s="55"/>
    </row>
    <row r="973">
      <c r="N973" s="55"/>
    </row>
    <row r="974">
      <c r="N974" s="55"/>
    </row>
    <row r="975">
      <c r="N975" s="55"/>
    </row>
  </sheetData>
  <mergeCells count="2">
    <mergeCell ref="A1:N1"/>
    <mergeCell ref="A2:N2"/>
  </mergeCells>
  <conditionalFormatting sqref="A4:N12">
    <cfRule type="expression" dxfId="14" priority="1">
      <formula>$N4=1</formula>
    </cfRule>
  </conditionalFormatting>
  <dataValidations>
    <dataValidation type="list" allowBlank="1" showErrorMessage="1" sqref="B4:B12">
      <formula1>"Charlotte Branch,Holt Ward,Jackson Ward,Lansing Ward,Lansing YSA Ward,Owosso Ward,Portland Branch,St Johns Branch,Williamston Ward"</formula1>
    </dataValidation>
    <dataValidation type="list" allowBlank="1" showErrorMessage="1" sqref="C4:C12">
      <formula1>"Sustain,Release &amp; Thank"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33</v>
      </c>
      <c r="B1" s="48" t="s">
        <v>34</v>
      </c>
      <c r="C1" s="48" t="s">
        <v>35</v>
      </c>
      <c r="D1" s="48" t="s">
        <v>288</v>
      </c>
      <c r="E1" s="49" t="s">
        <v>4</v>
      </c>
      <c r="F1" s="49" t="s">
        <v>20</v>
      </c>
      <c r="G1" s="49" t="s">
        <v>6</v>
      </c>
      <c r="H1" s="49" t="s">
        <v>8</v>
      </c>
      <c r="I1" s="49" t="s">
        <v>10</v>
      </c>
      <c r="J1" s="49" t="s">
        <v>14</v>
      </c>
      <c r="K1" s="49" t="s">
        <v>12</v>
      </c>
      <c r="L1" s="49" t="s">
        <v>16</v>
      </c>
      <c r="M1" s="49" t="s">
        <v>18</v>
      </c>
      <c r="N1" s="50" t="s">
        <v>37</v>
      </c>
      <c r="P1" s="51" t="s">
        <v>289</v>
      </c>
    </row>
    <row r="2" ht="25.5" customHeight="1">
      <c r="A2" s="56" t="s">
        <v>40</v>
      </c>
      <c r="B2" s="57" t="s">
        <v>291</v>
      </c>
      <c r="C2" s="57" t="s">
        <v>41</v>
      </c>
      <c r="D2" s="57" t="s">
        <v>42</v>
      </c>
      <c r="E2" s="57" t="b">
        <v>1</v>
      </c>
      <c r="F2" s="57" t="b">
        <v>1</v>
      </c>
      <c r="G2" s="57" t="b">
        <v>1</v>
      </c>
      <c r="H2" s="57" t="b">
        <v>1</v>
      </c>
      <c r="I2" s="57" t="b">
        <v>1</v>
      </c>
      <c r="J2" s="57" t="b">
        <v>1</v>
      </c>
      <c r="K2" s="57" t="b">
        <v>1</v>
      </c>
      <c r="L2" s="57" t="b">
        <v>1</v>
      </c>
      <c r="M2" s="57" t="b">
        <v>1</v>
      </c>
      <c r="N2" s="58">
        <f t="shared" ref="N2:N29" si="1">IF(A2="","",COUNTIF(E2:M2,TRUE)/COUNTA(E2:M2))</f>
        <v>1</v>
      </c>
      <c r="P2" s="46" t="s">
        <v>292</v>
      </c>
    </row>
    <row r="3" ht="25.5" customHeight="1">
      <c r="A3" s="56" t="s">
        <v>44</v>
      </c>
      <c r="B3" s="57" t="s">
        <v>293</v>
      </c>
      <c r="C3" s="57" t="s">
        <v>45</v>
      </c>
      <c r="D3" s="57" t="s">
        <v>42</v>
      </c>
      <c r="E3" s="57" t="b">
        <v>1</v>
      </c>
      <c r="F3" s="57" t="b">
        <v>1</v>
      </c>
      <c r="G3" s="57" t="b">
        <v>1</v>
      </c>
      <c r="H3" s="57" t="b">
        <v>1</v>
      </c>
      <c r="I3" s="57" t="b">
        <v>1</v>
      </c>
      <c r="J3" s="57" t="b">
        <v>1</v>
      </c>
      <c r="K3" s="57" t="b">
        <v>1</v>
      </c>
      <c r="L3" s="57" t="b">
        <v>1</v>
      </c>
      <c r="M3" s="57" t="b">
        <v>1</v>
      </c>
      <c r="N3" s="58">
        <f t="shared" si="1"/>
        <v>1</v>
      </c>
      <c r="P3" s="46" t="s">
        <v>292</v>
      </c>
    </row>
    <row r="4" ht="25.5" customHeight="1">
      <c r="A4" s="56" t="s">
        <v>46</v>
      </c>
      <c r="B4" s="57" t="s">
        <v>290</v>
      </c>
      <c r="C4" s="57" t="s">
        <v>45</v>
      </c>
      <c r="D4" s="57" t="s">
        <v>47</v>
      </c>
      <c r="E4" s="57" t="b">
        <v>1</v>
      </c>
      <c r="F4" s="57" t="b">
        <v>1</v>
      </c>
      <c r="G4" s="57" t="b">
        <v>1</v>
      </c>
      <c r="H4" s="57" t="b">
        <v>1</v>
      </c>
      <c r="I4" s="57" t="b">
        <v>1</v>
      </c>
      <c r="J4" s="57" t="b">
        <v>1</v>
      </c>
      <c r="K4" s="57" t="b">
        <v>1</v>
      </c>
      <c r="L4" s="57" t="b">
        <v>1</v>
      </c>
      <c r="M4" s="57" t="b">
        <v>1</v>
      </c>
      <c r="N4" s="58">
        <f t="shared" si="1"/>
        <v>1</v>
      </c>
      <c r="P4" s="46" t="s">
        <v>292</v>
      </c>
    </row>
    <row r="5" ht="25.5" customHeight="1">
      <c r="A5" s="56" t="s">
        <v>48</v>
      </c>
      <c r="B5" s="57" t="s">
        <v>290</v>
      </c>
      <c r="C5" s="57" t="s">
        <v>41</v>
      </c>
      <c r="D5" s="57" t="s">
        <v>49</v>
      </c>
      <c r="E5" s="57" t="b">
        <v>1</v>
      </c>
      <c r="F5" s="57" t="b">
        <v>1</v>
      </c>
      <c r="G5" s="57" t="b">
        <v>1</v>
      </c>
      <c r="H5" s="57" t="b">
        <v>1</v>
      </c>
      <c r="I5" s="57" t="b">
        <v>1</v>
      </c>
      <c r="J5" s="57" t="b">
        <v>1</v>
      </c>
      <c r="K5" s="57" t="b">
        <v>1</v>
      </c>
      <c r="L5" s="57" t="b">
        <v>1</v>
      </c>
      <c r="M5" s="57" t="b">
        <v>1</v>
      </c>
      <c r="N5" s="58">
        <f t="shared" si="1"/>
        <v>1</v>
      </c>
      <c r="P5" s="46" t="s">
        <v>292</v>
      </c>
    </row>
    <row r="6" ht="25.5" customHeight="1">
      <c r="A6" s="56" t="s">
        <v>50</v>
      </c>
      <c r="B6" s="57" t="s">
        <v>293</v>
      </c>
      <c r="C6" s="57" t="s">
        <v>45</v>
      </c>
      <c r="D6" s="57" t="s">
        <v>49</v>
      </c>
      <c r="E6" s="57" t="b">
        <v>1</v>
      </c>
      <c r="F6" s="57" t="b">
        <v>1</v>
      </c>
      <c r="G6" s="57" t="b">
        <v>1</v>
      </c>
      <c r="H6" s="57" t="b">
        <v>1</v>
      </c>
      <c r="I6" s="57" t="b">
        <v>1</v>
      </c>
      <c r="J6" s="57" t="b">
        <v>1</v>
      </c>
      <c r="K6" s="57" t="b">
        <v>1</v>
      </c>
      <c r="L6" s="57" t="b">
        <v>1</v>
      </c>
      <c r="M6" s="57" t="b">
        <v>1</v>
      </c>
      <c r="N6" s="58">
        <f t="shared" si="1"/>
        <v>1</v>
      </c>
      <c r="P6" s="46" t="s">
        <v>292</v>
      </c>
    </row>
    <row r="7" ht="25.5" customHeight="1">
      <c r="A7" s="57" t="s">
        <v>51</v>
      </c>
      <c r="B7" s="57" t="s">
        <v>294</v>
      </c>
      <c r="C7" s="57" t="s">
        <v>41</v>
      </c>
      <c r="D7" s="57" t="s">
        <v>52</v>
      </c>
      <c r="E7" s="57" t="b">
        <v>1</v>
      </c>
      <c r="F7" s="57" t="b">
        <v>1</v>
      </c>
      <c r="G7" s="57" t="b">
        <v>1</v>
      </c>
      <c r="H7" s="57" t="b">
        <v>1</v>
      </c>
      <c r="I7" s="57" t="b">
        <v>1</v>
      </c>
      <c r="J7" s="57" t="b">
        <v>1</v>
      </c>
      <c r="K7" s="57" t="b">
        <v>1</v>
      </c>
      <c r="L7" s="57" t="b">
        <v>1</v>
      </c>
      <c r="M7" s="57" t="b">
        <v>1</v>
      </c>
      <c r="N7" s="58">
        <f t="shared" si="1"/>
        <v>1</v>
      </c>
      <c r="P7" s="46" t="s">
        <v>292</v>
      </c>
    </row>
    <row r="8" ht="25.5" customHeight="1">
      <c r="A8" s="56" t="s">
        <v>53</v>
      </c>
      <c r="B8" s="57" t="s">
        <v>291</v>
      </c>
      <c r="C8" s="57" t="s">
        <v>45</v>
      </c>
      <c r="D8" s="57" t="s">
        <v>52</v>
      </c>
      <c r="E8" s="57" t="b">
        <v>1</v>
      </c>
      <c r="F8" s="57" t="b">
        <v>1</v>
      </c>
      <c r="G8" s="57" t="b">
        <v>1</v>
      </c>
      <c r="H8" s="57" t="b">
        <v>1</v>
      </c>
      <c r="I8" s="57" t="b">
        <v>1</v>
      </c>
      <c r="J8" s="57" t="b">
        <v>1</v>
      </c>
      <c r="K8" s="57" t="b">
        <v>1</v>
      </c>
      <c r="L8" s="57" t="b">
        <v>1</v>
      </c>
      <c r="M8" s="57" t="b">
        <v>1</v>
      </c>
      <c r="N8" s="58">
        <f t="shared" si="1"/>
        <v>1</v>
      </c>
      <c r="P8" s="46" t="s">
        <v>292</v>
      </c>
    </row>
    <row r="9" ht="25.5" customHeight="1">
      <c r="A9" s="52" t="s">
        <v>54</v>
      </c>
      <c r="B9" s="53" t="s">
        <v>290</v>
      </c>
      <c r="C9" s="53" t="s">
        <v>45</v>
      </c>
      <c r="D9" s="53" t="s">
        <v>55</v>
      </c>
      <c r="E9" s="53" t="b">
        <v>1</v>
      </c>
      <c r="F9" s="53" t="b">
        <v>1</v>
      </c>
      <c r="G9" s="53" t="b">
        <v>1</v>
      </c>
      <c r="H9" s="53" t="b">
        <v>1</v>
      </c>
      <c r="I9" s="53" t="b">
        <v>1</v>
      </c>
      <c r="J9" s="53" t="b">
        <v>1</v>
      </c>
      <c r="K9" s="53" t="b">
        <v>1</v>
      </c>
      <c r="L9" s="53" t="b">
        <v>1</v>
      </c>
      <c r="M9" s="53" t="b">
        <v>1</v>
      </c>
      <c r="N9" s="54">
        <f t="shared" si="1"/>
        <v>1</v>
      </c>
      <c r="P9" s="46" t="s">
        <v>292</v>
      </c>
    </row>
    <row r="10" ht="25.5" customHeight="1">
      <c r="A10" s="56" t="s">
        <v>56</v>
      </c>
      <c r="B10" s="57" t="s">
        <v>290</v>
      </c>
      <c r="C10" s="57" t="s">
        <v>45</v>
      </c>
      <c r="D10" s="57" t="s">
        <v>57</v>
      </c>
      <c r="E10" s="57" t="b">
        <v>1</v>
      </c>
      <c r="F10" s="57" t="b">
        <v>1</v>
      </c>
      <c r="G10" s="57" t="b">
        <v>1</v>
      </c>
      <c r="H10" s="57" t="b">
        <v>1</v>
      </c>
      <c r="I10" s="57" t="b">
        <v>1</v>
      </c>
      <c r="J10" s="57" t="b">
        <v>1</v>
      </c>
      <c r="K10" s="57" t="b">
        <v>1</v>
      </c>
      <c r="L10" s="57" t="b">
        <v>1</v>
      </c>
      <c r="M10" s="57" t="b">
        <v>1</v>
      </c>
      <c r="N10" s="58">
        <f t="shared" si="1"/>
        <v>1</v>
      </c>
      <c r="P10" s="46" t="s">
        <v>292</v>
      </c>
    </row>
    <row r="11" ht="25.5" customHeight="1">
      <c r="A11" s="56" t="s">
        <v>58</v>
      </c>
      <c r="B11" s="57" t="s">
        <v>293</v>
      </c>
      <c r="C11" s="57" t="s">
        <v>45</v>
      </c>
      <c r="D11" s="57" t="s">
        <v>59</v>
      </c>
      <c r="E11" s="57" t="b">
        <v>1</v>
      </c>
      <c r="F11" s="57" t="b">
        <v>1</v>
      </c>
      <c r="G11" s="57" t="b">
        <v>1</v>
      </c>
      <c r="H11" s="57" t="b">
        <v>1</v>
      </c>
      <c r="I11" s="57" t="b">
        <v>1</v>
      </c>
      <c r="J11" s="57" t="b">
        <v>1</v>
      </c>
      <c r="K11" s="57" t="b">
        <v>1</v>
      </c>
      <c r="L11" s="57" t="b">
        <v>1</v>
      </c>
      <c r="M11" s="57" t="b">
        <v>1</v>
      </c>
      <c r="N11" s="58">
        <f t="shared" si="1"/>
        <v>1</v>
      </c>
      <c r="P11" s="46" t="s">
        <v>292</v>
      </c>
    </row>
    <row r="12" ht="25.5" customHeight="1">
      <c r="A12" s="56" t="s">
        <v>60</v>
      </c>
      <c r="B12" s="57" t="s">
        <v>290</v>
      </c>
      <c r="C12" s="57" t="s">
        <v>41</v>
      </c>
      <c r="D12" s="57" t="s">
        <v>61</v>
      </c>
      <c r="E12" s="57" t="b">
        <v>1</v>
      </c>
      <c r="F12" s="57" t="b">
        <v>1</v>
      </c>
      <c r="G12" s="57" t="b">
        <v>1</v>
      </c>
      <c r="H12" s="57" t="b">
        <v>1</v>
      </c>
      <c r="I12" s="57" t="b">
        <v>1</v>
      </c>
      <c r="J12" s="57" t="b">
        <v>1</v>
      </c>
      <c r="K12" s="57" t="b">
        <v>1</v>
      </c>
      <c r="L12" s="57" t="b">
        <v>1</v>
      </c>
      <c r="M12" s="57" t="b">
        <v>1</v>
      </c>
      <c r="N12" s="58">
        <f t="shared" si="1"/>
        <v>1</v>
      </c>
      <c r="P12" s="46" t="s">
        <v>292</v>
      </c>
    </row>
    <row r="13" ht="25.5" customHeight="1">
      <c r="A13" s="56" t="s">
        <v>62</v>
      </c>
      <c r="B13" s="57" t="s">
        <v>290</v>
      </c>
      <c r="C13" s="57" t="s">
        <v>45</v>
      </c>
      <c r="D13" s="57" t="s">
        <v>61</v>
      </c>
      <c r="E13" s="57" t="b">
        <v>1</v>
      </c>
      <c r="F13" s="57" t="b">
        <v>1</v>
      </c>
      <c r="G13" s="57" t="b">
        <v>1</v>
      </c>
      <c r="H13" s="57" t="b">
        <v>1</v>
      </c>
      <c r="I13" s="57" t="b">
        <v>1</v>
      </c>
      <c r="J13" s="57" t="b">
        <v>1</v>
      </c>
      <c r="K13" s="57" t="b">
        <v>1</v>
      </c>
      <c r="L13" s="57" t="b">
        <v>1</v>
      </c>
      <c r="M13" s="57" t="b">
        <v>1</v>
      </c>
      <c r="N13" s="58">
        <f t="shared" si="1"/>
        <v>1</v>
      </c>
      <c r="P13" s="46" t="s">
        <v>292</v>
      </c>
    </row>
    <row r="14" ht="25.5" customHeight="1">
      <c r="A14" s="59" t="s">
        <v>63</v>
      </c>
      <c r="B14" s="60" t="s">
        <v>295</v>
      </c>
      <c r="C14" s="60" t="s">
        <v>41</v>
      </c>
      <c r="D14" s="60" t="s">
        <v>64</v>
      </c>
      <c r="E14" s="60" t="b">
        <v>1</v>
      </c>
      <c r="F14" s="60" t="b">
        <v>1</v>
      </c>
      <c r="G14" s="60" t="b">
        <v>1</v>
      </c>
      <c r="H14" s="60" t="b">
        <v>1</v>
      </c>
      <c r="I14" s="60" t="b">
        <v>1</v>
      </c>
      <c r="J14" s="60" t="b">
        <v>1</v>
      </c>
      <c r="K14" s="60" t="b">
        <v>1</v>
      </c>
      <c r="L14" s="60" t="b">
        <v>1</v>
      </c>
      <c r="M14" s="60" t="b">
        <v>1</v>
      </c>
      <c r="N14" s="61">
        <f t="shared" si="1"/>
        <v>1</v>
      </c>
      <c r="P14" s="46" t="s">
        <v>292</v>
      </c>
    </row>
    <row r="15" ht="25.5" customHeight="1">
      <c r="A15" s="52" t="s">
        <v>65</v>
      </c>
      <c r="B15" s="53" t="s">
        <v>290</v>
      </c>
      <c r="C15" s="53" t="s">
        <v>45</v>
      </c>
      <c r="D15" s="53" t="s">
        <v>64</v>
      </c>
      <c r="E15" s="53" t="b">
        <v>1</v>
      </c>
      <c r="F15" s="53" t="b">
        <v>1</v>
      </c>
      <c r="G15" s="53" t="b">
        <v>1</v>
      </c>
      <c r="H15" s="53" t="b">
        <v>1</v>
      </c>
      <c r="I15" s="53" t="b">
        <v>1</v>
      </c>
      <c r="J15" s="53" t="b">
        <v>1</v>
      </c>
      <c r="K15" s="53" t="b">
        <v>1</v>
      </c>
      <c r="L15" s="53" t="b">
        <v>1</v>
      </c>
      <c r="M15" s="53" t="b">
        <v>1</v>
      </c>
      <c r="N15" s="54">
        <f t="shared" si="1"/>
        <v>1</v>
      </c>
      <c r="P15" s="46" t="s">
        <v>292</v>
      </c>
    </row>
    <row r="16" ht="25.5" customHeight="1">
      <c r="A16" s="56" t="s">
        <v>66</v>
      </c>
      <c r="B16" s="57" t="s">
        <v>295</v>
      </c>
      <c r="C16" s="57" t="s">
        <v>41</v>
      </c>
      <c r="D16" s="57" t="s">
        <v>67</v>
      </c>
      <c r="E16" s="57" t="b">
        <v>1</v>
      </c>
      <c r="F16" s="57" t="b">
        <v>1</v>
      </c>
      <c r="G16" s="57" t="b">
        <v>1</v>
      </c>
      <c r="H16" s="57" t="b">
        <v>1</v>
      </c>
      <c r="I16" s="57" t="b">
        <v>1</v>
      </c>
      <c r="J16" s="57" t="b">
        <v>1</v>
      </c>
      <c r="K16" s="57" t="b">
        <v>1</v>
      </c>
      <c r="L16" s="57" t="b">
        <v>1</v>
      </c>
      <c r="M16" s="57" t="b">
        <v>1</v>
      </c>
      <c r="N16" s="54">
        <f t="shared" si="1"/>
        <v>1</v>
      </c>
      <c r="P16" s="46" t="s">
        <v>292</v>
      </c>
    </row>
    <row r="17" ht="25.5" customHeight="1">
      <c r="A17" s="56" t="s">
        <v>68</v>
      </c>
      <c r="B17" s="57" t="s">
        <v>290</v>
      </c>
      <c r="C17" s="57" t="s">
        <v>45</v>
      </c>
      <c r="D17" s="57" t="s">
        <v>67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57" t="b">
        <v>1</v>
      </c>
      <c r="L17" s="57" t="b">
        <v>1</v>
      </c>
      <c r="M17" s="57" t="b">
        <v>1</v>
      </c>
      <c r="N17" s="58">
        <f t="shared" si="1"/>
        <v>1</v>
      </c>
      <c r="P17" s="46" t="s">
        <v>292</v>
      </c>
    </row>
    <row r="18" ht="25.5" customHeight="1">
      <c r="A18" s="62" t="s">
        <v>69</v>
      </c>
      <c r="B18" s="63" t="s">
        <v>291</v>
      </c>
      <c r="C18" s="63" t="s">
        <v>41</v>
      </c>
      <c r="D18" s="63" t="s">
        <v>70</v>
      </c>
      <c r="E18" s="63" t="b">
        <v>1</v>
      </c>
      <c r="F18" s="63" t="b">
        <v>1</v>
      </c>
      <c r="G18" s="63" t="b">
        <v>1</v>
      </c>
      <c r="H18" s="63" t="b">
        <v>1</v>
      </c>
      <c r="I18" s="63" t="b">
        <v>1</v>
      </c>
      <c r="J18" s="63" t="b">
        <v>1</v>
      </c>
      <c r="K18" s="63" t="b">
        <v>1</v>
      </c>
      <c r="L18" s="63" t="b">
        <v>1</v>
      </c>
      <c r="M18" s="63" t="b">
        <v>1</v>
      </c>
      <c r="N18" s="64">
        <f t="shared" si="1"/>
        <v>1</v>
      </c>
      <c r="P18" s="46" t="s">
        <v>292</v>
      </c>
    </row>
    <row r="19" ht="25.5" customHeight="1">
      <c r="A19" s="62" t="s">
        <v>71</v>
      </c>
      <c r="B19" s="63" t="s">
        <v>293</v>
      </c>
      <c r="C19" s="63" t="s">
        <v>41</v>
      </c>
      <c r="D19" s="63" t="s">
        <v>72</v>
      </c>
      <c r="E19" s="63" t="b">
        <v>1</v>
      </c>
      <c r="F19" s="63" t="b">
        <v>1</v>
      </c>
      <c r="G19" s="63" t="b">
        <v>1</v>
      </c>
      <c r="H19" s="63" t="b">
        <v>1</v>
      </c>
      <c r="I19" s="63" t="b">
        <v>1</v>
      </c>
      <c r="J19" s="63" t="b">
        <v>1</v>
      </c>
      <c r="K19" s="63" t="b">
        <v>1</v>
      </c>
      <c r="L19" s="63" t="b">
        <v>1</v>
      </c>
      <c r="M19" s="63" t="b">
        <v>1</v>
      </c>
      <c r="N19" s="64">
        <f t="shared" si="1"/>
        <v>1</v>
      </c>
      <c r="P19" s="46" t="s">
        <v>292</v>
      </c>
    </row>
    <row r="20" ht="25.5" customHeight="1">
      <c r="A20" s="62" t="s">
        <v>73</v>
      </c>
      <c r="B20" s="63" t="s">
        <v>290</v>
      </c>
      <c r="C20" s="63" t="s">
        <v>41</v>
      </c>
      <c r="D20" s="63" t="s">
        <v>74</v>
      </c>
      <c r="E20" s="63" t="b">
        <v>1</v>
      </c>
      <c r="F20" s="63" t="b">
        <v>1</v>
      </c>
      <c r="G20" s="63" t="b">
        <v>1</v>
      </c>
      <c r="H20" s="63" t="b">
        <v>1</v>
      </c>
      <c r="I20" s="63" t="b">
        <v>1</v>
      </c>
      <c r="J20" s="63" t="b">
        <v>1</v>
      </c>
      <c r="K20" s="63" t="b">
        <v>1</v>
      </c>
      <c r="L20" s="63" t="b">
        <v>1</v>
      </c>
      <c r="M20" s="63" t="b">
        <v>1</v>
      </c>
      <c r="N20" s="64">
        <f t="shared" si="1"/>
        <v>1</v>
      </c>
      <c r="P20" s="46" t="s">
        <v>292</v>
      </c>
    </row>
    <row r="21" ht="25.5" customHeight="1">
      <c r="A21" s="62" t="s">
        <v>75</v>
      </c>
      <c r="B21" s="63" t="s">
        <v>290</v>
      </c>
      <c r="C21" s="63" t="s">
        <v>45</v>
      </c>
      <c r="D21" s="63" t="s">
        <v>76</v>
      </c>
      <c r="E21" s="63" t="b">
        <v>1</v>
      </c>
      <c r="F21" s="63" t="b">
        <v>1</v>
      </c>
      <c r="G21" s="63" t="b">
        <v>1</v>
      </c>
      <c r="H21" s="63" t="b">
        <v>1</v>
      </c>
      <c r="I21" s="63" t="b">
        <v>1</v>
      </c>
      <c r="J21" s="63" t="b">
        <v>1</v>
      </c>
      <c r="K21" s="63" t="b">
        <v>1</v>
      </c>
      <c r="L21" s="63" t="b">
        <v>1</v>
      </c>
      <c r="M21" s="63" t="b">
        <v>1</v>
      </c>
      <c r="N21" s="64">
        <f t="shared" si="1"/>
        <v>1</v>
      </c>
      <c r="P21" s="46" t="s">
        <v>292</v>
      </c>
    </row>
    <row r="22" ht="25.5" customHeight="1">
      <c r="A22" s="62" t="s">
        <v>77</v>
      </c>
      <c r="B22" s="63" t="s">
        <v>291</v>
      </c>
      <c r="C22" s="63" t="s">
        <v>45</v>
      </c>
      <c r="D22" s="65" t="s">
        <v>78</v>
      </c>
      <c r="E22" s="66" t="b">
        <v>1</v>
      </c>
      <c r="F22" s="66" t="b">
        <v>1</v>
      </c>
      <c r="G22" s="66" t="b">
        <v>1</v>
      </c>
      <c r="H22" s="66" t="b">
        <v>1</v>
      </c>
      <c r="I22" s="66" t="b">
        <v>1</v>
      </c>
      <c r="J22" s="66" t="b">
        <v>1</v>
      </c>
      <c r="K22" s="66" t="b">
        <v>1</v>
      </c>
      <c r="L22" s="66" t="b">
        <v>1</v>
      </c>
      <c r="M22" s="66" t="b">
        <v>1</v>
      </c>
      <c r="N22" s="64">
        <f t="shared" si="1"/>
        <v>1</v>
      </c>
      <c r="P22" s="46" t="s">
        <v>292</v>
      </c>
    </row>
    <row r="23" ht="25.5" customHeight="1">
      <c r="A23" s="52" t="s">
        <v>79</v>
      </c>
      <c r="B23" s="53" t="s">
        <v>294</v>
      </c>
      <c r="C23" s="53" t="s">
        <v>45</v>
      </c>
      <c r="D23" s="53" t="s">
        <v>70</v>
      </c>
      <c r="E23" s="53" t="b">
        <v>1</v>
      </c>
      <c r="F23" s="53" t="b">
        <v>1</v>
      </c>
      <c r="G23" s="53" t="b">
        <v>1</v>
      </c>
      <c r="H23" s="53" t="b">
        <v>1</v>
      </c>
      <c r="I23" s="53" t="b">
        <v>1</v>
      </c>
      <c r="J23" s="53" t="b">
        <v>1</v>
      </c>
      <c r="K23" s="53" t="b">
        <v>1</v>
      </c>
      <c r="L23" s="53" t="b">
        <v>1</v>
      </c>
      <c r="M23" s="53" t="b">
        <v>1</v>
      </c>
      <c r="N23" s="54">
        <f t="shared" si="1"/>
        <v>1</v>
      </c>
      <c r="P23" s="67">
        <v>45352.0</v>
      </c>
    </row>
    <row r="24">
      <c r="A24" s="62" t="s">
        <v>80</v>
      </c>
      <c r="B24" s="63" t="s">
        <v>290</v>
      </c>
      <c r="C24" s="63" t="s">
        <v>45</v>
      </c>
      <c r="D24" s="63" t="s">
        <v>81</v>
      </c>
      <c r="E24" s="53" t="b">
        <v>1</v>
      </c>
      <c r="F24" s="53" t="b">
        <v>1</v>
      </c>
      <c r="G24" s="53" t="b">
        <v>1</v>
      </c>
      <c r="H24" s="53" t="b">
        <v>1</v>
      </c>
      <c r="I24" s="53" t="b">
        <v>1</v>
      </c>
      <c r="J24" s="53" t="b">
        <v>1</v>
      </c>
      <c r="K24" s="53" t="b">
        <v>1</v>
      </c>
      <c r="L24" s="53" t="b">
        <v>1</v>
      </c>
      <c r="M24" s="53" t="b">
        <v>1</v>
      </c>
      <c r="N24" s="54">
        <f t="shared" si="1"/>
        <v>1</v>
      </c>
      <c r="P24" s="67">
        <v>45352.0</v>
      </c>
    </row>
    <row r="25">
      <c r="A25" s="62" t="s">
        <v>82</v>
      </c>
      <c r="B25" s="63" t="s">
        <v>291</v>
      </c>
      <c r="C25" s="63" t="s">
        <v>41</v>
      </c>
      <c r="D25" s="63" t="s">
        <v>83</v>
      </c>
      <c r="E25" s="53" t="b">
        <v>1</v>
      </c>
      <c r="F25" s="53" t="b">
        <v>1</v>
      </c>
      <c r="G25" s="53" t="b">
        <v>1</v>
      </c>
      <c r="H25" s="53" t="b">
        <v>1</v>
      </c>
      <c r="I25" s="53" t="b">
        <v>1</v>
      </c>
      <c r="J25" s="53" t="b">
        <v>1</v>
      </c>
      <c r="K25" s="53" t="b">
        <v>1</v>
      </c>
      <c r="L25" s="53" t="b">
        <v>1</v>
      </c>
      <c r="M25" s="53" t="b">
        <v>1</v>
      </c>
      <c r="N25" s="54">
        <f t="shared" si="1"/>
        <v>1</v>
      </c>
      <c r="P25" s="67">
        <v>45352.0</v>
      </c>
    </row>
    <row r="26">
      <c r="A26" s="62" t="s">
        <v>84</v>
      </c>
      <c r="B26" s="63" t="s">
        <v>290</v>
      </c>
      <c r="C26" s="63" t="s">
        <v>45</v>
      </c>
      <c r="D26" s="63" t="s">
        <v>83</v>
      </c>
      <c r="E26" s="53" t="b">
        <v>1</v>
      </c>
      <c r="F26" s="53" t="b">
        <v>1</v>
      </c>
      <c r="G26" s="53" t="b">
        <v>1</v>
      </c>
      <c r="H26" s="53" t="b">
        <v>1</v>
      </c>
      <c r="I26" s="53" t="b">
        <v>1</v>
      </c>
      <c r="J26" s="53" t="b">
        <v>1</v>
      </c>
      <c r="K26" s="53" t="b">
        <v>1</v>
      </c>
      <c r="L26" s="53" t="b">
        <v>1</v>
      </c>
      <c r="M26" s="53" t="b">
        <v>1</v>
      </c>
      <c r="N26" s="54">
        <f t="shared" si="1"/>
        <v>1</v>
      </c>
      <c r="P26" s="67">
        <v>45352.0</v>
      </c>
    </row>
    <row r="27">
      <c r="A27" s="62" t="s">
        <v>85</v>
      </c>
      <c r="B27" s="63" t="s">
        <v>293</v>
      </c>
      <c r="C27" s="63" t="s">
        <v>45</v>
      </c>
      <c r="D27" s="63" t="s">
        <v>86</v>
      </c>
      <c r="E27" s="53" t="b">
        <v>1</v>
      </c>
      <c r="F27" s="53" t="b">
        <v>1</v>
      </c>
      <c r="G27" s="53" t="b">
        <v>1</v>
      </c>
      <c r="H27" s="53" t="b">
        <v>1</v>
      </c>
      <c r="I27" s="53" t="b">
        <v>1</v>
      </c>
      <c r="J27" s="53" t="b">
        <v>1</v>
      </c>
      <c r="K27" s="53" t="b">
        <v>1</v>
      </c>
      <c r="L27" s="53" t="b">
        <v>1</v>
      </c>
      <c r="M27" s="53" t="b">
        <v>1</v>
      </c>
      <c r="N27" s="54">
        <f t="shared" si="1"/>
        <v>1</v>
      </c>
      <c r="P27" s="67">
        <v>45352.0</v>
      </c>
    </row>
    <row r="28" ht="25.5" customHeight="1">
      <c r="A28" s="62" t="s">
        <v>87</v>
      </c>
      <c r="B28" s="63" t="s">
        <v>295</v>
      </c>
      <c r="C28" s="63" t="s">
        <v>41</v>
      </c>
      <c r="D28" s="63" t="s">
        <v>88</v>
      </c>
      <c r="E28" s="53" t="b">
        <v>1</v>
      </c>
      <c r="F28" s="53" t="b">
        <v>1</v>
      </c>
      <c r="G28" s="53" t="b">
        <v>1</v>
      </c>
      <c r="H28" s="53" t="b">
        <v>1</v>
      </c>
      <c r="I28" s="53" t="b">
        <v>1</v>
      </c>
      <c r="J28" s="53" t="b">
        <v>1</v>
      </c>
      <c r="K28" s="53" t="b">
        <v>1</v>
      </c>
      <c r="L28" s="53" t="b">
        <v>1</v>
      </c>
      <c r="M28" s="53" t="b">
        <v>1</v>
      </c>
      <c r="N28" s="54">
        <f t="shared" si="1"/>
        <v>1</v>
      </c>
      <c r="P28" s="67">
        <v>45352.0</v>
      </c>
    </row>
    <row r="29" ht="25.5" customHeight="1">
      <c r="A29" s="62" t="s">
        <v>89</v>
      </c>
      <c r="B29" s="63" t="s">
        <v>295</v>
      </c>
      <c r="C29" s="63" t="s">
        <v>45</v>
      </c>
      <c r="D29" s="63" t="s">
        <v>88</v>
      </c>
      <c r="E29" s="53" t="b">
        <v>1</v>
      </c>
      <c r="F29" s="53" t="b">
        <v>1</v>
      </c>
      <c r="G29" s="53" t="b">
        <v>1</v>
      </c>
      <c r="H29" s="53" t="b">
        <v>1</v>
      </c>
      <c r="I29" s="53" t="b">
        <v>1</v>
      </c>
      <c r="J29" s="53" t="b">
        <v>1</v>
      </c>
      <c r="K29" s="53" t="b">
        <v>1</v>
      </c>
      <c r="L29" s="53" t="b">
        <v>1</v>
      </c>
      <c r="M29" s="53" t="b">
        <v>1</v>
      </c>
      <c r="N29" s="54">
        <f t="shared" si="1"/>
        <v>1</v>
      </c>
      <c r="P29" s="67">
        <v>45352.0</v>
      </c>
    </row>
  </sheetData>
  <conditionalFormatting sqref="A2:N29">
    <cfRule type="expression" dxfId="14" priority="1">
      <formula>$N2=1</formula>
    </cfRule>
  </conditionalFormatting>
  <dataValidations>
    <dataValidation type="list" allowBlank="1" showErrorMessage="1" sqref="B2:B29">
      <formula1>"Charlotte Branch,Holt Ward,Jackson Ward,Lansing Ward,Lansing YSA Ward,Owosso Ward,Portland Branch,St Johns Branch,Williamston Ward"</formula1>
    </dataValidation>
    <dataValidation type="list" allowBlank="1" showErrorMessage="1" sqref="C2:C29">
      <formula1>"Sustain,Release &amp; Thank"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3" width="24.0"/>
    <col customWidth="1" min="4" max="4" width="30.88"/>
    <col customWidth="1" min="5" max="5" width="29.88"/>
  </cols>
  <sheetData>
    <row r="1">
      <c r="A1" s="68" t="s">
        <v>296</v>
      </c>
      <c r="B1" s="69"/>
      <c r="C1" s="69"/>
      <c r="D1" s="70"/>
      <c r="E1" s="71" t="s">
        <v>297</v>
      </c>
    </row>
    <row r="2">
      <c r="A2" s="72" t="s">
        <v>298</v>
      </c>
      <c r="B2" s="72" t="s">
        <v>299</v>
      </c>
      <c r="C2" s="72" t="s">
        <v>288</v>
      </c>
      <c r="D2" s="72" t="s">
        <v>300</v>
      </c>
      <c r="E2" s="72" t="b">
        <v>1</v>
      </c>
    </row>
    <row r="3">
      <c r="A3" s="73" t="s">
        <v>99</v>
      </c>
      <c r="B3" s="74" t="str">
        <f t="shared" ref="B3:B12" si="1">RIGHT(A3,LEN(A3) - (FIND(" ",A3)))</f>
        <v>Bills</v>
      </c>
      <c r="C3" s="75" t="s">
        <v>298</v>
      </c>
      <c r="D3" s="76" t="s">
        <v>301</v>
      </c>
      <c r="E3" s="46" t="s">
        <v>302</v>
      </c>
    </row>
    <row r="4">
      <c r="A4" s="73" t="s">
        <v>303</v>
      </c>
      <c r="B4" s="74" t="str">
        <f t="shared" si="1"/>
        <v>Beam</v>
      </c>
      <c r="C4" s="75" t="s">
        <v>298</v>
      </c>
      <c r="D4" s="76" t="s">
        <v>304</v>
      </c>
      <c r="E4" s="46" t="s">
        <v>305</v>
      </c>
    </row>
    <row r="5">
      <c r="A5" s="17" t="s">
        <v>199</v>
      </c>
      <c r="B5" s="74" t="str">
        <f t="shared" si="1"/>
        <v>Thorpe</v>
      </c>
      <c r="C5" s="75" t="s">
        <v>298</v>
      </c>
      <c r="D5" s="17" t="s">
        <v>306</v>
      </c>
    </row>
    <row r="6">
      <c r="A6" s="73" t="s">
        <v>307</v>
      </c>
      <c r="B6" s="74" t="str">
        <f t="shared" si="1"/>
        <v>Doty</v>
      </c>
      <c r="C6" s="75" t="s">
        <v>298</v>
      </c>
      <c r="D6" s="76" t="s">
        <v>308</v>
      </c>
    </row>
    <row r="7">
      <c r="A7" s="17" t="s">
        <v>192</v>
      </c>
      <c r="B7" s="74" t="str">
        <f t="shared" si="1"/>
        <v>Murdock</v>
      </c>
      <c r="C7" s="75" t="s">
        <v>298</v>
      </c>
      <c r="D7" s="17" t="s">
        <v>309</v>
      </c>
    </row>
    <row r="8">
      <c r="A8" s="17" t="s">
        <v>194</v>
      </c>
      <c r="B8" s="74" t="str">
        <f t="shared" si="1"/>
        <v>Joseph</v>
      </c>
      <c r="C8" s="75" t="s">
        <v>298</v>
      </c>
      <c r="D8" s="17" t="s">
        <v>310</v>
      </c>
    </row>
    <row r="9">
      <c r="A9" s="73" t="s">
        <v>100</v>
      </c>
      <c r="B9" s="74" t="str">
        <f t="shared" si="1"/>
        <v>McCrary</v>
      </c>
      <c r="C9" s="75" t="s">
        <v>298</v>
      </c>
      <c r="D9" s="76" t="s">
        <v>311</v>
      </c>
    </row>
    <row r="10">
      <c r="A10" s="17" t="s">
        <v>312</v>
      </c>
      <c r="B10" s="74" t="str">
        <f t="shared" si="1"/>
        <v>Conn</v>
      </c>
      <c r="C10" s="75" t="s">
        <v>298</v>
      </c>
      <c r="D10" s="17" t="s">
        <v>313</v>
      </c>
    </row>
    <row r="11">
      <c r="A11" s="17" t="s">
        <v>193</v>
      </c>
      <c r="B11" s="74" t="str">
        <f t="shared" si="1"/>
        <v>Schafer</v>
      </c>
      <c r="C11" s="75" t="s">
        <v>298</v>
      </c>
      <c r="D11" s="17" t="s">
        <v>314</v>
      </c>
    </row>
    <row r="12">
      <c r="A12" s="17" t="s">
        <v>184</v>
      </c>
      <c r="B12" s="74" t="str">
        <f t="shared" si="1"/>
        <v>Nelson</v>
      </c>
      <c r="C12" s="75" t="s">
        <v>298</v>
      </c>
      <c r="D12" s="17" t="s">
        <v>315</v>
      </c>
    </row>
    <row r="13">
      <c r="A13" s="73" t="s">
        <v>169</v>
      </c>
      <c r="B13" s="74" t="s">
        <v>316</v>
      </c>
      <c r="C13" s="75" t="s">
        <v>298</v>
      </c>
      <c r="D13" s="73" t="s">
        <v>317</v>
      </c>
    </row>
    <row r="14">
      <c r="A14" s="73" t="s">
        <v>103</v>
      </c>
      <c r="B14" s="74" t="s">
        <v>28</v>
      </c>
      <c r="C14" s="75" t="s">
        <v>298</v>
      </c>
      <c r="D14" s="73" t="s">
        <v>318</v>
      </c>
    </row>
  </sheetData>
  <hyperlinks>
    <hyperlink r:id="rId1" location="gid=1185950065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8.0"/>
  </cols>
  <sheetData>
    <row r="1">
      <c r="A1" s="77"/>
      <c r="B1" s="72" t="s">
        <v>319</v>
      </c>
    </row>
    <row r="2" ht="27.0" customHeight="1">
      <c r="A2" s="78" t="s">
        <v>320</v>
      </c>
      <c r="B2" s="79" t="s">
        <v>321</v>
      </c>
    </row>
    <row r="3" ht="27.75" customHeight="1">
      <c r="A3" s="80" t="s">
        <v>322</v>
      </c>
      <c r="B3" s="81" t="s">
        <v>323</v>
      </c>
    </row>
    <row r="4">
      <c r="A4" s="80" t="s">
        <v>324</v>
      </c>
      <c r="B4" s="82" t="s">
        <v>325</v>
      </c>
    </row>
    <row r="5">
      <c r="A5" s="80" t="s">
        <v>326</v>
      </c>
      <c r="B5" s="83" t="s">
        <v>327</v>
      </c>
    </row>
    <row r="6">
      <c r="A6" s="80" t="s">
        <v>328</v>
      </c>
      <c r="B6" s="83" t="s">
        <v>329</v>
      </c>
    </row>
  </sheetData>
  <hyperlinks>
    <hyperlink r:id="rId1" ref="B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84" t="s">
        <v>4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331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)"),"Individual")</f>
        <v>Individual</v>
      </c>
      <c r="B5" s="98" t="str">
        <f>IFERROR(__xludf.DUMMYFUNCTION("""COMPUTED_VALUE"""),"Calling / Office")</f>
        <v>Calling / Office</v>
      </c>
      <c r="C5" s="98" t="str">
        <f>IFERROR(__xludf.DUMMYFUNCTION("""COMPUTED_VALUE"""),"Step")</f>
        <v>Step</v>
      </c>
      <c r="D5" s="99" t="str">
        <f>IFERROR(__xludf.DUMMYFUNCTION("""COMPUTED_VALUE"""),"Assigned")</f>
        <v>Assigned</v>
      </c>
      <c r="E5" s="99" t="str">
        <f>IFERROR(__xludf.DUMMYFUNCTION("""COMPUTED_VALUE"""),"Trainer")</f>
        <v>Trainer</v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05" t="str">
        <f>IFERROR(__xludf.DUMMYFUNCTION("""COMPUTED_VALUE"""),"David Polhamus")</f>
        <v>David Polhamus</v>
      </c>
      <c r="B6" s="106" t="str">
        <f>IFERROR(__xludf.DUMMYFUNCTION("""COMPUTED_VALUE"""),"EQ 2nd Counselor")</f>
        <v>EQ 2nd Counselor</v>
      </c>
      <c r="C6" s="106" t="str">
        <f>IFERROR(__xludf.DUMMYFUNCTION("""COMPUTED_VALUE"""),"Training")</f>
        <v>Training</v>
      </c>
      <c r="D6" s="106" t="str">
        <f>IFERROR(__xludf.DUMMYFUNCTION("""COMPUTED_VALUE"""),"Nelson")</f>
        <v>Nelson</v>
      </c>
      <c r="E6" s="106" t="str">
        <f>IFERROR(__xludf.DUMMYFUNCTION("""COMPUTED_VALUE"""),"Nelson")</f>
        <v>Nelson</v>
      </c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10" t="str">
        <f>IFERROR(__xludf.DUMMYFUNCTION("""COMPUTED_VALUE"""),"Giacinto Lucci Sr.")</f>
        <v>Giacinto Lucci Sr.</v>
      </c>
      <c r="B7" s="106" t="str">
        <f>IFERROR(__xludf.DUMMYFUNCTION("""COMPUTED_VALUE"""),"EQ 1st Counselor")</f>
        <v>EQ 1st Counselor</v>
      </c>
      <c r="C7" s="106" t="str">
        <f>IFERROR(__xludf.DUMMYFUNCTION("""COMPUTED_VALUE"""),"Training")</f>
        <v>Training</v>
      </c>
      <c r="D7" s="106" t="str">
        <f>IFERROR(__xludf.DUMMYFUNCTION("""COMPUTED_VALUE"""),"Nelson")</f>
        <v>Nelson</v>
      </c>
      <c r="E7" s="106" t="str">
        <f>IFERROR(__xludf.DUMMYFUNCTION("""COMPUTED_VALUE"""),"Nelson")</f>
        <v>Nelson</v>
      </c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10" t="str">
        <f>IFERROR(__xludf.DUMMYFUNCTION("""COMPUTED_VALUE"""),"Jordan Coker")</f>
        <v>Jordan Coker</v>
      </c>
      <c r="B8" s="106" t="str">
        <f>IFERROR(__xludf.DUMMYFUNCTION("""COMPUTED_VALUE"""),"Elders Quorum President")</f>
        <v>Elders Quorum President</v>
      </c>
      <c r="C8" s="106" t="str">
        <f>IFERROR(__xludf.DUMMYFUNCTION("""COMPUTED_VALUE"""),"Training")</f>
        <v>Training</v>
      </c>
      <c r="D8" s="106" t="str">
        <f>IFERROR(__xludf.DUMMYFUNCTION("""COMPUTED_VALUE"""),"Rawson")</f>
        <v>Rawson</v>
      </c>
      <c r="E8" s="106" t="str">
        <f>IFERROR(__xludf.DUMMYFUNCTION("""COMPUTED_VALUE"""),"Nelson")</f>
        <v>Nelson</v>
      </c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06"/>
      <c r="B9" s="106"/>
      <c r="C9" s="106"/>
      <c r="D9" s="106"/>
      <c r="E9" s="106"/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hyperlinks>
    <hyperlink r:id="rId1" ref="A6"/>
    <hyperlink r:id="rId2" ref="A7"/>
    <hyperlink r:id="rId3" ref="A8"/>
  </hyperlinks>
  <drawing r:id="rId4"/>
  <tableParts count="3">
    <tablePart r:id="rId8"/>
    <tablePart r:id="rId9"/>
    <tablePart r:id="r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84" t="s">
        <v>6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335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)"),"Individual")</f>
        <v>Individual</v>
      </c>
      <c r="B5" s="98" t="str">
        <f>IFERROR(__xludf.DUMMYFUNCTION("""COMPUTED_VALUE"""),"Calling / Office")</f>
        <v>Calling / Office</v>
      </c>
      <c r="C5" s="98" t="str">
        <f>IFERROR(__xludf.DUMMYFUNCTION("""COMPUTED_VALUE"""),"Step")</f>
        <v>Step</v>
      </c>
      <c r="D5" s="99" t="str">
        <f>IFERROR(__xludf.DUMMYFUNCTION("""COMPUTED_VALUE"""),"Assigned")</f>
        <v>Assigned</v>
      </c>
      <c r="E5" s="99" t="str">
        <f>IFERROR(__xludf.DUMMYFUNCTION("""COMPUTED_VALUE"""),"Trainer")</f>
        <v>Trainer</v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05" t="str">
        <f>IFERROR(__xludf.DUMMYFUNCTION("""COMPUTED_VALUE"""),"Andrea Lowder")</f>
        <v>Andrea Lowder</v>
      </c>
      <c r="B6" s="106" t="str">
        <f>IFERROR(__xludf.DUMMYFUNCTION("""COMPUTED_VALUE"""),"Stake YW 1st Counselor")</f>
        <v>Stake YW 1st Counselor</v>
      </c>
      <c r="C6" s="106" t="str">
        <f>IFERROR(__xludf.DUMMYFUNCTION("""COMPUTED_VALUE"""),"Training")</f>
        <v>Training</v>
      </c>
      <c r="D6" s="106" t="str">
        <f>IFERROR(__xludf.DUMMYFUNCTION("""COMPUTED_VALUE"""),"B. Thorpe")</f>
        <v>B. Thorpe</v>
      </c>
      <c r="E6" s="106" t="str">
        <f>IFERROR(__xludf.DUMMYFUNCTION("""COMPUTED_VALUE"""),"B. Thorpe")</f>
        <v>B. Thorpe</v>
      </c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06"/>
      <c r="B7" s="106"/>
      <c r="C7" s="106"/>
      <c r="D7" s="106"/>
      <c r="E7" s="106"/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06"/>
      <c r="B8" s="106"/>
      <c r="C8" s="106"/>
      <c r="D8" s="106"/>
      <c r="E8" s="106"/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06"/>
      <c r="B9" s="106"/>
      <c r="C9" s="106"/>
      <c r="D9" s="106"/>
      <c r="E9" s="106"/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hyperlinks>
    <hyperlink r:id="rId1" ref="A6"/>
  </hyperlinks>
  <drawing r:id="rId2"/>
  <tableParts count="3">
    <tablePart r:id="rId6"/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84" t="s">
        <v>8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336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)"),"Individual")</f>
        <v>Individual</v>
      </c>
      <c r="B5" s="98" t="str">
        <f>IFERROR(__xludf.DUMMYFUNCTION("""COMPUTED_VALUE"""),"Calling / Office")</f>
        <v>Calling / Office</v>
      </c>
      <c r="C5" s="98" t="str">
        <f>IFERROR(__xludf.DUMMYFUNCTION("""COMPUTED_VALUE"""),"Step")</f>
        <v>Step</v>
      </c>
      <c r="D5" s="99" t="str">
        <f>IFERROR(__xludf.DUMMYFUNCTION("""COMPUTED_VALUE"""),"Assigned")</f>
        <v>Assigned</v>
      </c>
      <c r="E5" s="99" t="str">
        <f>IFERROR(__xludf.DUMMYFUNCTION("""COMPUTED_VALUE"""),"Trainer")</f>
        <v>Trainer</v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05" t="str">
        <f>IFERROR(__xludf.DUMMYFUNCTION("""COMPUTED_VALUE"""),"Jonathan Boegler")</f>
        <v>Jonathan Boegler</v>
      </c>
      <c r="B6" s="106" t="str">
        <f>IFERROR(__xludf.DUMMYFUNCTION("""COMPUTED_VALUE"""),"EQ 1st Counselor")</f>
        <v>EQ 1st Counselor</v>
      </c>
      <c r="C6" s="106" t="str">
        <f>IFERROR(__xludf.DUMMYFUNCTION("""COMPUTED_VALUE"""),"Training")</f>
        <v>Training</v>
      </c>
      <c r="D6" s="106" t="str">
        <f>IFERROR(__xludf.DUMMYFUNCTION("""COMPUTED_VALUE"""),"D. Thorpe")</f>
        <v>D. Thorpe</v>
      </c>
      <c r="E6" s="106" t="str">
        <f>IFERROR(__xludf.DUMMYFUNCTION("""COMPUTED_VALUE"""),"D. Thorpe")</f>
        <v>D. Thorpe</v>
      </c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06"/>
      <c r="B7" s="106"/>
      <c r="C7" s="106"/>
      <c r="D7" s="106"/>
      <c r="E7" s="106"/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06"/>
      <c r="B8" s="106"/>
      <c r="C8" s="106"/>
      <c r="D8" s="106"/>
      <c r="E8" s="106"/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06"/>
      <c r="B9" s="106"/>
      <c r="C9" s="106"/>
      <c r="D9" s="106"/>
      <c r="E9" s="106"/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hyperlinks>
    <hyperlink r:id="rId1" ref="A6"/>
  </hyperlinks>
  <drawing r:id="rId2"/>
  <tableParts count="3">
    <tablePart r:id="rId6"/>
    <tablePart r:id="rId7"/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84" t="s">
        <v>10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337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)"),"Individual")</f>
        <v>Individual</v>
      </c>
      <c r="B5" s="98" t="str">
        <f>IFERROR(__xludf.DUMMYFUNCTION("""COMPUTED_VALUE"""),"Calling / Office")</f>
        <v>Calling / Office</v>
      </c>
      <c r="C5" s="98" t="str">
        <f>IFERROR(__xludf.DUMMYFUNCTION("""COMPUTED_VALUE"""),"Step")</f>
        <v>Step</v>
      </c>
      <c r="D5" s="99" t="str">
        <f>IFERROR(__xludf.DUMMYFUNCTION("""COMPUTED_VALUE"""),"Assigned")</f>
        <v>Assigned</v>
      </c>
      <c r="E5" s="99" t="str">
        <f>IFERROR(__xludf.DUMMYFUNCTION("""COMPUTED_VALUE"""),"Trainer")</f>
        <v>Trainer</v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05" t="str">
        <f>IFERROR(__xludf.DUMMYFUNCTION("""COMPUTED_VALUE"""),"Temple McCrary")</f>
        <v>Temple McCrary</v>
      </c>
      <c r="B6" s="106" t="str">
        <f>IFERROR(__xludf.DUMMYFUNCTION("""COMPUTED_VALUE"""),"Stake Auditor")</f>
        <v>Stake Auditor</v>
      </c>
      <c r="C6" s="106" t="str">
        <f>IFERROR(__xludf.DUMMYFUNCTION("""COMPUTED_VALUE"""),"Call / Release")</f>
        <v>Call / Release</v>
      </c>
      <c r="D6" s="106" t="str">
        <f>IFERROR(__xludf.DUMMYFUNCTION("""COMPUTED_VALUE"""),"Pierce")</f>
        <v>Pierce</v>
      </c>
      <c r="E6" s="106"/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10" t="str">
        <f>IFERROR(__xludf.DUMMYFUNCTION("""COMPUTED_VALUE"""),"Taylor Smith")</f>
        <v>Taylor Smith</v>
      </c>
      <c r="B7" s="106" t="str">
        <f>IFERROR(__xludf.DUMMYFUNCTION("""COMPUTED_VALUE"""),"High Priest")</f>
        <v>High Priest</v>
      </c>
      <c r="C7" s="106" t="str">
        <f>IFERROR(__xludf.DUMMYFUNCTION("""COMPUTED_VALUE"""),"Cancelled")</f>
        <v>Cancelled</v>
      </c>
      <c r="D7" s="106"/>
      <c r="E7" s="106" t="str">
        <f>IFERROR(__xludf.DUMMYFUNCTION("""COMPUTED_VALUE""")," ")</f>
        <v> </v>
      </c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10" t="str">
        <f>IFERROR(__xludf.DUMMYFUNCTION("""COMPUTED_VALUE"""),"Gavin Johnson")</f>
        <v>Gavin Johnson</v>
      </c>
      <c r="B8" s="106" t="str">
        <f>IFERROR(__xludf.DUMMYFUNCTION("""COMPUTED_VALUE"""),"High Priest")</f>
        <v>High Priest</v>
      </c>
      <c r="C8" s="106" t="str">
        <f>IFERROR(__xludf.DUMMYFUNCTION("""COMPUTED_VALUE"""),"Ordination")</f>
        <v>Ordination</v>
      </c>
      <c r="D8" s="106" t="str">
        <f>IFERROR(__xludf.DUMMYFUNCTION("""COMPUTED_VALUE"""),"Earl")</f>
        <v>Earl</v>
      </c>
      <c r="E8" s="106" t="str">
        <f>IFERROR(__xludf.DUMMYFUNCTION("""COMPUTED_VALUE""")," ")</f>
        <v> </v>
      </c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10" t="str">
        <f>IFERROR(__xludf.DUMMYFUNCTION("""COMPUTED_VALUE"""),"Tristan Packard")</f>
        <v>Tristan Packard</v>
      </c>
      <c r="B9" s="106" t="str">
        <f>IFERROR(__xludf.DUMMYFUNCTION("""COMPUTED_VALUE"""),"High Priest")</f>
        <v>High Priest</v>
      </c>
      <c r="C9" s="106" t="str">
        <f>IFERROR(__xludf.DUMMYFUNCTION("""COMPUTED_VALUE"""),"Ordination")</f>
        <v>Ordination</v>
      </c>
      <c r="D9" s="106" t="str">
        <f>IFERROR(__xludf.DUMMYFUNCTION("""COMPUTED_VALUE"""),"Earl")</f>
        <v>Earl</v>
      </c>
      <c r="E9" s="106" t="str">
        <f>IFERROR(__xludf.DUMMYFUNCTION("""COMPUTED_VALUE""")," ")</f>
        <v> </v>
      </c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10" t="str">
        <f>IFERROR(__xludf.DUMMYFUNCTION("""COMPUTED_VALUE"""),"Gavin Johnson")</f>
        <v>Gavin Johnson</v>
      </c>
      <c r="B10" s="106" t="str">
        <f>IFERROR(__xludf.DUMMYFUNCTION("""COMPUTED_VALUE"""),"Bishopric 1st Counselor")</f>
        <v>Bishopric 1st Counselor</v>
      </c>
      <c r="C10" s="106" t="str">
        <f>IFERROR(__xludf.DUMMYFUNCTION("""COMPUTED_VALUE"""),"Set Apart")</f>
        <v>Set Apart</v>
      </c>
      <c r="D10" s="106" t="str">
        <f>IFERROR(__xludf.DUMMYFUNCTION("""COMPUTED_VALUE"""),"Earl")</f>
        <v>Earl</v>
      </c>
      <c r="E10" s="106" t="str">
        <f>IFERROR(__xludf.DUMMYFUNCTION("""COMPUTED_VALUE"""),"Earl")</f>
        <v>Earl</v>
      </c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10" t="str">
        <f>IFERROR(__xludf.DUMMYFUNCTION("""COMPUTED_VALUE"""),"Tristan Packard")</f>
        <v>Tristan Packard</v>
      </c>
      <c r="B11" s="106" t="str">
        <f>IFERROR(__xludf.DUMMYFUNCTION("""COMPUTED_VALUE"""),"Bishopric 2nd Counselor")</f>
        <v>Bishopric 2nd Counselor</v>
      </c>
      <c r="C11" s="106" t="str">
        <f>IFERROR(__xludf.DUMMYFUNCTION("""COMPUTED_VALUE"""),"Set Apart")</f>
        <v>Set Apart</v>
      </c>
      <c r="D11" s="106" t="str">
        <f>IFERROR(__xludf.DUMMYFUNCTION("""COMPUTED_VALUE"""),"Earl")</f>
        <v>Earl</v>
      </c>
      <c r="E11" s="106" t="str">
        <f>IFERROR(__xludf.DUMMYFUNCTION("""COMPUTED_VALUE"""),"Earl")</f>
        <v>Earl</v>
      </c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10" t="str">
        <f>IFERROR(__xludf.DUMMYFUNCTION("""COMPUTED_VALUE"""),"Sawyer Barney")</f>
        <v>Sawyer Barney</v>
      </c>
      <c r="B12" s="106" t="str">
        <f>IFERROR(__xludf.DUMMYFUNCTION("""COMPUTED_VALUE"""),"Executive Secretary")</f>
        <v>Executive Secretary</v>
      </c>
      <c r="C12" s="106" t="str">
        <f>IFERROR(__xludf.DUMMYFUNCTION("""COMPUTED_VALUE"""),"Training")</f>
        <v>Training</v>
      </c>
      <c r="D12" s="106" t="str">
        <f>IFERROR(__xludf.DUMMYFUNCTION("""COMPUTED_VALUE"""),"Earl")</f>
        <v>Earl</v>
      </c>
      <c r="E12" s="106" t="str">
        <f>IFERROR(__xludf.DUMMYFUNCTION("""COMPUTED_VALUE"""),"Hilgendorf")</f>
        <v>Hilgendorf</v>
      </c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10" t="str">
        <f>IFERROR(__xludf.DUMMYFUNCTION("""COMPUTED_VALUE"""),"Tanner Hickman")</f>
        <v>Tanner Hickman</v>
      </c>
      <c r="B13" s="106" t="str">
        <f>IFERROR(__xludf.DUMMYFUNCTION("""COMPUTED_VALUE"""),"Bishop")</f>
        <v>Bishop</v>
      </c>
      <c r="C13" s="106" t="str">
        <f>IFERROR(__xludf.DUMMYFUNCTION("""COMPUTED_VALUE"""),"Training")</f>
        <v>Training</v>
      </c>
      <c r="D13" s="106" t="str">
        <f>IFERROR(__xludf.DUMMYFUNCTION("""COMPUTED_VALUE"""),"Rawson")</f>
        <v>Rawson</v>
      </c>
      <c r="E13" s="106" t="str">
        <f>IFERROR(__xludf.DUMMYFUNCTION("""COMPUTED_VALUE"""),"Earl")</f>
        <v>Earl</v>
      </c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hyperlinks>
    <hyperlink r:id="rId1" ref="A6"/>
    <hyperlink r:id="rId2" ref="A7"/>
    <hyperlink r:id="rId3" ref="A8"/>
    <hyperlink r:id="rId4" ref="A9"/>
    <hyperlink r:id="rId5" ref="A10"/>
    <hyperlink r:id="rId6" ref="A11"/>
    <hyperlink r:id="rId7" ref="A12"/>
    <hyperlink r:id="rId8" ref="A13"/>
  </hyperlinks>
  <drawing r:id="rId9"/>
  <tableParts count="3">
    <tablePart r:id="rId13"/>
    <tablePart r:id="rId14"/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84" t="s">
        <v>12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338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)"),"Individual")</f>
        <v>Individual</v>
      </c>
      <c r="B5" s="98" t="str">
        <f>IFERROR(__xludf.DUMMYFUNCTION("""COMPUTED_VALUE"""),"Calling / Office")</f>
        <v>Calling / Office</v>
      </c>
      <c r="C5" s="98" t="str">
        <f>IFERROR(__xludf.DUMMYFUNCTION("""COMPUTED_VALUE"""),"Step")</f>
        <v>Step</v>
      </c>
      <c r="D5" s="99" t="str">
        <f>IFERROR(__xludf.DUMMYFUNCTION("""COMPUTED_VALUE"""),"Assigned")</f>
        <v>Assigned</v>
      </c>
      <c r="E5" s="99" t="str">
        <f>IFERROR(__xludf.DUMMYFUNCTION("""COMPUTED_VALUE"""),"Trainer")</f>
        <v>Trainer</v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05" t="str">
        <f>IFERROR(__xludf.DUMMYFUNCTION("""COMPUTED_VALUE"""),"Skyler Roper")</f>
        <v>Skyler Roper</v>
      </c>
      <c r="B6" s="106" t="str">
        <f>IFERROR(__xludf.DUMMYFUNCTION("""COMPUTED_VALUE"""),"High Priest")</f>
        <v>High Priest</v>
      </c>
      <c r="C6" s="106" t="str">
        <f>IFERROR(__xludf.DUMMYFUNCTION("""COMPUTED_VALUE"""),"Certificate")</f>
        <v>Certificate</v>
      </c>
      <c r="D6" s="106" t="str">
        <f>IFERROR(__xludf.DUMMYFUNCTION("""COMPUTED_VALUE"""),"Doty")</f>
        <v>Doty</v>
      </c>
      <c r="E6" s="106" t="str">
        <f>IFERROR(__xludf.DUMMYFUNCTION("""COMPUTED_VALUE""")," ")</f>
        <v> </v>
      </c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10" t="str">
        <f>IFERROR(__xludf.DUMMYFUNCTION("""COMPUTED_VALUE"""),"Del Sterling")</f>
        <v>Del Sterling</v>
      </c>
      <c r="B7" s="106" t="str">
        <f>IFERROR(__xludf.DUMMYFUNCTION("""COMPUTED_VALUE"""),"Branch Presidency 1st Counselor")</f>
        <v>Branch Presidency 1st Counselor</v>
      </c>
      <c r="C7" s="106" t="str">
        <f>IFERROR(__xludf.DUMMYFUNCTION("""COMPUTED_VALUE"""),"Training")</f>
        <v>Training</v>
      </c>
      <c r="D7" s="106" t="str">
        <f>IFERROR(__xludf.DUMMYFUNCTION("""COMPUTED_VALUE"""),"Earl")</f>
        <v>Earl</v>
      </c>
      <c r="E7" s="106" t="str">
        <f>IFERROR(__xludf.DUMMYFUNCTION("""COMPUTED_VALUE"""),"Earl")</f>
        <v>Earl</v>
      </c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10" t="str">
        <f>IFERROR(__xludf.DUMMYFUNCTION("""COMPUTED_VALUE"""),"Mark Witbeck")</f>
        <v>Mark Witbeck</v>
      </c>
      <c r="B8" s="106" t="str">
        <f>IFERROR(__xludf.DUMMYFUNCTION("""COMPUTED_VALUE"""),"Branch Presidency 2nd Counselor")</f>
        <v>Branch Presidency 2nd Counselor</v>
      </c>
      <c r="C8" s="106" t="str">
        <f>IFERROR(__xludf.DUMMYFUNCTION("""COMPUTED_VALUE"""),"Training")</f>
        <v>Training</v>
      </c>
      <c r="D8" s="106" t="str">
        <f>IFERROR(__xludf.DUMMYFUNCTION("""COMPUTED_VALUE"""),"Earl")</f>
        <v>Earl</v>
      </c>
      <c r="E8" s="106" t="str">
        <f>IFERROR(__xludf.DUMMYFUNCTION("""COMPUTED_VALUE"""),"Earl")</f>
        <v>Earl</v>
      </c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10" t="str">
        <f>IFERROR(__xludf.DUMMYFUNCTION("""COMPUTED_VALUE"""),"Skyler Roper")</f>
        <v>Skyler Roper</v>
      </c>
      <c r="B9" s="106" t="str">
        <f>IFERROR(__xludf.DUMMYFUNCTION("""COMPUTED_VALUE"""),"Branch President")</f>
        <v>Branch President</v>
      </c>
      <c r="C9" s="106" t="str">
        <f>IFERROR(__xludf.DUMMYFUNCTION("""COMPUTED_VALUE"""),"Training")</f>
        <v>Training</v>
      </c>
      <c r="D9" s="106" t="str">
        <f>IFERROR(__xludf.DUMMYFUNCTION("""COMPUTED_VALUE"""),"Rawson")</f>
        <v>Rawson</v>
      </c>
      <c r="E9" s="106" t="str">
        <f>IFERROR(__xludf.DUMMYFUNCTION("""COMPUTED_VALUE"""),"Earl")</f>
        <v>Earl</v>
      </c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hyperlinks>
    <hyperlink r:id="rId1" ref="A6"/>
    <hyperlink r:id="rId2" ref="A7"/>
    <hyperlink r:id="rId3" ref="A8"/>
    <hyperlink r:id="rId4" ref="A9"/>
  </hyperlinks>
  <drawing r:id="rId5"/>
  <tableParts count="3">
    <tablePart r:id="rId9"/>
    <tablePart r:id="rId10"/>
    <tablePart r:id="rId1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84" t="s">
        <v>14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339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)"),"No records found")</f>
        <v>No records found</v>
      </c>
      <c r="B5" s="98" t="str">
        <f>IFERROR(__xludf.DUMMYFUNCTION("""COMPUTED_VALUE"""),"")</f>
        <v/>
      </c>
      <c r="C5" s="98" t="str">
        <f>IFERROR(__xludf.DUMMYFUNCTION("""COMPUTED_VALUE"""),"")</f>
        <v/>
      </c>
      <c r="D5" s="99" t="str">
        <f>IFERROR(__xludf.DUMMYFUNCTION("""COMPUTED_VALUE"""),"")</f>
        <v/>
      </c>
      <c r="E5" s="99" t="str">
        <f>IFERROR(__xludf.DUMMYFUNCTION("""COMPUTED_VALUE"""),"")</f>
        <v/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11"/>
      <c r="B6" s="106"/>
      <c r="C6" s="106"/>
      <c r="D6" s="106"/>
      <c r="E6" s="106"/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06"/>
      <c r="B7" s="106"/>
      <c r="C7" s="106"/>
      <c r="D7" s="106"/>
      <c r="E7" s="106"/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06"/>
      <c r="B8" s="106"/>
      <c r="C8" s="106"/>
      <c r="D8" s="106"/>
      <c r="E8" s="106"/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06"/>
      <c r="B9" s="106"/>
      <c r="C9" s="106"/>
      <c r="D9" s="106"/>
      <c r="E9" s="106"/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drawing r:id="rId1"/>
  <tableParts count="3">
    <tablePart r:id="rId5"/>
    <tablePart r:id="rId6"/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84" t="s">
        <v>16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340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)"),"No records found")</f>
        <v>No records found</v>
      </c>
      <c r="B5" s="98" t="str">
        <f>IFERROR(__xludf.DUMMYFUNCTION("""COMPUTED_VALUE"""),"")</f>
        <v/>
      </c>
      <c r="C5" s="98" t="str">
        <f>IFERROR(__xludf.DUMMYFUNCTION("""COMPUTED_VALUE"""),"")</f>
        <v/>
      </c>
      <c r="D5" s="99" t="str">
        <f>IFERROR(__xludf.DUMMYFUNCTION("""COMPUTED_VALUE"""),"")</f>
        <v/>
      </c>
      <c r="E5" s="99" t="str">
        <f>IFERROR(__xludf.DUMMYFUNCTION("""COMPUTED_VALUE"""),"")</f>
        <v/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11"/>
      <c r="B6" s="106"/>
      <c r="C6" s="106"/>
      <c r="D6" s="106"/>
      <c r="E6" s="106"/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06"/>
      <c r="B7" s="106"/>
      <c r="C7" s="106"/>
      <c r="D7" s="106"/>
      <c r="E7" s="106"/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06"/>
      <c r="B8" s="106"/>
      <c r="C8" s="106"/>
      <c r="D8" s="106"/>
      <c r="E8" s="106"/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06"/>
      <c r="B9" s="106"/>
      <c r="C9" s="106"/>
      <c r="D9" s="106"/>
      <c r="E9" s="106"/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drawing r:id="rId1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112" t="s">
        <v>18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341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)"),"Individual")</f>
        <v>Individual</v>
      </c>
      <c r="B5" s="98" t="str">
        <f>IFERROR(__xludf.DUMMYFUNCTION("""COMPUTED_VALUE"""),"Calling / Office")</f>
        <v>Calling / Office</v>
      </c>
      <c r="C5" s="98" t="str">
        <f>IFERROR(__xludf.DUMMYFUNCTION("""COMPUTED_VALUE"""),"Step")</f>
        <v>Step</v>
      </c>
      <c r="D5" s="99" t="str">
        <f>IFERROR(__xludf.DUMMYFUNCTION("""COMPUTED_VALUE"""),"Assigned")</f>
        <v>Assigned</v>
      </c>
      <c r="E5" s="99" t="str">
        <f>IFERROR(__xludf.DUMMYFUNCTION("""COMPUTED_VALUE"""),"Trainer")</f>
        <v>Trainer</v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05" t="str">
        <f>IFERROR(__xludf.DUMMYFUNCTION("""COMPUTED_VALUE"""),"Barbara Miller")</f>
        <v>Barbara Miller</v>
      </c>
      <c r="B6" s="106" t="str">
        <f>IFERROR(__xludf.DUMMYFUNCTION("""COMPUTED_VALUE"""),"Stake YW Secretary")</f>
        <v>Stake YW Secretary</v>
      </c>
      <c r="C6" s="106" t="str">
        <f>IFERROR(__xludf.DUMMYFUNCTION("""COMPUTED_VALUE"""),"Training")</f>
        <v>Training</v>
      </c>
      <c r="D6" s="106" t="str">
        <f>IFERROR(__xludf.DUMMYFUNCTION("""COMPUTED_VALUE"""),"B. Thorpe")</f>
        <v>B. Thorpe</v>
      </c>
      <c r="E6" s="106" t="str">
        <f>IFERROR(__xludf.DUMMYFUNCTION("""COMPUTED_VALUE"""),"B. Thorpe")</f>
        <v>B. Thorpe</v>
      </c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06"/>
      <c r="B7" s="106"/>
      <c r="C7" s="106"/>
      <c r="D7" s="106"/>
      <c r="E7" s="106"/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06"/>
      <c r="B8" s="106"/>
      <c r="C8" s="106"/>
      <c r="D8" s="106"/>
      <c r="E8" s="106"/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06"/>
      <c r="B9" s="106"/>
      <c r="C9" s="106"/>
      <c r="D9" s="106"/>
      <c r="E9" s="106"/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hyperlinks>
    <hyperlink r:id="rId1" ref="A6"/>
  </hyperlinks>
  <drawing r:id="rId2"/>
  <tableParts count="3">
    <tablePart r:id="rId6"/>
    <tablePart r:id="rId7"/>
    <tablePart r:id="rId8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2" width="12.0"/>
    <col customWidth="1" min="3" max="3" width="9.38"/>
    <col customWidth="1" min="4" max="4" width="10.5"/>
    <col customWidth="1" min="5" max="5" width="10.0"/>
    <col customWidth="1" min="6" max="6" width="5.25"/>
    <col customWidth="1" min="7" max="7" width="16.63"/>
    <col customWidth="1" min="8" max="8" width="14.63"/>
    <col customWidth="1" min="9" max="9" width="20.0"/>
    <col customWidth="1" min="10" max="10" width="5.25"/>
    <col customWidth="1" min="11" max="11" width="19.63"/>
    <col customWidth="1" min="12" max="12" width="12.75"/>
    <col customWidth="1" min="13" max="13" width="19.13"/>
    <col customWidth="1" min="14" max="14" width="5.25"/>
  </cols>
  <sheetData>
    <row r="1">
      <c r="A1" s="112" t="s">
        <v>20</v>
      </c>
      <c r="B1" s="85" t="s">
        <v>330</v>
      </c>
      <c r="C1" s="86"/>
      <c r="E1" s="87"/>
      <c r="F1" s="88"/>
      <c r="G1" s="89" t="str">
        <f>hyperlink("https://docs.google.com/spreadsheets/d/1e2BOHVwG__zzJXOYlk6mqBmkq1gTDD6SafJrFhAFJMM/edit?gid=346688937#gid=346688937","Check Off Sheet")</f>
        <v>Check Off Sheet</v>
      </c>
      <c r="J1" s="90"/>
      <c r="K1" s="89" t="str">
        <f>hyperlink("https://docs.google.com/spreadsheets/d/1e2BOHVwG__zzJXOYlk6mqBmkq1gTDD6SafJrFhAFJMM/edit?gid=346688937#gid=346688937","Check Off Sheet")</f>
        <v>Check Off Sheet</v>
      </c>
      <c r="N1" s="90"/>
    </row>
    <row r="2" ht="9.75" customHeight="1">
      <c r="A2" s="39"/>
      <c r="B2" s="39"/>
      <c r="C2" s="39"/>
      <c r="D2" s="39"/>
      <c r="E2" s="39"/>
      <c r="F2" s="39"/>
      <c r="G2" s="42"/>
      <c r="H2" s="42"/>
      <c r="I2" s="39"/>
      <c r="J2" s="42"/>
      <c r="K2" s="42"/>
      <c r="L2" s="42"/>
      <c r="M2" s="39"/>
    </row>
    <row r="3" ht="24.75" customHeight="1">
      <c r="A3" s="91" t="s">
        <v>342</v>
      </c>
      <c r="B3" s="92"/>
      <c r="C3" s="92"/>
      <c r="D3" s="92"/>
      <c r="E3" s="92"/>
      <c r="F3" s="93"/>
      <c r="G3" s="94" t="s">
        <v>41</v>
      </c>
      <c r="H3" s="94"/>
      <c r="I3" s="94"/>
      <c r="J3" s="95"/>
      <c r="K3" s="96" t="s">
        <v>45</v>
      </c>
      <c r="L3" s="96"/>
      <c r="M3" s="96"/>
      <c r="N3" s="95"/>
    </row>
    <row r="4" ht="48.75" customHeight="1">
      <c r="A4" s="97" t="s">
        <v>332</v>
      </c>
      <c r="F4" s="97"/>
      <c r="G4" s="97" t="s">
        <v>333</v>
      </c>
      <c r="J4" s="40"/>
      <c r="K4" s="97" t="s">
        <v>334</v>
      </c>
      <c r="N4" s="40"/>
    </row>
    <row r="5">
      <c r="A5" s="98" t="str">
        <f>IFERROR(__xludf.DUMMYFUNCTION("IFERROR(
  ARRAYFORMULA({
    {""Individual"",""Calling / Office"",""Step"",""Assigned"",""Trainer""};
    SORT(
      FILTER(
        {
          IF(LEN('Status Board'!H2:H25),
             HYPERLINK('Status Board'!H2:H25,'Status Board'!B2:B25),
        "&amp;"     'Status Board'!B2:B25
          ),
          'Status Board'!C2:C25,
          'Status Board'!E2:E25,
          'Status Board'!F2:F25,
          'Status Board'!G2:G25
        },
        ('Status Board'!D2:D25=$A$1) *
        (LEN('Status Board'!B2:B25"&amp;")&gt;0) *
        ISNA(MATCH('Status Board'!E2:E25,
          {""Release"",""Sustain"",""Stake Interview"",""HC Approval"",""Pending Approval"",""Update System + LCR""},
          0
        ))
      ),
      3, TRUE, 1, TRUE
    )
  }),
  {""No records found"&amp;""","""","""","""",""""}
)"),"Individual")</f>
        <v>Individual</v>
      </c>
      <c r="B5" s="98" t="str">
        <f>IFERROR(__xludf.DUMMYFUNCTION("""COMPUTED_VALUE"""),"Calling / Office")</f>
        <v>Calling / Office</v>
      </c>
      <c r="C5" s="98" t="str">
        <f>IFERROR(__xludf.DUMMYFUNCTION("""COMPUTED_VALUE"""),"Step")</f>
        <v>Step</v>
      </c>
      <c r="D5" s="99" t="str">
        <f>IFERROR(__xludf.DUMMYFUNCTION("""COMPUTED_VALUE"""),"Assigned")</f>
        <v>Assigned</v>
      </c>
      <c r="E5" s="99" t="str">
        <f>IFERROR(__xludf.DUMMYFUNCTION("""COMPUTED_VALUE"""),"Trainer")</f>
        <v>Trainer</v>
      </c>
      <c r="F5" s="100"/>
      <c r="G5" s="101" t="str">
        <f>IFERROR(__xludf.DUMMYFUNCTION("VSTACK(
  QUERY(
    Sustainings!$A$3:$O25,
    ""Select A,B,D Where O = 'Active' and C='Release &amp; Thank' and "" &amp;
    SUBSTITUTE(ADDRESS(1, MATCH($A$1, Sustainings!$3:$3, 0), 4), ""1"", """") &amp;
    "" = False Order By C""
  ),
  {"""","""",""""},
  {""Th"&amp;"ose who wish to express their appreciation"","""",""""},
 {""may manifest it by the uplifted hand."","""",""""}
)
"),"Individual")</f>
        <v>Individual</v>
      </c>
      <c r="H5" s="101" t="str">
        <f>IFERROR(__xludf.DUMMYFUNCTION("""COMPUTED_VALUE"""),"Unit")</f>
        <v>Unit</v>
      </c>
      <c r="I5" s="102" t="str">
        <f>IFERROR(__xludf.DUMMYFUNCTION("""COMPUTED_VALUE"""),"Calling / Office")</f>
        <v>Calling / Office</v>
      </c>
      <c r="J5" s="40"/>
      <c r="K5" s="103" t="str">
        <f>IFERROR(__xludf.DUMMYFUNCTION("VSTACK(
  QUERY(
    Sustainings!$A$3:$O25,
    ""Select A,B,D Where O = 'Active' and C='Sustain' and "" &amp;
    SUBSTITUTE(ADDRESS(1, MATCH($A$1, Sustainings!$3:$3, 0), 4), ""1"", """") &amp;
    "" = False Order By C""
  ),
  {"""","""",""""},
  {""- Those in"&amp;" favor may manifest it by the uplifted hand ..."","""",""""},
  {""- Those opposed, if any, may manifest it ..."","""",""""}
)
"),"Individual")</f>
        <v>Individual</v>
      </c>
      <c r="L5" s="103" t="str">
        <f>IFERROR(__xludf.DUMMYFUNCTION("""COMPUTED_VALUE"""),"Unit")</f>
        <v>Unit</v>
      </c>
      <c r="M5" s="104" t="str">
        <f>IFERROR(__xludf.DUMMYFUNCTION("""COMPUTED_VALUE"""),"Calling / Office")</f>
        <v>Calling / Office</v>
      </c>
      <c r="N5" s="40"/>
    </row>
    <row r="6">
      <c r="A6" s="105" t="str">
        <f>IFERROR(__xludf.DUMMYFUNCTION("""COMPUTED_VALUE"""),"Clayton Hoekwater")</f>
        <v>Clayton Hoekwater</v>
      </c>
      <c r="B6" s="106" t="str">
        <f>IFERROR(__xludf.DUMMYFUNCTION("""COMPUTED_VALUE"""),"Elder")</f>
        <v>Elder</v>
      </c>
      <c r="C6" s="106" t="str">
        <f>IFERROR(__xludf.DUMMYFUNCTION("""COMPUTED_VALUE"""),"Certificate")</f>
        <v>Certificate</v>
      </c>
      <c r="D6" s="106" t="str">
        <f>IFERROR(__xludf.DUMMYFUNCTION("""COMPUTED_VALUE"""),"Conn")</f>
        <v>Conn</v>
      </c>
      <c r="E6" s="106" t="str">
        <f>IFERROR(__xludf.DUMMYFUNCTION("""COMPUTED_VALUE""")," ")</f>
        <v> </v>
      </c>
      <c r="F6" s="107"/>
      <c r="G6" s="108" t="str">
        <f>IFERROR(__xludf.DUMMYFUNCTION("""COMPUTED_VALUE"""),"")</f>
        <v/>
      </c>
      <c r="H6" s="108" t="str">
        <f>IFERROR(__xludf.DUMMYFUNCTION("""COMPUTED_VALUE"""),"")</f>
        <v/>
      </c>
      <c r="I6" s="106" t="str">
        <f>IFERROR(__xludf.DUMMYFUNCTION("""COMPUTED_VALUE"""),"")</f>
        <v/>
      </c>
      <c r="J6" s="109"/>
      <c r="K6" s="108" t="str">
        <f>IFERROR(__xludf.DUMMYFUNCTION("""COMPUTED_VALUE"""),"")</f>
        <v/>
      </c>
      <c r="L6" s="108" t="str">
        <f>IFERROR(__xludf.DUMMYFUNCTION("""COMPUTED_VALUE"""),"")</f>
        <v/>
      </c>
      <c r="M6" s="106" t="str">
        <f>IFERROR(__xludf.DUMMYFUNCTION("""COMPUTED_VALUE"""),"")</f>
        <v/>
      </c>
      <c r="N6" s="109"/>
    </row>
    <row r="7">
      <c r="A7" s="106"/>
      <c r="B7" s="106"/>
      <c r="C7" s="106"/>
      <c r="D7" s="106"/>
      <c r="E7" s="106"/>
      <c r="F7" s="107"/>
      <c r="G7" s="108" t="str">
        <f>IFERROR(__xludf.DUMMYFUNCTION("""COMPUTED_VALUE"""),"Those who wish to express their appreciation")</f>
        <v>Those who wish to express their appreciation</v>
      </c>
      <c r="H7" s="108" t="str">
        <f>IFERROR(__xludf.DUMMYFUNCTION("""COMPUTED_VALUE"""),"")</f>
        <v/>
      </c>
      <c r="I7" s="106" t="str">
        <f>IFERROR(__xludf.DUMMYFUNCTION("""COMPUTED_VALUE"""),"")</f>
        <v/>
      </c>
      <c r="J7" s="109"/>
      <c r="K7" s="108" t="str">
        <f>IFERROR(__xludf.DUMMYFUNCTION("""COMPUTED_VALUE"""),"- Those in favor may manifest it by the uplifted hand ...")</f>
        <v>- Those in favor may manifest it by the uplifted hand ...</v>
      </c>
      <c r="L7" s="108" t="str">
        <f>IFERROR(__xludf.DUMMYFUNCTION("""COMPUTED_VALUE"""),"")</f>
        <v/>
      </c>
      <c r="M7" s="106" t="str">
        <f>IFERROR(__xludf.DUMMYFUNCTION("""COMPUTED_VALUE"""),"")</f>
        <v/>
      </c>
      <c r="N7" s="109"/>
    </row>
    <row r="8">
      <c r="A8" s="106"/>
      <c r="B8" s="106"/>
      <c r="C8" s="106"/>
      <c r="D8" s="106"/>
      <c r="E8" s="106"/>
      <c r="F8" s="107"/>
      <c r="G8" s="108" t="str">
        <f>IFERROR(__xludf.DUMMYFUNCTION("""COMPUTED_VALUE"""),"may manifest it by the uplifted hand.")</f>
        <v>may manifest it by the uplifted hand.</v>
      </c>
      <c r="H8" s="108" t="str">
        <f>IFERROR(__xludf.DUMMYFUNCTION("""COMPUTED_VALUE"""),"")</f>
        <v/>
      </c>
      <c r="I8" s="106" t="str">
        <f>IFERROR(__xludf.DUMMYFUNCTION("""COMPUTED_VALUE"""),"")</f>
        <v/>
      </c>
      <c r="J8" s="109"/>
      <c r="K8" s="108" t="str">
        <f>IFERROR(__xludf.DUMMYFUNCTION("""COMPUTED_VALUE"""),"- Those opposed, if any, may manifest it ...")</f>
        <v>- Those opposed, if any, may manifest it ...</v>
      </c>
      <c r="L8" s="108" t="str">
        <f>IFERROR(__xludf.DUMMYFUNCTION("""COMPUTED_VALUE"""),"")</f>
        <v/>
      </c>
      <c r="M8" s="106" t="str">
        <f>IFERROR(__xludf.DUMMYFUNCTION("""COMPUTED_VALUE"""),"")</f>
        <v/>
      </c>
      <c r="N8" s="109"/>
    </row>
    <row r="9">
      <c r="A9" s="106"/>
      <c r="B9" s="106"/>
      <c r="C9" s="106"/>
      <c r="D9" s="106"/>
      <c r="E9" s="106"/>
      <c r="F9" s="107"/>
      <c r="G9" s="108"/>
      <c r="H9" s="108"/>
      <c r="I9" s="106"/>
      <c r="J9" s="109"/>
      <c r="K9" s="108"/>
      <c r="L9" s="108"/>
      <c r="M9" s="106"/>
      <c r="N9" s="109"/>
    </row>
    <row r="10">
      <c r="A10" s="106"/>
      <c r="B10" s="106"/>
      <c r="C10" s="106"/>
      <c r="D10" s="106"/>
      <c r="E10" s="106"/>
      <c r="F10" s="107"/>
      <c r="G10" s="108"/>
      <c r="H10" s="108"/>
      <c r="I10" s="106"/>
      <c r="J10" s="109"/>
      <c r="K10" s="108"/>
      <c r="L10" s="108"/>
      <c r="M10" s="106"/>
      <c r="N10" s="109"/>
    </row>
    <row r="11">
      <c r="A11" s="106"/>
      <c r="B11" s="106"/>
      <c r="C11" s="106"/>
      <c r="D11" s="106"/>
      <c r="E11" s="106"/>
      <c r="F11" s="107"/>
      <c r="G11" s="108"/>
      <c r="H11" s="108"/>
      <c r="I11" s="106"/>
      <c r="J11" s="109"/>
      <c r="K11" s="108"/>
      <c r="L11" s="108"/>
      <c r="M11" s="106"/>
      <c r="N11" s="109"/>
    </row>
    <row r="12">
      <c r="A12" s="106"/>
      <c r="B12" s="106"/>
      <c r="C12" s="106"/>
      <c r="D12" s="106"/>
      <c r="E12" s="106"/>
      <c r="F12" s="107"/>
      <c r="G12" s="108"/>
      <c r="H12" s="108"/>
      <c r="I12" s="106"/>
      <c r="J12" s="109"/>
      <c r="K12" s="108"/>
      <c r="L12" s="108"/>
      <c r="M12" s="106"/>
      <c r="N12" s="109"/>
    </row>
    <row r="13">
      <c r="A13" s="106"/>
      <c r="B13" s="106"/>
      <c r="C13" s="106"/>
      <c r="D13" s="106"/>
      <c r="E13" s="106"/>
      <c r="F13" s="107"/>
      <c r="G13" s="108"/>
      <c r="H13" s="108"/>
      <c r="I13" s="106"/>
      <c r="J13" s="109"/>
      <c r="K13" s="108"/>
      <c r="L13" s="108"/>
      <c r="M13" s="106"/>
      <c r="N13" s="109"/>
    </row>
    <row r="14">
      <c r="A14" s="106"/>
      <c r="B14" s="106"/>
      <c r="C14" s="106"/>
      <c r="D14" s="106"/>
      <c r="E14" s="106"/>
      <c r="F14" s="107"/>
      <c r="G14" s="108"/>
      <c r="H14" s="108"/>
      <c r="I14" s="106"/>
      <c r="J14" s="109"/>
      <c r="K14" s="108"/>
      <c r="L14" s="108"/>
      <c r="M14" s="106"/>
      <c r="N14" s="109"/>
    </row>
    <row r="15">
      <c r="A15" s="106"/>
      <c r="B15" s="106"/>
      <c r="C15" s="106"/>
      <c r="D15" s="106"/>
      <c r="E15" s="106"/>
      <c r="F15" s="107"/>
      <c r="G15" s="108"/>
      <c r="H15" s="108"/>
      <c r="I15" s="106"/>
      <c r="J15" s="109"/>
      <c r="K15" s="108"/>
      <c r="L15" s="108"/>
      <c r="M15" s="106"/>
      <c r="N15" s="109"/>
    </row>
    <row r="16">
      <c r="A16" s="106"/>
      <c r="B16" s="106"/>
      <c r="C16" s="106"/>
      <c r="D16" s="106"/>
      <c r="E16" s="106"/>
      <c r="F16" s="107"/>
      <c r="G16" s="108"/>
      <c r="H16" s="108"/>
      <c r="I16" s="106"/>
      <c r="J16" s="109"/>
      <c r="K16" s="108"/>
      <c r="L16" s="108"/>
      <c r="M16" s="106"/>
      <c r="N16" s="109"/>
    </row>
    <row r="17">
      <c r="A17" s="106"/>
      <c r="B17" s="106"/>
      <c r="C17" s="106"/>
      <c r="D17" s="106"/>
      <c r="E17" s="106"/>
      <c r="F17" s="107"/>
      <c r="G17" s="108"/>
      <c r="H17" s="108"/>
      <c r="I17" s="106"/>
      <c r="J17" s="109"/>
      <c r="K17" s="108"/>
      <c r="L17" s="108"/>
      <c r="M17" s="106"/>
      <c r="N17" s="109"/>
    </row>
    <row r="18">
      <c r="A18" s="106"/>
      <c r="B18" s="106"/>
      <c r="C18" s="106"/>
      <c r="D18" s="106"/>
      <c r="E18" s="106"/>
      <c r="F18" s="107"/>
      <c r="G18" s="108"/>
      <c r="H18" s="108"/>
      <c r="I18" s="106"/>
      <c r="J18" s="109"/>
      <c r="K18" s="108"/>
      <c r="L18" s="108"/>
      <c r="M18" s="106"/>
      <c r="N18" s="109"/>
    </row>
    <row r="19">
      <c r="A19" s="106"/>
      <c r="B19" s="106"/>
      <c r="C19" s="106"/>
      <c r="D19" s="106"/>
      <c r="E19" s="106"/>
      <c r="F19" s="107"/>
      <c r="G19" s="108"/>
      <c r="H19" s="108"/>
      <c r="I19" s="106"/>
      <c r="J19" s="109"/>
      <c r="K19" s="108"/>
      <c r="L19" s="108"/>
      <c r="M19" s="106"/>
      <c r="N19" s="109"/>
    </row>
    <row r="20">
      <c r="A20" s="106"/>
      <c r="B20" s="106"/>
      <c r="C20" s="106"/>
      <c r="D20" s="106"/>
      <c r="E20" s="106"/>
      <c r="F20" s="107"/>
      <c r="G20" s="108"/>
      <c r="H20" s="108"/>
      <c r="I20" s="106"/>
      <c r="J20" s="109"/>
      <c r="K20" s="108"/>
      <c r="L20" s="108"/>
      <c r="M20" s="106"/>
      <c r="N20" s="109"/>
    </row>
    <row r="21">
      <c r="A21" s="106"/>
      <c r="B21" s="106"/>
      <c r="C21" s="106"/>
      <c r="D21" s="106"/>
      <c r="E21" s="106"/>
      <c r="F21" s="107"/>
      <c r="G21" s="108"/>
      <c r="H21" s="108"/>
      <c r="I21" s="106"/>
      <c r="J21" s="109"/>
      <c r="K21" s="108"/>
      <c r="L21" s="108"/>
      <c r="M21" s="106"/>
      <c r="N21" s="109"/>
    </row>
    <row r="22">
      <c r="A22" s="106"/>
      <c r="B22" s="106"/>
      <c r="C22" s="106"/>
      <c r="D22" s="106"/>
      <c r="E22" s="106"/>
      <c r="F22" s="107"/>
      <c r="G22" s="108"/>
      <c r="H22" s="108"/>
      <c r="I22" s="106"/>
      <c r="J22" s="109"/>
      <c r="K22" s="108"/>
      <c r="L22" s="108"/>
      <c r="M22" s="106"/>
      <c r="N22" s="109"/>
    </row>
    <row r="23">
      <c r="A23" s="106"/>
      <c r="B23" s="106"/>
      <c r="C23" s="106"/>
      <c r="D23" s="106"/>
      <c r="E23" s="106"/>
      <c r="F23" s="107"/>
      <c r="G23" s="108"/>
      <c r="H23" s="108"/>
      <c r="I23" s="106"/>
      <c r="J23" s="109"/>
      <c r="K23" s="108"/>
      <c r="L23" s="108"/>
      <c r="M23" s="106"/>
      <c r="N23" s="109"/>
    </row>
    <row r="24">
      <c r="A24" s="106"/>
      <c r="B24" s="106"/>
      <c r="C24" s="106"/>
      <c r="D24" s="106"/>
      <c r="E24" s="106"/>
      <c r="F24" s="107"/>
      <c r="G24" s="108"/>
      <c r="H24" s="108"/>
      <c r="I24" s="106"/>
      <c r="J24" s="109"/>
      <c r="K24" s="108"/>
      <c r="L24" s="108"/>
      <c r="M24" s="106"/>
      <c r="N24" s="109"/>
    </row>
    <row r="25">
      <c r="A25" s="106"/>
      <c r="B25" s="106"/>
      <c r="C25" s="106"/>
      <c r="D25" s="106"/>
      <c r="E25" s="106"/>
      <c r="F25" s="107"/>
      <c r="G25" s="108"/>
      <c r="H25" s="108"/>
      <c r="I25" s="106"/>
      <c r="J25" s="109"/>
      <c r="K25" s="108"/>
      <c r="L25" s="108"/>
      <c r="M25" s="106"/>
      <c r="N25" s="109"/>
    </row>
  </sheetData>
  <mergeCells count="5">
    <mergeCell ref="G1:I1"/>
    <mergeCell ref="K1:M1"/>
    <mergeCell ref="A4:E4"/>
    <mergeCell ref="G4:I4"/>
    <mergeCell ref="K4:M4"/>
  </mergeCells>
  <conditionalFormatting sqref="G2:M25 A3">
    <cfRule type="expression" dxfId="5" priority="1">
      <formula>And($G$6="",$K$6="")</formula>
    </cfRule>
  </conditionalFormatting>
  <conditionalFormatting sqref="A1:C1 G1:G25 J1:K25 N1:N25 H2:I25">
    <cfRule type="beginsWith" dxfId="0" priority="2" operator="beginsWith" text="Those">
      <formula>LEFT((A1),LEN("Those"))=("Those")</formula>
    </cfRule>
  </conditionalFormatting>
  <conditionalFormatting sqref="A1:C1 G1:G25 J1:K25 N1:N25 H2:I25">
    <cfRule type="containsText" dxfId="0" priority="3" operator="containsText" text="manifest">
      <formula>NOT(ISERROR(SEARCH(("manifest"),(A1))))</formula>
    </cfRule>
  </conditionalFormatting>
  <conditionalFormatting sqref="D6:D25">
    <cfRule type="expression" dxfId="5" priority="4">
      <formula>$C6="Training"</formula>
    </cfRule>
  </conditionalFormatting>
  <conditionalFormatting sqref="E6:E25">
    <cfRule type="expression" dxfId="5" priority="5">
      <formula>$C6&lt;&gt;"Training"</formula>
    </cfRule>
  </conditionalFormatting>
  <conditionalFormatting sqref="C2:C3 C5:C25">
    <cfRule type="cellIs" dxfId="10" priority="6" operator="equal">
      <formula>"Training"</formula>
    </cfRule>
  </conditionalFormatting>
  <hyperlinks>
    <hyperlink r:id="rId1" ref="A6"/>
  </hyperlinks>
  <drawing r:id="rId2"/>
  <tableParts count="3">
    <tablePart r:id="rId6"/>
    <tablePart r:id="rId7"/>
    <tablePart r:id="rId8"/>
  </tableParts>
</worksheet>
</file>