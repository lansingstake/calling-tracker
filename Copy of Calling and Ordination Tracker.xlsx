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chris\Callings\"/>
    </mc:Choice>
  </mc:AlternateContent>
  <xr:revisionPtr revIDLastSave="0" documentId="13_ncr:1_{16EECC85-05EA-46C4-8FC6-E48307DAD91D}" xr6:coauthVersionLast="47" xr6:coauthVersionMax="47" xr10:uidLastSave="{00000000-0000-0000-0000-000000000000}"/>
  <bookViews>
    <workbookView xWindow="-7788" yWindow="-17388" windowWidth="30936" windowHeight="16776" activeTab="4" xr2:uid="{00000000-000D-0000-FFFF-FFFF00000000}"/>
  </bookViews>
  <sheets>
    <sheet name="Instructions" sheetId="2" r:id="rId1"/>
    <sheet name="Status Board" sheetId="3" r:id="rId2"/>
    <sheet name="Callings Releasings" sheetId="4" r:id="rId3"/>
    <sheet name="Ordinations" sheetId="5" r:id="rId4"/>
    <sheet name="Release Only" sheetId="6" r:id="rId5"/>
    <sheet name="History" sheetId="7" r:id="rId6"/>
    <sheet name="Email Message" sheetId="8" state="hidden" r:id="rId7"/>
  </sheets>
  <definedNames>
    <definedName name="_xlnm._FilterDatabase" localSheetId="2" hidden="1">'Callings Releasings'!$A$2:$AV$145</definedName>
    <definedName name="_xlnm._FilterDatabase" localSheetId="3" hidden="1">Ordinations!$A$2:$AQ$28</definedName>
    <definedName name="_xlnm._FilterDatabase" localSheetId="4" hidden="1">'Release Only'!$D$2:$D$18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89" i="7" l="1"/>
  <c r="H189" i="7"/>
  <c r="G189" i="7"/>
  <c r="F189" i="7"/>
  <c r="E189" i="7"/>
  <c r="D189" i="7"/>
  <c r="C189" i="7"/>
  <c r="B189" i="7"/>
  <c r="A189" i="7"/>
  <c r="I188" i="7"/>
  <c r="H188" i="7"/>
  <c r="G188" i="7"/>
  <c r="F188" i="7"/>
  <c r="E188" i="7"/>
  <c r="D188" i="7"/>
  <c r="C188" i="7"/>
  <c r="B188" i="7"/>
  <c r="A188" i="7"/>
  <c r="I187" i="7"/>
  <c r="H187" i="7"/>
  <c r="G187" i="7"/>
  <c r="F187" i="7"/>
  <c r="E187" i="7"/>
  <c r="D187" i="7"/>
  <c r="C187" i="7"/>
  <c r="B187" i="7"/>
  <c r="A187" i="7"/>
  <c r="I186" i="7"/>
  <c r="H186" i="7"/>
  <c r="G186" i="7"/>
  <c r="F186" i="7"/>
  <c r="E186" i="7"/>
  <c r="D186" i="7"/>
  <c r="C186" i="7"/>
  <c r="B186" i="7"/>
  <c r="A186" i="7"/>
  <c r="I185" i="7"/>
  <c r="H185" i="7"/>
  <c r="G185" i="7"/>
  <c r="F185" i="7"/>
  <c r="E185" i="7"/>
  <c r="D185" i="7"/>
  <c r="C185" i="7"/>
  <c r="B185" i="7"/>
  <c r="A185" i="7"/>
  <c r="I184" i="7"/>
  <c r="H184" i="7"/>
  <c r="G184" i="7"/>
  <c r="F184" i="7"/>
  <c r="E184" i="7"/>
  <c r="D184" i="7"/>
  <c r="C184" i="7"/>
  <c r="B184" i="7"/>
  <c r="A184" i="7"/>
  <c r="I183" i="7"/>
  <c r="H183" i="7"/>
  <c r="G183" i="7"/>
  <c r="F183" i="7"/>
  <c r="E183" i="7"/>
  <c r="D183" i="7"/>
  <c r="C183" i="7"/>
  <c r="B183" i="7"/>
  <c r="A183" i="7"/>
  <c r="I182" i="7"/>
  <c r="H182" i="7"/>
  <c r="G182" i="7"/>
  <c r="F182" i="7"/>
  <c r="E182" i="7"/>
  <c r="D182" i="7"/>
  <c r="C182" i="7"/>
  <c r="B182" i="7"/>
  <c r="A182" i="7"/>
  <c r="I181" i="7"/>
  <c r="H181" i="7"/>
  <c r="G181" i="7"/>
  <c r="F181" i="7"/>
  <c r="E181" i="7"/>
  <c r="D181" i="7"/>
  <c r="C181" i="7"/>
  <c r="B181" i="7"/>
  <c r="A181" i="7"/>
  <c r="I180" i="7"/>
  <c r="H180" i="7"/>
  <c r="G180" i="7"/>
  <c r="F180" i="7"/>
  <c r="E180" i="7"/>
  <c r="D180" i="7"/>
  <c r="C180" i="7"/>
  <c r="B180" i="7"/>
  <c r="A180" i="7"/>
  <c r="I179" i="7"/>
  <c r="H179" i="7"/>
  <c r="G179" i="7"/>
  <c r="F179" i="7"/>
  <c r="E179" i="7"/>
  <c r="D179" i="7"/>
  <c r="C179" i="7"/>
  <c r="B179" i="7"/>
  <c r="A179" i="7"/>
  <c r="I178" i="7"/>
  <c r="H178" i="7"/>
  <c r="G178" i="7"/>
  <c r="F178" i="7"/>
  <c r="E178" i="7"/>
  <c r="D178" i="7"/>
  <c r="C178" i="7"/>
  <c r="B178" i="7"/>
  <c r="A178" i="7"/>
  <c r="I177" i="7"/>
  <c r="H177" i="7"/>
  <c r="G177" i="7"/>
  <c r="F177" i="7"/>
  <c r="E177" i="7"/>
  <c r="D177" i="7"/>
  <c r="C177" i="7"/>
  <c r="B177" i="7"/>
  <c r="A177" i="7"/>
  <c r="I176" i="7"/>
  <c r="G176" i="7"/>
  <c r="F176" i="7"/>
  <c r="E176" i="7"/>
  <c r="D176" i="7"/>
  <c r="C176" i="7"/>
  <c r="B176" i="7"/>
  <c r="A176" i="7"/>
  <c r="I175" i="7"/>
  <c r="G175" i="7"/>
  <c r="F175" i="7"/>
  <c r="E175" i="7"/>
  <c r="D175" i="7"/>
  <c r="C175" i="7"/>
  <c r="B175" i="7"/>
  <c r="A175" i="7"/>
  <c r="I174" i="7"/>
  <c r="H174" i="7"/>
  <c r="G174" i="7"/>
  <c r="F174" i="7"/>
  <c r="E174" i="7"/>
  <c r="D174" i="7"/>
  <c r="C174" i="7"/>
  <c r="B174" i="7"/>
  <c r="A174" i="7"/>
  <c r="I173" i="7"/>
  <c r="G173" i="7"/>
  <c r="F173" i="7"/>
  <c r="E173" i="7"/>
  <c r="D173" i="7"/>
  <c r="C173" i="7"/>
  <c r="B173" i="7"/>
  <c r="A173" i="7"/>
  <c r="I172" i="7"/>
  <c r="H172" i="7"/>
  <c r="G172" i="7"/>
  <c r="F172" i="7"/>
  <c r="E172" i="7"/>
  <c r="D172" i="7"/>
  <c r="C172" i="7"/>
  <c r="B172" i="7"/>
  <c r="A172" i="7"/>
  <c r="I171" i="7"/>
  <c r="G171" i="7"/>
  <c r="F171" i="7"/>
  <c r="E171" i="7"/>
  <c r="D171" i="7"/>
  <c r="C171" i="7"/>
  <c r="B171" i="7"/>
  <c r="A171" i="7"/>
  <c r="I170" i="7"/>
  <c r="H170" i="7"/>
  <c r="G170" i="7"/>
  <c r="F170" i="7"/>
  <c r="E170" i="7"/>
  <c r="D170" i="7"/>
  <c r="C170" i="7"/>
  <c r="B170" i="7"/>
  <c r="A170" i="7"/>
  <c r="I169" i="7"/>
  <c r="H169" i="7"/>
  <c r="G169" i="7"/>
  <c r="F169" i="7"/>
  <c r="E169" i="7"/>
  <c r="D169" i="7"/>
  <c r="C169" i="7"/>
  <c r="B169" i="7"/>
  <c r="A169" i="7"/>
  <c r="I168" i="7"/>
  <c r="H168" i="7"/>
  <c r="G168" i="7"/>
  <c r="F168" i="7"/>
  <c r="E168" i="7"/>
  <c r="D168" i="7"/>
  <c r="C168" i="7"/>
  <c r="B168" i="7"/>
  <c r="A168" i="7"/>
  <c r="I167" i="7"/>
  <c r="H167" i="7"/>
  <c r="G167" i="7"/>
  <c r="F167" i="7"/>
  <c r="E167" i="7"/>
  <c r="D167" i="7"/>
  <c r="C167" i="7"/>
  <c r="B167" i="7"/>
  <c r="A167" i="7"/>
  <c r="I166" i="7"/>
  <c r="H166" i="7"/>
  <c r="G166" i="7"/>
  <c r="F166" i="7"/>
  <c r="E166" i="7"/>
  <c r="D166" i="7"/>
  <c r="C166" i="7"/>
  <c r="B166" i="7"/>
  <c r="A166" i="7"/>
  <c r="I165" i="7"/>
  <c r="H165" i="7"/>
  <c r="G165" i="7"/>
  <c r="F165" i="7"/>
  <c r="E165" i="7"/>
  <c r="D165" i="7"/>
  <c r="C165" i="7"/>
  <c r="B165" i="7"/>
  <c r="A165" i="7"/>
  <c r="I164" i="7"/>
  <c r="H164" i="7"/>
  <c r="G164" i="7"/>
  <c r="F164" i="7"/>
  <c r="E164" i="7"/>
  <c r="D164" i="7"/>
  <c r="C164" i="7"/>
  <c r="B164" i="7"/>
  <c r="A164" i="7"/>
  <c r="I163" i="7"/>
  <c r="H163" i="7"/>
  <c r="G163" i="7"/>
  <c r="F163" i="7"/>
  <c r="E163" i="7"/>
  <c r="D163" i="7"/>
  <c r="C163" i="7"/>
  <c r="B163" i="7"/>
  <c r="A163" i="7"/>
  <c r="I162" i="7"/>
  <c r="H162" i="7"/>
  <c r="G162" i="7"/>
  <c r="F162" i="7"/>
  <c r="E162" i="7"/>
  <c r="D162" i="7"/>
  <c r="C162" i="7"/>
  <c r="B162" i="7"/>
  <c r="A162" i="7"/>
  <c r="I161" i="7"/>
  <c r="H161" i="7"/>
  <c r="G161" i="7"/>
  <c r="F161" i="7"/>
  <c r="E161" i="7"/>
  <c r="D161" i="7"/>
  <c r="C161" i="7"/>
  <c r="B161" i="7"/>
  <c r="A161" i="7"/>
  <c r="I160" i="7"/>
  <c r="H160" i="7"/>
  <c r="G160" i="7"/>
  <c r="F160" i="7"/>
  <c r="E160" i="7"/>
  <c r="D160" i="7"/>
  <c r="C160" i="7"/>
  <c r="B160" i="7"/>
  <c r="A160" i="7"/>
  <c r="I159" i="7"/>
  <c r="H159" i="7"/>
  <c r="G159" i="7"/>
  <c r="F159" i="7"/>
  <c r="E159" i="7"/>
  <c r="D159" i="7"/>
  <c r="C159" i="7"/>
  <c r="B159" i="7"/>
  <c r="A159" i="7"/>
  <c r="I158" i="7"/>
  <c r="H158" i="7"/>
  <c r="G158" i="7"/>
  <c r="F158" i="7"/>
  <c r="E158" i="7"/>
  <c r="D158" i="7"/>
  <c r="C158" i="7"/>
  <c r="B158" i="7"/>
  <c r="A158" i="7"/>
  <c r="I157" i="7"/>
  <c r="H157" i="7"/>
  <c r="G157" i="7"/>
  <c r="F157" i="7"/>
  <c r="E157" i="7"/>
  <c r="D157" i="7"/>
  <c r="C157" i="7"/>
  <c r="B157" i="7"/>
  <c r="A157" i="7"/>
  <c r="I156" i="7"/>
  <c r="H156" i="7"/>
  <c r="G156" i="7"/>
  <c r="F156" i="7"/>
  <c r="E156" i="7"/>
  <c r="D156" i="7"/>
  <c r="C156" i="7"/>
  <c r="B156" i="7"/>
  <c r="A156" i="7"/>
  <c r="I155" i="7"/>
  <c r="H155" i="7"/>
  <c r="G155" i="7"/>
  <c r="F155" i="7"/>
  <c r="E155" i="7"/>
  <c r="D155" i="7"/>
  <c r="C155" i="7"/>
  <c r="B155" i="7"/>
  <c r="A155" i="7"/>
  <c r="I154" i="7"/>
  <c r="H154" i="7"/>
  <c r="G154" i="7"/>
  <c r="F154" i="7"/>
  <c r="E154" i="7"/>
  <c r="D154" i="7"/>
  <c r="C154" i="7"/>
  <c r="B154" i="7"/>
  <c r="A154" i="7"/>
  <c r="I153" i="7"/>
  <c r="H153" i="7"/>
  <c r="G153" i="7"/>
  <c r="F153" i="7"/>
  <c r="E153" i="7"/>
  <c r="D153" i="7"/>
  <c r="C153" i="7"/>
  <c r="B153" i="7"/>
  <c r="A153" i="7"/>
  <c r="I152" i="7"/>
  <c r="H152" i="7"/>
  <c r="G152" i="7"/>
  <c r="F152" i="7"/>
  <c r="E152" i="7"/>
  <c r="D152" i="7"/>
  <c r="C152" i="7"/>
  <c r="B152" i="7"/>
  <c r="A152" i="7"/>
  <c r="I151" i="7"/>
  <c r="H151" i="7"/>
  <c r="G151" i="7"/>
  <c r="F151" i="7"/>
  <c r="E151" i="7"/>
  <c r="D151" i="7"/>
  <c r="C151" i="7"/>
  <c r="B151" i="7"/>
  <c r="A151" i="7"/>
  <c r="I150" i="7"/>
  <c r="H150" i="7"/>
  <c r="G150" i="7"/>
  <c r="F150" i="7"/>
  <c r="E150" i="7"/>
  <c r="D150" i="7"/>
  <c r="C150" i="7"/>
  <c r="B150" i="7"/>
  <c r="A150" i="7"/>
  <c r="I149" i="7"/>
  <c r="H149" i="7"/>
  <c r="G149" i="7"/>
  <c r="F149" i="7"/>
  <c r="E149" i="7"/>
  <c r="D149" i="7"/>
  <c r="C149" i="7"/>
  <c r="B149" i="7"/>
  <c r="A149" i="7"/>
  <c r="I148" i="7"/>
  <c r="H148" i="7"/>
  <c r="G148" i="7"/>
  <c r="F148" i="7"/>
  <c r="E148" i="7"/>
  <c r="D148" i="7"/>
  <c r="C148" i="7"/>
  <c r="B148" i="7"/>
  <c r="A148" i="7"/>
  <c r="I147" i="7"/>
  <c r="H147" i="7"/>
  <c r="G147" i="7"/>
  <c r="F147" i="7"/>
  <c r="E147" i="7"/>
  <c r="D147" i="7"/>
  <c r="C147" i="7"/>
  <c r="B147" i="7"/>
  <c r="A147" i="7"/>
  <c r="I146" i="7"/>
  <c r="H146" i="7"/>
  <c r="G146" i="7"/>
  <c r="F146" i="7"/>
  <c r="E146" i="7"/>
  <c r="D146" i="7"/>
  <c r="C146" i="7"/>
  <c r="B146" i="7"/>
  <c r="A146" i="7"/>
  <c r="I145" i="7"/>
  <c r="H145" i="7"/>
  <c r="G145" i="7"/>
  <c r="F145" i="7"/>
  <c r="E145" i="7"/>
  <c r="D145" i="7"/>
  <c r="C145" i="7"/>
  <c r="B145" i="7"/>
  <c r="A145" i="7"/>
  <c r="I144" i="7"/>
  <c r="H144" i="7"/>
  <c r="G144" i="7"/>
  <c r="F144" i="7"/>
  <c r="E144" i="7"/>
  <c r="D144" i="7"/>
  <c r="C144" i="7"/>
  <c r="B144" i="7"/>
  <c r="A144" i="7"/>
  <c r="I143" i="7"/>
  <c r="H143" i="7"/>
  <c r="F143" i="7"/>
  <c r="E143" i="7"/>
  <c r="D143" i="7"/>
  <c r="C143" i="7"/>
  <c r="B143" i="7"/>
  <c r="A143" i="7"/>
  <c r="I142" i="7"/>
  <c r="H142" i="7"/>
  <c r="G142" i="7"/>
  <c r="F142" i="7"/>
  <c r="E142" i="7"/>
  <c r="D142" i="7"/>
  <c r="C142" i="7"/>
  <c r="B142" i="7"/>
  <c r="A142" i="7"/>
  <c r="I141" i="7"/>
  <c r="H141" i="7"/>
  <c r="G141" i="7"/>
  <c r="F141" i="7"/>
  <c r="E141" i="7"/>
  <c r="D141" i="7"/>
  <c r="C141" i="7"/>
  <c r="B141" i="7"/>
  <c r="A141" i="7"/>
  <c r="I140" i="7"/>
  <c r="H140" i="7"/>
  <c r="G140" i="7"/>
  <c r="F140" i="7"/>
  <c r="E140" i="7"/>
  <c r="D140" i="7"/>
  <c r="C140" i="7"/>
  <c r="B140" i="7"/>
  <c r="A140" i="7"/>
  <c r="I139" i="7"/>
  <c r="H139" i="7"/>
  <c r="G139" i="7"/>
  <c r="F139" i="7"/>
  <c r="E139" i="7"/>
  <c r="D139" i="7"/>
  <c r="C139" i="7"/>
  <c r="B139" i="7"/>
  <c r="A139" i="7"/>
  <c r="I138" i="7"/>
  <c r="H138" i="7"/>
  <c r="F138" i="7"/>
  <c r="E138" i="7"/>
  <c r="D138" i="7"/>
  <c r="C138" i="7"/>
  <c r="B138" i="7"/>
  <c r="A138" i="7"/>
  <c r="I137" i="7"/>
  <c r="H137" i="7"/>
  <c r="G137" i="7"/>
  <c r="F137" i="7"/>
  <c r="E137" i="7"/>
  <c r="D137" i="7"/>
  <c r="C137" i="7"/>
  <c r="B137" i="7"/>
  <c r="A137" i="7"/>
  <c r="I136" i="7"/>
  <c r="H136" i="7"/>
  <c r="G136" i="7"/>
  <c r="F136" i="7"/>
  <c r="E136" i="7"/>
  <c r="D136" i="7"/>
  <c r="C136" i="7"/>
  <c r="B136" i="7"/>
  <c r="A136" i="7"/>
  <c r="I135" i="7"/>
  <c r="H135" i="7"/>
  <c r="G135" i="7"/>
  <c r="F135" i="7"/>
  <c r="E135" i="7"/>
  <c r="D135" i="7"/>
  <c r="C135" i="7"/>
  <c r="B135" i="7"/>
  <c r="A135" i="7"/>
  <c r="I134" i="7"/>
  <c r="G134" i="7"/>
  <c r="F134" i="7"/>
  <c r="E134" i="7"/>
  <c r="D134" i="7"/>
  <c r="C134" i="7"/>
  <c r="B134" i="7"/>
  <c r="A134" i="7"/>
  <c r="I133" i="7"/>
  <c r="H133" i="7"/>
  <c r="G133" i="7"/>
  <c r="F133" i="7"/>
  <c r="E133" i="7"/>
  <c r="D133" i="7"/>
  <c r="C133" i="7"/>
  <c r="B133" i="7"/>
  <c r="A133" i="7"/>
  <c r="I132" i="7"/>
  <c r="H132" i="7"/>
  <c r="G132" i="7"/>
  <c r="F132" i="7"/>
  <c r="E132" i="7"/>
  <c r="D132" i="7"/>
  <c r="C132" i="7"/>
  <c r="B132" i="7"/>
  <c r="A132" i="7"/>
  <c r="I131" i="7"/>
  <c r="H131" i="7"/>
  <c r="G131" i="7"/>
  <c r="F131" i="7"/>
  <c r="E131" i="7"/>
  <c r="D131" i="7"/>
  <c r="C131" i="7"/>
  <c r="B131" i="7"/>
  <c r="A131" i="7"/>
  <c r="I130" i="7"/>
  <c r="H130" i="7"/>
  <c r="G130" i="7"/>
  <c r="F130" i="7"/>
  <c r="E130" i="7"/>
  <c r="D130" i="7"/>
  <c r="C130" i="7"/>
  <c r="B130" i="7"/>
  <c r="A130" i="7"/>
  <c r="I129" i="7"/>
  <c r="H129" i="7"/>
  <c r="G129" i="7"/>
  <c r="F129" i="7"/>
  <c r="E129" i="7"/>
  <c r="D129" i="7"/>
  <c r="C129" i="7"/>
  <c r="B129" i="7"/>
  <c r="A129" i="7"/>
  <c r="I128" i="7"/>
  <c r="H128" i="7"/>
  <c r="G128" i="7"/>
  <c r="F128" i="7"/>
  <c r="E128" i="7"/>
  <c r="D128" i="7"/>
  <c r="C128" i="7"/>
  <c r="B128" i="7"/>
  <c r="A128" i="7"/>
  <c r="I127" i="7"/>
  <c r="G127" i="7"/>
  <c r="F127" i="7"/>
  <c r="E127" i="7"/>
  <c r="D127" i="7"/>
  <c r="C127" i="7"/>
  <c r="B127" i="7"/>
  <c r="A127" i="7"/>
  <c r="I126" i="7"/>
  <c r="H126" i="7"/>
  <c r="G126" i="7"/>
  <c r="F126" i="7"/>
  <c r="E126" i="7"/>
  <c r="D126" i="7"/>
  <c r="C126" i="7"/>
  <c r="B126" i="7"/>
  <c r="A126" i="7"/>
  <c r="I125" i="7"/>
  <c r="G125" i="7"/>
  <c r="F125" i="7"/>
  <c r="E125" i="7"/>
  <c r="D125" i="7"/>
  <c r="C125" i="7"/>
  <c r="B125" i="7"/>
  <c r="A125" i="7"/>
  <c r="I124" i="7"/>
  <c r="G124" i="7"/>
  <c r="F124" i="7"/>
  <c r="E124" i="7"/>
  <c r="D124" i="7"/>
  <c r="C124" i="7"/>
  <c r="B124" i="7"/>
  <c r="A124" i="7"/>
  <c r="I123" i="7"/>
  <c r="G123" i="7"/>
  <c r="F123" i="7"/>
  <c r="E123" i="7"/>
  <c r="D123" i="7"/>
  <c r="C123" i="7"/>
  <c r="B123" i="7"/>
  <c r="A123" i="7"/>
  <c r="I122" i="7"/>
  <c r="H122" i="7"/>
  <c r="G122" i="7"/>
  <c r="F122" i="7"/>
  <c r="E122" i="7"/>
  <c r="D122" i="7"/>
  <c r="C122" i="7"/>
  <c r="B122" i="7"/>
  <c r="A122" i="7"/>
  <c r="I121" i="7"/>
  <c r="H121" i="7"/>
  <c r="F121" i="7"/>
  <c r="E121" i="7"/>
  <c r="D121" i="7"/>
  <c r="C121" i="7"/>
  <c r="B121" i="7"/>
  <c r="A121" i="7"/>
  <c r="I120" i="7"/>
  <c r="H120" i="7"/>
  <c r="G120" i="7"/>
  <c r="F120" i="7"/>
  <c r="E120" i="7"/>
  <c r="D120" i="7"/>
  <c r="C120" i="7"/>
  <c r="B120" i="7"/>
  <c r="A120" i="7"/>
  <c r="I119" i="7"/>
  <c r="H119" i="7"/>
  <c r="G119" i="7"/>
  <c r="F119" i="7"/>
  <c r="E119" i="7"/>
  <c r="D119" i="7"/>
  <c r="C119" i="7"/>
  <c r="B119" i="7"/>
  <c r="A119" i="7"/>
  <c r="I118" i="7"/>
  <c r="H118" i="7"/>
  <c r="F118" i="7"/>
  <c r="E118" i="7"/>
  <c r="D118" i="7"/>
  <c r="C118" i="7"/>
  <c r="B118" i="7"/>
  <c r="A118" i="7"/>
  <c r="I117" i="7"/>
  <c r="H117" i="7"/>
  <c r="G117" i="7"/>
  <c r="F117" i="7"/>
  <c r="E117" i="7"/>
  <c r="D117" i="7"/>
  <c r="C117" i="7"/>
  <c r="B117" i="7"/>
  <c r="A117" i="7"/>
  <c r="I116" i="7"/>
  <c r="H116" i="7"/>
  <c r="G116" i="7"/>
  <c r="F116" i="7"/>
  <c r="E116" i="7"/>
  <c r="D116" i="7"/>
  <c r="C116" i="7"/>
  <c r="B116" i="7"/>
  <c r="A116" i="7"/>
  <c r="I115" i="7"/>
  <c r="H115" i="7"/>
  <c r="G115" i="7"/>
  <c r="F115" i="7"/>
  <c r="E115" i="7"/>
  <c r="D115" i="7"/>
  <c r="C115" i="7"/>
  <c r="B115" i="7"/>
  <c r="A115" i="7"/>
  <c r="I114" i="7"/>
  <c r="H114" i="7"/>
  <c r="G114" i="7"/>
  <c r="F114" i="7"/>
  <c r="E114" i="7"/>
  <c r="D114" i="7"/>
  <c r="C114" i="7"/>
  <c r="B114" i="7"/>
  <c r="A114" i="7"/>
  <c r="I113" i="7"/>
  <c r="H113" i="7"/>
  <c r="G113" i="7"/>
  <c r="F113" i="7"/>
  <c r="E113" i="7"/>
  <c r="D113" i="7"/>
  <c r="C113" i="7"/>
  <c r="B113" i="7"/>
  <c r="A113" i="7"/>
  <c r="I112" i="7"/>
  <c r="H112" i="7"/>
  <c r="G112" i="7"/>
  <c r="F112" i="7"/>
  <c r="E112" i="7"/>
  <c r="D112" i="7"/>
  <c r="C112" i="7"/>
  <c r="B112" i="7"/>
  <c r="A112" i="7"/>
  <c r="I111" i="7"/>
  <c r="H111" i="7"/>
  <c r="G111" i="7"/>
  <c r="F111" i="7"/>
  <c r="E111" i="7"/>
  <c r="D111" i="7"/>
  <c r="C111" i="7"/>
  <c r="B111" i="7"/>
  <c r="A111" i="7"/>
  <c r="I110" i="7"/>
  <c r="H110" i="7"/>
  <c r="G110" i="7"/>
  <c r="F110" i="7"/>
  <c r="E110" i="7"/>
  <c r="D110" i="7"/>
  <c r="C110" i="7"/>
  <c r="B110" i="7"/>
  <c r="A110" i="7"/>
  <c r="I109" i="7"/>
  <c r="H109" i="7"/>
  <c r="G109" i="7"/>
  <c r="F109" i="7"/>
  <c r="E109" i="7"/>
  <c r="D109" i="7"/>
  <c r="C109" i="7"/>
  <c r="B109" i="7"/>
  <c r="A109" i="7"/>
  <c r="I108" i="7"/>
  <c r="H108" i="7"/>
  <c r="G108" i="7"/>
  <c r="F108" i="7"/>
  <c r="E108" i="7"/>
  <c r="D108" i="7"/>
  <c r="C108" i="7"/>
  <c r="B108" i="7"/>
  <c r="A108" i="7"/>
  <c r="I107" i="7"/>
  <c r="H107" i="7"/>
  <c r="G107" i="7"/>
  <c r="F107" i="7"/>
  <c r="E107" i="7"/>
  <c r="D107" i="7"/>
  <c r="C107" i="7"/>
  <c r="B107" i="7"/>
  <c r="A107" i="7"/>
  <c r="I106" i="7"/>
  <c r="H106" i="7"/>
  <c r="G106" i="7"/>
  <c r="F106" i="7"/>
  <c r="E106" i="7"/>
  <c r="D106" i="7"/>
  <c r="C106" i="7"/>
  <c r="B106" i="7"/>
  <c r="A106" i="7"/>
  <c r="I105" i="7"/>
  <c r="H105" i="7"/>
  <c r="G105" i="7"/>
  <c r="F105" i="7"/>
  <c r="E105" i="7"/>
  <c r="D105" i="7"/>
  <c r="C105" i="7"/>
  <c r="B105" i="7"/>
  <c r="A105" i="7"/>
  <c r="I104" i="7"/>
  <c r="H104" i="7"/>
  <c r="G104" i="7"/>
  <c r="F104" i="7"/>
  <c r="E104" i="7"/>
  <c r="D104" i="7"/>
  <c r="C104" i="7"/>
  <c r="B104" i="7"/>
  <c r="A104" i="7"/>
  <c r="I103" i="7"/>
  <c r="G103" i="7"/>
  <c r="F103" i="7"/>
  <c r="E103" i="7"/>
  <c r="D103" i="7"/>
  <c r="C103" i="7"/>
  <c r="B103" i="7"/>
  <c r="A103" i="7"/>
  <c r="I102" i="7"/>
  <c r="H102" i="7"/>
  <c r="G102" i="7"/>
  <c r="F102" i="7"/>
  <c r="E102" i="7"/>
  <c r="D102" i="7"/>
  <c r="C102" i="7"/>
  <c r="B102" i="7"/>
  <c r="A102" i="7"/>
  <c r="I101" i="7"/>
  <c r="H101" i="7"/>
  <c r="G101" i="7"/>
  <c r="F101" i="7"/>
  <c r="E101" i="7"/>
  <c r="D101" i="7"/>
  <c r="C101" i="7"/>
  <c r="B101" i="7"/>
  <c r="A101" i="7"/>
  <c r="I100" i="7"/>
  <c r="H100" i="7"/>
  <c r="G100" i="7"/>
  <c r="F100" i="7"/>
  <c r="E100" i="7"/>
  <c r="D100" i="7"/>
  <c r="C100" i="7"/>
  <c r="B100" i="7"/>
  <c r="A100" i="7"/>
  <c r="I99" i="7"/>
  <c r="H99" i="7"/>
  <c r="G99" i="7"/>
  <c r="F99" i="7"/>
  <c r="E99" i="7"/>
  <c r="D99" i="7"/>
  <c r="C99" i="7"/>
  <c r="B99" i="7"/>
  <c r="A99" i="7"/>
  <c r="I98" i="7"/>
  <c r="H98" i="7"/>
  <c r="G98" i="7"/>
  <c r="F98" i="7"/>
  <c r="E98" i="7"/>
  <c r="D98" i="7"/>
  <c r="C98" i="7"/>
  <c r="B98" i="7"/>
  <c r="A98" i="7"/>
  <c r="I97" i="7"/>
  <c r="H97" i="7"/>
  <c r="G97" i="7"/>
  <c r="F97" i="7"/>
  <c r="E97" i="7"/>
  <c r="D97" i="7"/>
  <c r="C97" i="7"/>
  <c r="B97" i="7"/>
  <c r="A97" i="7"/>
  <c r="I96" i="7"/>
  <c r="H96" i="7"/>
  <c r="G96" i="7"/>
  <c r="F96" i="7"/>
  <c r="E96" i="7"/>
  <c r="D96" i="7"/>
  <c r="C96" i="7"/>
  <c r="B96" i="7"/>
  <c r="A96" i="7"/>
  <c r="I95" i="7"/>
  <c r="H95" i="7"/>
  <c r="G95" i="7"/>
  <c r="F95" i="7"/>
  <c r="E95" i="7"/>
  <c r="D95" i="7"/>
  <c r="C95" i="7"/>
  <c r="B95" i="7"/>
  <c r="A95" i="7"/>
  <c r="I94" i="7"/>
  <c r="H94" i="7"/>
  <c r="G94" i="7"/>
  <c r="F94" i="7"/>
  <c r="E94" i="7"/>
  <c r="D94" i="7"/>
  <c r="C94" i="7"/>
  <c r="B94" i="7"/>
  <c r="A94" i="7"/>
  <c r="I93" i="7"/>
  <c r="H93" i="7"/>
  <c r="G93" i="7"/>
  <c r="F93" i="7"/>
  <c r="E93" i="7"/>
  <c r="D93" i="7"/>
  <c r="C93" i="7"/>
  <c r="B93" i="7"/>
  <c r="A93" i="7"/>
  <c r="I92" i="7"/>
  <c r="H92" i="7"/>
  <c r="G92" i="7"/>
  <c r="F92" i="7"/>
  <c r="E92" i="7"/>
  <c r="D92" i="7"/>
  <c r="C92" i="7"/>
  <c r="B92" i="7"/>
  <c r="A92" i="7"/>
  <c r="I91" i="7"/>
  <c r="H91" i="7"/>
  <c r="G91" i="7"/>
  <c r="F91" i="7"/>
  <c r="E91" i="7"/>
  <c r="D91" i="7"/>
  <c r="C91" i="7"/>
  <c r="B91" i="7"/>
  <c r="A91" i="7"/>
  <c r="I90" i="7"/>
  <c r="H90" i="7"/>
  <c r="G90" i="7"/>
  <c r="F90" i="7"/>
  <c r="E90" i="7"/>
  <c r="D90" i="7"/>
  <c r="C90" i="7"/>
  <c r="B90" i="7"/>
  <c r="A90" i="7"/>
  <c r="I89" i="7"/>
  <c r="G89" i="7"/>
  <c r="F89" i="7"/>
  <c r="E89" i="7"/>
  <c r="D89" i="7"/>
  <c r="C89" i="7"/>
  <c r="B89" i="7"/>
  <c r="A89" i="7"/>
  <c r="I88" i="7"/>
  <c r="H88" i="7"/>
  <c r="G88" i="7"/>
  <c r="F88" i="7"/>
  <c r="E88" i="7"/>
  <c r="D88" i="7"/>
  <c r="C88" i="7"/>
  <c r="B88" i="7"/>
  <c r="A88" i="7"/>
  <c r="I87" i="7"/>
  <c r="G87" i="7"/>
  <c r="F87" i="7"/>
  <c r="E87" i="7"/>
  <c r="D87" i="7"/>
  <c r="C87" i="7"/>
  <c r="B87" i="7"/>
  <c r="A87" i="7"/>
  <c r="I86" i="7"/>
  <c r="H86" i="7"/>
  <c r="G86" i="7"/>
  <c r="F86" i="7"/>
  <c r="E86" i="7"/>
  <c r="D86" i="7"/>
  <c r="C86" i="7"/>
  <c r="B86" i="7"/>
  <c r="A86" i="7"/>
  <c r="I85" i="7"/>
  <c r="H85" i="7"/>
  <c r="G85" i="7"/>
  <c r="F85" i="7"/>
  <c r="E85" i="7"/>
  <c r="D85" i="7"/>
  <c r="C85" i="7"/>
  <c r="B85" i="7"/>
  <c r="A85" i="7"/>
  <c r="I84" i="7"/>
  <c r="H84" i="7"/>
  <c r="G84" i="7"/>
  <c r="F84" i="7"/>
  <c r="E84" i="7"/>
  <c r="D84" i="7"/>
  <c r="C84" i="7"/>
  <c r="B84" i="7"/>
  <c r="A84" i="7"/>
  <c r="I83" i="7"/>
  <c r="H83" i="7"/>
  <c r="G83" i="7"/>
  <c r="F83" i="7"/>
  <c r="E83" i="7"/>
  <c r="D83" i="7"/>
  <c r="C83" i="7"/>
  <c r="B83" i="7"/>
  <c r="A83" i="7"/>
  <c r="I82" i="7"/>
  <c r="H82" i="7"/>
  <c r="G82" i="7"/>
  <c r="F82" i="7"/>
  <c r="E82" i="7"/>
  <c r="D82" i="7"/>
  <c r="C82" i="7"/>
  <c r="B82" i="7"/>
  <c r="A82" i="7"/>
  <c r="I81" i="7"/>
  <c r="H81" i="7"/>
  <c r="G81" i="7"/>
  <c r="F81" i="7"/>
  <c r="E81" i="7"/>
  <c r="D81" i="7"/>
  <c r="C81" i="7"/>
  <c r="B81" i="7"/>
  <c r="A81" i="7"/>
  <c r="I80" i="7"/>
  <c r="H80" i="7"/>
  <c r="G80" i="7"/>
  <c r="F80" i="7"/>
  <c r="E80" i="7"/>
  <c r="D80" i="7"/>
  <c r="C80" i="7"/>
  <c r="B80" i="7"/>
  <c r="A80" i="7"/>
  <c r="I79" i="7"/>
  <c r="H79" i="7"/>
  <c r="G79" i="7"/>
  <c r="F79" i="7"/>
  <c r="E79" i="7"/>
  <c r="D79" i="7"/>
  <c r="C79" i="7"/>
  <c r="B79" i="7"/>
  <c r="A79" i="7"/>
  <c r="I78" i="7"/>
  <c r="G78" i="7"/>
  <c r="F78" i="7"/>
  <c r="E78" i="7"/>
  <c r="D78" i="7"/>
  <c r="C78" i="7"/>
  <c r="B78" i="7"/>
  <c r="A78" i="7"/>
  <c r="I77" i="7"/>
  <c r="H77" i="7"/>
  <c r="G77" i="7"/>
  <c r="F77" i="7"/>
  <c r="E77" i="7"/>
  <c r="D77" i="7"/>
  <c r="C77" i="7"/>
  <c r="B77" i="7"/>
  <c r="A77" i="7"/>
  <c r="I76" i="7"/>
  <c r="H76" i="7"/>
  <c r="G76" i="7"/>
  <c r="F76" i="7"/>
  <c r="E76" i="7"/>
  <c r="D76" i="7"/>
  <c r="C76" i="7"/>
  <c r="B76" i="7"/>
  <c r="A76" i="7"/>
  <c r="I75" i="7"/>
  <c r="H75" i="7"/>
  <c r="G75" i="7"/>
  <c r="F75" i="7"/>
  <c r="E75" i="7"/>
  <c r="D75" i="7"/>
  <c r="C75" i="7"/>
  <c r="B75" i="7"/>
  <c r="A75" i="7"/>
  <c r="I74" i="7"/>
  <c r="H74" i="7"/>
  <c r="G74" i="7"/>
  <c r="F74" i="7"/>
  <c r="E74" i="7"/>
  <c r="D74" i="7"/>
  <c r="C74" i="7"/>
  <c r="B74" i="7"/>
  <c r="A74" i="7"/>
  <c r="I73" i="7"/>
  <c r="H73" i="7"/>
  <c r="G73" i="7"/>
  <c r="F73" i="7"/>
  <c r="E73" i="7"/>
  <c r="D73" i="7"/>
  <c r="C73" i="7"/>
  <c r="B73" i="7"/>
  <c r="A73" i="7"/>
  <c r="I72" i="7"/>
  <c r="H72" i="7"/>
  <c r="G72" i="7"/>
  <c r="F72" i="7"/>
  <c r="E72" i="7"/>
  <c r="D72" i="7"/>
  <c r="C72" i="7"/>
  <c r="B72" i="7"/>
  <c r="A72" i="7"/>
  <c r="I71" i="7"/>
  <c r="H71" i="7"/>
  <c r="G71" i="7"/>
  <c r="F71" i="7"/>
  <c r="E71" i="7"/>
  <c r="D71" i="7"/>
  <c r="C71" i="7"/>
  <c r="B71" i="7"/>
  <c r="A71" i="7"/>
  <c r="I70" i="7"/>
  <c r="H70" i="7"/>
  <c r="G70" i="7"/>
  <c r="F70" i="7"/>
  <c r="E70" i="7"/>
  <c r="D70" i="7"/>
  <c r="C70" i="7"/>
  <c r="B70" i="7"/>
  <c r="A70" i="7"/>
  <c r="I69" i="7"/>
  <c r="G69" i="7"/>
  <c r="F69" i="7"/>
  <c r="E69" i="7"/>
  <c r="D69" i="7"/>
  <c r="C69" i="7"/>
  <c r="B69" i="7"/>
  <c r="A69" i="7"/>
  <c r="I68" i="7"/>
  <c r="H68" i="7"/>
  <c r="G68" i="7"/>
  <c r="F68" i="7"/>
  <c r="E68" i="7"/>
  <c r="D68" i="7"/>
  <c r="C68" i="7"/>
  <c r="B68" i="7"/>
  <c r="A68" i="7"/>
  <c r="I67" i="7"/>
  <c r="H67" i="7"/>
  <c r="G67" i="7"/>
  <c r="F67" i="7"/>
  <c r="E67" i="7"/>
  <c r="D67" i="7"/>
  <c r="C67" i="7"/>
  <c r="B67" i="7"/>
  <c r="A67" i="7"/>
  <c r="I66" i="7"/>
  <c r="H66" i="7"/>
  <c r="G66" i="7"/>
  <c r="F66" i="7"/>
  <c r="E66" i="7"/>
  <c r="D66" i="7"/>
  <c r="C66" i="7"/>
  <c r="B66" i="7"/>
  <c r="A66" i="7"/>
  <c r="I65" i="7"/>
  <c r="H65" i="7"/>
  <c r="G65" i="7"/>
  <c r="F65" i="7"/>
  <c r="E65" i="7"/>
  <c r="D65" i="7"/>
  <c r="C65" i="7"/>
  <c r="B65" i="7"/>
  <c r="A65" i="7"/>
  <c r="I64" i="7"/>
  <c r="H64" i="7"/>
  <c r="G64" i="7"/>
  <c r="F64" i="7"/>
  <c r="E64" i="7"/>
  <c r="D64" i="7"/>
  <c r="C64" i="7"/>
  <c r="B64" i="7"/>
  <c r="A64" i="7"/>
  <c r="I63" i="7"/>
  <c r="H63" i="7"/>
  <c r="G63" i="7"/>
  <c r="F63" i="7"/>
  <c r="E63" i="7"/>
  <c r="D63" i="7"/>
  <c r="C63" i="7"/>
  <c r="B63" i="7"/>
  <c r="A63" i="7"/>
  <c r="I62" i="7"/>
  <c r="H62" i="7"/>
  <c r="G62" i="7"/>
  <c r="F62" i="7"/>
  <c r="E62" i="7"/>
  <c r="D62" i="7"/>
  <c r="C62" i="7"/>
  <c r="B62" i="7"/>
  <c r="A62" i="7"/>
  <c r="I61" i="7"/>
  <c r="H61" i="7"/>
  <c r="F61" i="7"/>
  <c r="E61" i="7"/>
  <c r="D61" i="7"/>
  <c r="C61" i="7"/>
  <c r="B61" i="7"/>
  <c r="A61" i="7"/>
  <c r="I60" i="7"/>
  <c r="G60" i="7"/>
  <c r="F60" i="7"/>
  <c r="E60" i="7"/>
  <c r="D60" i="7"/>
  <c r="C60" i="7"/>
  <c r="B60" i="7"/>
  <c r="A60" i="7"/>
  <c r="I59" i="7"/>
  <c r="G59" i="7"/>
  <c r="F59" i="7"/>
  <c r="E59" i="7"/>
  <c r="D59" i="7"/>
  <c r="C59" i="7"/>
  <c r="B59" i="7"/>
  <c r="A59" i="7"/>
  <c r="I58" i="7"/>
  <c r="H58" i="7"/>
  <c r="G58" i="7"/>
  <c r="F58" i="7"/>
  <c r="E58" i="7"/>
  <c r="D58" i="7"/>
  <c r="C58" i="7"/>
  <c r="B58" i="7"/>
  <c r="A58" i="7"/>
  <c r="I57" i="7"/>
  <c r="H57" i="7"/>
  <c r="G57" i="7"/>
  <c r="F57" i="7"/>
  <c r="E57" i="7"/>
  <c r="D57" i="7"/>
  <c r="C57" i="7"/>
  <c r="B57" i="7"/>
  <c r="A57" i="7"/>
  <c r="I56" i="7"/>
  <c r="H56" i="7"/>
  <c r="G56" i="7"/>
  <c r="F56" i="7"/>
  <c r="E56" i="7"/>
  <c r="D56" i="7"/>
  <c r="C56" i="7"/>
  <c r="B56" i="7"/>
  <c r="A56" i="7"/>
  <c r="I55" i="7"/>
  <c r="H55" i="7"/>
  <c r="G55" i="7"/>
  <c r="F55" i="7"/>
  <c r="E55" i="7"/>
  <c r="D55" i="7"/>
  <c r="C55" i="7"/>
  <c r="B55" i="7"/>
  <c r="A55" i="7"/>
  <c r="I54" i="7"/>
  <c r="H54" i="7"/>
  <c r="G54" i="7"/>
  <c r="F54" i="7"/>
  <c r="E54" i="7"/>
  <c r="D54" i="7"/>
  <c r="C54" i="7"/>
  <c r="B54" i="7"/>
  <c r="A54" i="7"/>
  <c r="I53" i="7"/>
  <c r="H53" i="7"/>
  <c r="G53" i="7"/>
  <c r="F53" i="7"/>
  <c r="E53" i="7"/>
  <c r="D53" i="7"/>
  <c r="C53" i="7"/>
  <c r="B53" i="7"/>
  <c r="A53" i="7"/>
  <c r="I52" i="7"/>
  <c r="H52" i="7"/>
  <c r="G52" i="7"/>
  <c r="F52" i="7"/>
  <c r="E52" i="7"/>
  <c r="D52" i="7"/>
  <c r="C52" i="7"/>
  <c r="B52" i="7"/>
  <c r="A52" i="7"/>
  <c r="I51" i="7"/>
  <c r="H51" i="7"/>
  <c r="G51" i="7"/>
  <c r="F51" i="7"/>
  <c r="E51" i="7"/>
  <c r="D51" i="7"/>
  <c r="C51" i="7"/>
  <c r="B51" i="7"/>
  <c r="A51" i="7"/>
  <c r="I50" i="7"/>
  <c r="H50" i="7"/>
  <c r="G50" i="7"/>
  <c r="F50" i="7"/>
  <c r="E50" i="7"/>
  <c r="D50" i="7"/>
  <c r="C50" i="7"/>
  <c r="B50" i="7"/>
  <c r="A50" i="7"/>
  <c r="I49" i="7"/>
  <c r="H49" i="7"/>
  <c r="G49" i="7"/>
  <c r="F49" i="7"/>
  <c r="E49" i="7"/>
  <c r="D49" i="7"/>
  <c r="C49" i="7"/>
  <c r="B49" i="7"/>
  <c r="A49" i="7"/>
  <c r="I48" i="7"/>
  <c r="H48" i="7"/>
  <c r="G48" i="7"/>
  <c r="F48" i="7"/>
  <c r="E48" i="7"/>
  <c r="D48" i="7"/>
  <c r="C48" i="7"/>
  <c r="B48" i="7"/>
  <c r="A48" i="7"/>
  <c r="I47" i="7"/>
  <c r="H47" i="7"/>
  <c r="G47" i="7"/>
  <c r="F47" i="7"/>
  <c r="E47" i="7"/>
  <c r="D47" i="7"/>
  <c r="C47" i="7"/>
  <c r="B47" i="7"/>
  <c r="A47" i="7"/>
  <c r="I46" i="7"/>
  <c r="H46" i="7"/>
  <c r="G46" i="7"/>
  <c r="F46" i="7"/>
  <c r="E46" i="7"/>
  <c r="D46" i="7"/>
  <c r="C46" i="7"/>
  <c r="B46" i="7"/>
  <c r="A46" i="7"/>
  <c r="I45" i="7"/>
  <c r="H45" i="7"/>
  <c r="G45" i="7"/>
  <c r="F45" i="7"/>
  <c r="E45" i="7"/>
  <c r="D45" i="7"/>
  <c r="C45" i="7"/>
  <c r="B45" i="7"/>
  <c r="A45" i="7"/>
  <c r="I44" i="7"/>
  <c r="H44" i="7"/>
  <c r="G44" i="7"/>
  <c r="F44" i="7"/>
  <c r="E44" i="7"/>
  <c r="D44" i="7"/>
  <c r="C44" i="7"/>
  <c r="B44" i="7"/>
  <c r="A44" i="7"/>
  <c r="I43" i="7"/>
  <c r="G43" i="7"/>
  <c r="F43" i="7"/>
  <c r="E43" i="7"/>
  <c r="D43" i="7"/>
  <c r="C43" i="7"/>
  <c r="B43" i="7"/>
  <c r="A43" i="7"/>
  <c r="I42" i="7"/>
  <c r="H42" i="7"/>
  <c r="G42" i="7"/>
  <c r="F42" i="7"/>
  <c r="E42" i="7"/>
  <c r="D42" i="7"/>
  <c r="C42" i="7"/>
  <c r="B42" i="7"/>
  <c r="A42" i="7"/>
  <c r="I41" i="7"/>
  <c r="H41" i="7"/>
  <c r="G41" i="7"/>
  <c r="F41" i="7"/>
  <c r="E41" i="7"/>
  <c r="D41" i="7"/>
  <c r="C41" i="7"/>
  <c r="B41" i="7"/>
  <c r="A41" i="7"/>
  <c r="I40" i="7"/>
  <c r="G40" i="7"/>
  <c r="F40" i="7"/>
  <c r="E40" i="7"/>
  <c r="D40" i="7"/>
  <c r="C40" i="7"/>
  <c r="B40" i="7"/>
  <c r="A40" i="7"/>
  <c r="I39" i="7"/>
  <c r="H39" i="7"/>
  <c r="G39" i="7"/>
  <c r="F39" i="7"/>
  <c r="E39" i="7"/>
  <c r="D39" i="7"/>
  <c r="C39" i="7"/>
  <c r="B39" i="7"/>
  <c r="A39" i="7"/>
  <c r="I38" i="7"/>
  <c r="G38" i="7"/>
  <c r="F38" i="7"/>
  <c r="E38" i="7"/>
  <c r="D38" i="7"/>
  <c r="C38" i="7"/>
  <c r="B38" i="7"/>
  <c r="A38" i="7"/>
  <c r="I37" i="7"/>
  <c r="H37" i="7"/>
  <c r="G37" i="7"/>
  <c r="F37" i="7"/>
  <c r="E37" i="7"/>
  <c r="D37" i="7"/>
  <c r="C37" i="7"/>
  <c r="B37" i="7"/>
  <c r="A37" i="7"/>
  <c r="I36" i="7"/>
  <c r="H36" i="7"/>
  <c r="G36" i="7"/>
  <c r="F36" i="7"/>
  <c r="E36" i="7"/>
  <c r="D36" i="7"/>
  <c r="C36" i="7"/>
  <c r="B36" i="7"/>
  <c r="A36" i="7"/>
  <c r="I35" i="7"/>
  <c r="H35" i="7"/>
  <c r="G35" i="7"/>
  <c r="F35" i="7"/>
  <c r="E35" i="7"/>
  <c r="D35" i="7"/>
  <c r="C35" i="7"/>
  <c r="B35" i="7"/>
  <c r="A35" i="7"/>
  <c r="I34" i="7"/>
  <c r="H34" i="7"/>
  <c r="G34" i="7"/>
  <c r="F34" i="7"/>
  <c r="E34" i="7"/>
  <c r="D34" i="7"/>
  <c r="C34" i="7"/>
  <c r="B34" i="7"/>
  <c r="A34" i="7"/>
  <c r="I33" i="7"/>
  <c r="H33" i="7"/>
  <c r="G33" i="7"/>
  <c r="F33" i="7"/>
  <c r="E33" i="7"/>
  <c r="D33" i="7"/>
  <c r="C33" i="7"/>
  <c r="B33" i="7"/>
  <c r="A33" i="7"/>
  <c r="I32" i="7"/>
  <c r="H32" i="7"/>
  <c r="G32" i="7"/>
  <c r="F32" i="7"/>
  <c r="E32" i="7"/>
  <c r="D32" i="7"/>
  <c r="C32" i="7"/>
  <c r="B32" i="7"/>
  <c r="A32" i="7"/>
  <c r="I31" i="7"/>
  <c r="H31" i="7"/>
  <c r="G31" i="7"/>
  <c r="F31" i="7"/>
  <c r="E31" i="7"/>
  <c r="D31" i="7"/>
  <c r="C31" i="7"/>
  <c r="B31" i="7"/>
  <c r="A31" i="7"/>
  <c r="I30" i="7"/>
  <c r="H30" i="7"/>
  <c r="G30" i="7"/>
  <c r="F30" i="7"/>
  <c r="E30" i="7"/>
  <c r="D30" i="7"/>
  <c r="C30" i="7"/>
  <c r="B30" i="7"/>
  <c r="A30" i="7"/>
  <c r="I29" i="7"/>
  <c r="H29" i="7"/>
  <c r="F29" i="7"/>
  <c r="E29" i="7"/>
  <c r="D29" i="7"/>
  <c r="C29" i="7"/>
  <c r="B29" i="7"/>
  <c r="A29" i="7"/>
  <c r="I28" i="7"/>
  <c r="H28" i="7"/>
  <c r="G28" i="7"/>
  <c r="F28" i="7"/>
  <c r="E28" i="7"/>
  <c r="D28" i="7"/>
  <c r="C28" i="7"/>
  <c r="B28" i="7"/>
  <c r="A28" i="7"/>
  <c r="I27" i="7"/>
  <c r="H27" i="7"/>
  <c r="G27" i="7"/>
  <c r="F27" i="7"/>
  <c r="E27" i="7"/>
  <c r="D27" i="7"/>
  <c r="C27" i="7"/>
  <c r="B27" i="7"/>
  <c r="A27" i="7"/>
  <c r="I26" i="7"/>
  <c r="H26" i="7"/>
  <c r="G26" i="7"/>
  <c r="F26" i="7"/>
  <c r="E26" i="7"/>
  <c r="D26" i="7"/>
  <c r="C26" i="7"/>
  <c r="B26" i="7"/>
  <c r="A26" i="7"/>
  <c r="I25" i="7"/>
  <c r="H25" i="7"/>
  <c r="G25" i="7"/>
  <c r="F25" i="7"/>
  <c r="E25" i="7"/>
  <c r="D25" i="7"/>
  <c r="C25" i="7"/>
  <c r="B25" i="7"/>
  <c r="A25" i="7"/>
  <c r="I24" i="7"/>
  <c r="H24" i="7"/>
  <c r="F24" i="7"/>
  <c r="E24" i="7"/>
  <c r="D24" i="7"/>
  <c r="C24" i="7"/>
  <c r="B24" i="7"/>
  <c r="A24" i="7"/>
  <c r="I23" i="7"/>
  <c r="G23" i="7"/>
  <c r="F23" i="7"/>
  <c r="E23" i="7"/>
  <c r="D23" i="7"/>
  <c r="C23" i="7"/>
  <c r="B23" i="7"/>
  <c r="A23" i="7"/>
  <c r="I22" i="7"/>
  <c r="H22" i="7"/>
  <c r="G22" i="7"/>
  <c r="F22" i="7"/>
  <c r="E22" i="7"/>
  <c r="D22" i="7"/>
  <c r="C22" i="7"/>
  <c r="B22" i="7"/>
  <c r="A22" i="7"/>
  <c r="I21" i="7"/>
  <c r="H21" i="7"/>
  <c r="G21" i="7"/>
  <c r="F21" i="7"/>
  <c r="E21" i="7"/>
  <c r="D21" i="7"/>
  <c r="C21" i="7"/>
  <c r="B21" i="7"/>
  <c r="A21" i="7"/>
  <c r="I20" i="7"/>
  <c r="H20" i="7"/>
  <c r="G20" i="7"/>
  <c r="F20" i="7"/>
  <c r="E20" i="7"/>
  <c r="D20" i="7"/>
  <c r="C20" i="7"/>
  <c r="B20" i="7"/>
  <c r="A20" i="7"/>
  <c r="I19" i="7"/>
  <c r="H19" i="7"/>
  <c r="G19" i="7"/>
  <c r="F19" i="7"/>
  <c r="E19" i="7"/>
  <c r="D19" i="7"/>
  <c r="C19" i="7"/>
  <c r="B19" i="7"/>
  <c r="A19" i="7"/>
  <c r="I18" i="7"/>
  <c r="H18" i="7"/>
  <c r="G18" i="7"/>
  <c r="F18" i="7"/>
  <c r="E18" i="7"/>
  <c r="D18" i="7"/>
  <c r="C18" i="7"/>
  <c r="B18" i="7"/>
  <c r="A18" i="7"/>
  <c r="I17" i="7"/>
  <c r="H17" i="7"/>
  <c r="G17" i="7"/>
  <c r="F17" i="7"/>
  <c r="E17" i="7"/>
  <c r="D17" i="7"/>
  <c r="C17" i="7"/>
  <c r="B17" i="7"/>
  <c r="A17" i="7"/>
  <c r="I16" i="7"/>
  <c r="H16" i="7"/>
  <c r="G16" i="7"/>
  <c r="F16" i="7"/>
  <c r="E16" i="7"/>
  <c r="D16" i="7"/>
  <c r="C16" i="7"/>
  <c r="B16" i="7"/>
  <c r="A16" i="7"/>
  <c r="I15" i="7"/>
  <c r="G15" i="7"/>
  <c r="F15" i="7"/>
  <c r="E15" i="7"/>
  <c r="D15" i="7"/>
  <c r="C15" i="7"/>
  <c r="B15" i="7"/>
  <c r="A15" i="7"/>
  <c r="I14" i="7"/>
  <c r="H14" i="7"/>
  <c r="G14" i="7"/>
  <c r="F14" i="7"/>
  <c r="E14" i="7"/>
  <c r="D14" i="7"/>
  <c r="C14" i="7"/>
  <c r="B14" i="7"/>
  <c r="A14" i="7"/>
  <c r="I13" i="7"/>
  <c r="H13" i="7"/>
  <c r="G13" i="7"/>
  <c r="F13" i="7"/>
  <c r="E13" i="7"/>
  <c r="D13" i="7"/>
  <c r="C13" i="7"/>
  <c r="B13" i="7"/>
  <c r="A13" i="7"/>
  <c r="I12" i="7"/>
  <c r="H12" i="7"/>
  <c r="G12" i="7"/>
  <c r="F12" i="7"/>
  <c r="E12" i="7"/>
  <c r="D12" i="7"/>
  <c r="C12" i="7"/>
  <c r="B12" i="7"/>
  <c r="A12" i="7"/>
  <c r="I11" i="7"/>
  <c r="H11" i="7"/>
  <c r="G11" i="7"/>
  <c r="F11" i="7"/>
  <c r="E11" i="7"/>
  <c r="D11" i="7"/>
  <c r="C11" i="7"/>
  <c r="B11" i="7"/>
  <c r="A11" i="7"/>
  <c r="I10" i="7"/>
  <c r="H10" i="7"/>
  <c r="G10" i="7"/>
  <c r="F10" i="7"/>
  <c r="E10" i="7"/>
  <c r="D10" i="7"/>
  <c r="C10" i="7"/>
  <c r="B10" i="7"/>
  <c r="A10" i="7"/>
  <c r="I9" i="7"/>
  <c r="H9" i="7"/>
  <c r="G9" i="7"/>
  <c r="F9" i="7"/>
  <c r="E9" i="7"/>
  <c r="D9" i="7"/>
  <c r="C9" i="7"/>
  <c r="B9" i="7"/>
  <c r="A9" i="7"/>
  <c r="I8" i="7"/>
  <c r="H8" i="7"/>
  <c r="G8" i="7"/>
  <c r="F8" i="7"/>
  <c r="E8" i="7"/>
  <c r="D8" i="7"/>
  <c r="C8" i="7"/>
  <c r="B8" i="7"/>
  <c r="A8" i="7"/>
  <c r="I7" i="7"/>
  <c r="H7" i="7"/>
  <c r="G7" i="7"/>
  <c r="F7" i="7"/>
  <c r="E7" i="7"/>
  <c r="D7" i="7"/>
  <c r="C7" i="7"/>
  <c r="B7" i="7"/>
  <c r="A7" i="7"/>
  <c r="I6" i="7"/>
  <c r="H6" i="7"/>
  <c r="G6" i="7"/>
  <c r="F6" i="7"/>
  <c r="E6" i="7"/>
  <c r="D6" i="7"/>
  <c r="C6" i="7"/>
  <c r="B6" i="7"/>
  <c r="A6" i="7"/>
  <c r="I5" i="7"/>
  <c r="H5" i="7"/>
  <c r="G5" i="7"/>
  <c r="F5" i="7"/>
  <c r="E5" i="7"/>
  <c r="D5" i="7"/>
  <c r="C5" i="7"/>
  <c r="B5" i="7"/>
  <c r="A5" i="7"/>
  <c r="I4" i="7"/>
  <c r="H4" i="7"/>
  <c r="G4" i="7"/>
  <c r="F4" i="7"/>
  <c r="E4" i="7"/>
  <c r="D4" i="7"/>
  <c r="C4" i="7"/>
  <c r="B4" i="7"/>
  <c r="A4" i="7"/>
  <c r="Q18" i="6"/>
  <c r="Q17" i="6"/>
  <c r="Q16" i="6"/>
  <c r="Q15" i="6"/>
  <c r="Q14" i="6"/>
  <c r="Q13" i="6"/>
  <c r="Q12" i="6"/>
  <c r="Q11" i="6"/>
  <c r="Q10" i="6"/>
  <c r="Q9" i="6"/>
  <c r="Q8" i="6"/>
  <c r="Q7" i="6"/>
  <c r="Q6" i="6"/>
  <c r="Q5" i="6"/>
  <c r="Q4" i="6"/>
  <c r="Q3" i="6"/>
  <c r="A28" i="5"/>
  <c r="A27" i="5"/>
  <c r="A26" i="5"/>
  <c r="A25" i="5"/>
  <c r="A24" i="5"/>
  <c r="A23" i="5"/>
  <c r="A22" i="5"/>
  <c r="A21" i="5"/>
  <c r="A20" i="5"/>
  <c r="AQ18" i="5"/>
  <c r="AQ17" i="5"/>
  <c r="AQ16" i="5"/>
  <c r="AQ15" i="5"/>
  <c r="AQ14" i="5"/>
  <c r="AQ13" i="5"/>
  <c r="AQ12" i="5"/>
  <c r="AQ11" i="5"/>
  <c r="AQ10" i="5"/>
  <c r="AQ9" i="5"/>
  <c r="AQ8" i="5"/>
  <c r="AQ7" i="5"/>
  <c r="AQ6" i="5"/>
  <c r="AQ5" i="5"/>
  <c r="AQ4" i="5"/>
  <c r="AQ3" i="5"/>
  <c r="A145" i="4"/>
  <c r="A144" i="4"/>
  <c r="A143" i="4"/>
  <c r="A142" i="4"/>
  <c r="A141" i="4"/>
  <c r="A140" i="4"/>
  <c r="A139" i="4"/>
  <c r="A138" i="4"/>
  <c r="A137" i="4"/>
  <c r="A136" i="4"/>
  <c r="A135" i="4"/>
  <c r="A134" i="4"/>
  <c r="A133" i="4"/>
  <c r="A132" i="4"/>
  <c r="A131" i="4"/>
  <c r="A130" i="4"/>
  <c r="A129" i="4"/>
  <c r="A128" i="4"/>
  <c r="A127" i="4"/>
  <c r="A126" i="4"/>
  <c r="A125" i="4"/>
  <c r="A123" i="4"/>
  <c r="A122" i="4"/>
  <c r="A119" i="4"/>
  <c r="A118" i="4"/>
  <c r="A117" i="4"/>
  <c r="A116" i="4"/>
  <c r="A115" i="4"/>
  <c r="A114" i="4"/>
  <c r="A113" i="4"/>
  <c r="AV102" i="4"/>
  <c r="AV100" i="4"/>
  <c r="AV99" i="4"/>
  <c r="AV98" i="4"/>
  <c r="AV97" i="4"/>
  <c r="AV87" i="4"/>
  <c r="AB87" i="4"/>
  <c r="AA87" i="4"/>
  <c r="AV86" i="4"/>
  <c r="AB86" i="4"/>
  <c r="AA86" i="4"/>
  <c r="AV85" i="4"/>
  <c r="AB85" i="4"/>
  <c r="AA85" i="4"/>
  <c r="AV84" i="4"/>
  <c r="AB84" i="4"/>
  <c r="AA84" i="4"/>
  <c r="AV83" i="4"/>
  <c r="AB83" i="4"/>
  <c r="AA83" i="4"/>
  <c r="AB82" i="4"/>
  <c r="AA82" i="4"/>
  <c r="AV81" i="4"/>
  <c r="AB81" i="4"/>
  <c r="AA81" i="4"/>
  <c r="AV80" i="4"/>
  <c r="AB80" i="4"/>
  <c r="AA80" i="4"/>
  <c r="AV79" i="4"/>
  <c r="AB79" i="4"/>
  <c r="AA79" i="4"/>
  <c r="AV78" i="4"/>
  <c r="AB78" i="4"/>
  <c r="AA78" i="4"/>
  <c r="AV77" i="4"/>
  <c r="AB77" i="4"/>
  <c r="AA77" i="4"/>
  <c r="AV76" i="4"/>
  <c r="AB76" i="4"/>
  <c r="AA76" i="4"/>
  <c r="AV75" i="4"/>
  <c r="AB75" i="4"/>
  <c r="AA75" i="4"/>
  <c r="AV74" i="4"/>
  <c r="AB74" i="4"/>
  <c r="AA74" i="4"/>
  <c r="AV73" i="4"/>
  <c r="AB73" i="4"/>
  <c r="AA73" i="4"/>
  <c r="AV72" i="4"/>
  <c r="AB72" i="4"/>
  <c r="AA72" i="4"/>
  <c r="AV71" i="4"/>
  <c r="AB71" i="4"/>
  <c r="AA71" i="4"/>
  <c r="AB70" i="4"/>
  <c r="AA70" i="4"/>
  <c r="AB69" i="4"/>
  <c r="AA69" i="4"/>
  <c r="AB68" i="4"/>
  <c r="AA68" i="4"/>
  <c r="AV67" i="4"/>
  <c r="AB67" i="4"/>
  <c r="AA67" i="4"/>
  <c r="AV66" i="4"/>
  <c r="AB66" i="4"/>
  <c r="AA66" i="4"/>
  <c r="AV65" i="4"/>
  <c r="AB65" i="4"/>
  <c r="AA65" i="4"/>
  <c r="AV64" i="4"/>
  <c r="AB64" i="4"/>
  <c r="AA64" i="4"/>
  <c r="AV63" i="4"/>
  <c r="AB63" i="4"/>
  <c r="AA63" i="4"/>
  <c r="AB62" i="4"/>
  <c r="AA62" i="4"/>
  <c r="AV61" i="4"/>
  <c r="AB61" i="4"/>
  <c r="AA61" i="4"/>
  <c r="AV60" i="4"/>
  <c r="AB60" i="4"/>
  <c r="AA60" i="4"/>
  <c r="AV59" i="4"/>
  <c r="AB59" i="4"/>
  <c r="AA59" i="4"/>
  <c r="AV58" i="4"/>
  <c r="AB58" i="4"/>
  <c r="AA58" i="4"/>
  <c r="AB57" i="4"/>
  <c r="AA57" i="4"/>
  <c r="AB56" i="4"/>
  <c r="AA56" i="4"/>
  <c r="AV55" i="4"/>
  <c r="AB55" i="4"/>
  <c r="AA55" i="4"/>
  <c r="AV54" i="4"/>
  <c r="AB54" i="4"/>
  <c r="AA54" i="4"/>
  <c r="AB53" i="4"/>
  <c r="AA53" i="4"/>
  <c r="AV52" i="4"/>
  <c r="AB52" i="4"/>
  <c r="AA52" i="4"/>
  <c r="AV51" i="4"/>
  <c r="AB51" i="4"/>
  <c r="AA51" i="4"/>
  <c r="AV50" i="4"/>
  <c r="AB50" i="4"/>
  <c r="AA50" i="4"/>
  <c r="AV49" i="4"/>
  <c r="AB49" i="4"/>
  <c r="AA49" i="4"/>
  <c r="AV48" i="4"/>
  <c r="AB48" i="4"/>
  <c r="AA48" i="4"/>
  <c r="AV47" i="4"/>
  <c r="AB47" i="4"/>
  <c r="AA47" i="4"/>
  <c r="AV46" i="4"/>
  <c r="AB46" i="4"/>
  <c r="AA46" i="4"/>
  <c r="AV45" i="4"/>
  <c r="AB45" i="4"/>
  <c r="AA45" i="4"/>
  <c r="AV44" i="4"/>
  <c r="AB44" i="4"/>
  <c r="AA44" i="4"/>
  <c r="AV43" i="4"/>
  <c r="AB43" i="4"/>
  <c r="AA43" i="4"/>
  <c r="AV42" i="4"/>
  <c r="AB42" i="4"/>
  <c r="AA42" i="4"/>
  <c r="AV41" i="4"/>
  <c r="AB41" i="4"/>
  <c r="AA41" i="4"/>
  <c r="AV40" i="4"/>
  <c r="AB40" i="4"/>
  <c r="AA40" i="4"/>
  <c r="AV39" i="4"/>
  <c r="AB39" i="4"/>
  <c r="AA39" i="4"/>
  <c r="AV38" i="4"/>
  <c r="AB38" i="4"/>
  <c r="AA38" i="4"/>
  <c r="AV37" i="4"/>
  <c r="AB37" i="4"/>
  <c r="AA37" i="4"/>
  <c r="AV36" i="4"/>
  <c r="AB36" i="4"/>
  <c r="AA36" i="4"/>
  <c r="AV35" i="4"/>
  <c r="AB35" i="4"/>
  <c r="AA35" i="4"/>
  <c r="AV34" i="4"/>
  <c r="AB34" i="4"/>
  <c r="AA34" i="4"/>
  <c r="AV33" i="4"/>
  <c r="AB33" i="4"/>
  <c r="AA33" i="4"/>
  <c r="AV32" i="4"/>
  <c r="AB32" i="4"/>
  <c r="AA32" i="4"/>
  <c r="AV31" i="4"/>
  <c r="AB31" i="4"/>
  <c r="AA31" i="4"/>
  <c r="AV30" i="4"/>
  <c r="AB30" i="4"/>
  <c r="AA30" i="4"/>
  <c r="AV29" i="4"/>
  <c r="AB29" i="4"/>
  <c r="AA29" i="4"/>
  <c r="AV28" i="4"/>
  <c r="AB28" i="4"/>
  <c r="AA28" i="4"/>
  <c r="AV27" i="4"/>
  <c r="AB27" i="4"/>
  <c r="AA27" i="4"/>
  <c r="AV26" i="4"/>
  <c r="AB26" i="4"/>
  <c r="AA26" i="4"/>
  <c r="AV25" i="4"/>
  <c r="AB25" i="4"/>
  <c r="AA25" i="4"/>
  <c r="AV24" i="4"/>
  <c r="AB24" i="4"/>
  <c r="AA24" i="4"/>
  <c r="AV23" i="4"/>
  <c r="AB23" i="4"/>
  <c r="AA23" i="4"/>
  <c r="AV22" i="4"/>
  <c r="AB22" i="4"/>
  <c r="AA22" i="4"/>
  <c r="AV21" i="4"/>
  <c r="AB21" i="4"/>
  <c r="AA21" i="4"/>
  <c r="AV20" i="4"/>
  <c r="AB20" i="4"/>
  <c r="AA20" i="4"/>
  <c r="AV19" i="4"/>
  <c r="AB19" i="4"/>
  <c r="AA19" i="4"/>
  <c r="AV18" i="4"/>
  <c r="AB18" i="4"/>
  <c r="AA18" i="4"/>
  <c r="AV17" i="4"/>
  <c r="AB17" i="4"/>
  <c r="AA17" i="4"/>
  <c r="AV16" i="4"/>
  <c r="AB16" i="4"/>
  <c r="AA16" i="4"/>
  <c r="AV15" i="4"/>
  <c r="AB15" i="4"/>
  <c r="AA15" i="4"/>
  <c r="AV14" i="4"/>
  <c r="AB14" i="4"/>
  <c r="AA14" i="4"/>
  <c r="AV13" i="4"/>
  <c r="AB13" i="4"/>
  <c r="AA13" i="4"/>
  <c r="AV12" i="4"/>
  <c r="AB12" i="4"/>
  <c r="AA12" i="4"/>
  <c r="AV11" i="4"/>
  <c r="AB11" i="4"/>
  <c r="AA11" i="4"/>
  <c r="AV10" i="4"/>
  <c r="AB10" i="4"/>
  <c r="AA10" i="4"/>
  <c r="AV9" i="4"/>
  <c r="AB9" i="4"/>
  <c r="AA9" i="4"/>
  <c r="AV8" i="4"/>
  <c r="AB8" i="4"/>
  <c r="AA8" i="4"/>
  <c r="AV7" i="4"/>
  <c r="AB7" i="4"/>
  <c r="AA7" i="4"/>
  <c r="AV6" i="4"/>
  <c r="AB6" i="4"/>
  <c r="AA6" i="4"/>
  <c r="AV5" i="4"/>
  <c r="AB5" i="4"/>
  <c r="AA5" i="4"/>
  <c r="AV4" i="4"/>
  <c r="AB4" i="4"/>
  <c r="AA4" i="4"/>
  <c r="AV3" i="4"/>
  <c r="AB3" i="4"/>
  <c r="AA3" i="4"/>
  <c r="I21" i="3"/>
  <c r="H21" i="3"/>
  <c r="G21" i="3"/>
  <c r="F21" i="3"/>
  <c r="E21" i="3"/>
  <c r="D21" i="3"/>
  <c r="C21" i="3"/>
  <c r="B21" i="3"/>
  <c r="A21" i="3"/>
  <c r="I20" i="3"/>
  <c r="H20" i="3"/>
  <c r="F20" i="3"/>
  <c r="E20" i="3"/>
  <c r="D20" i="3"/>
  <c r="C20" i="3"/>
  <c r="B20" i="3"/>
  <c r="A20" i="3"/>
  <c r="I19" i="3"/>
  <c r="H19" i="3"/>
  <c r="G19" i="3"/>
  <c r="F19" i="3"/>
  <c r="E19" i="3"/>
  <c r="D19" i="3"/>
  <c r="C19" i="3"/>
  <c r="B19" i="3"/>
  <c r="A19" i="3"/>
  <c r="I18" i="3"/>
  <c r="H18" i="3"/>
  <c r="G18" i="3"/>
  <c r="F18" i="3"/>
  <c r="E18" i="3"/>
  <c r="D18" i="3"/>
  <c r="C18" i="3"/>
  <c r="B18" i="3"/>
  <c r="A18" i="3"/>
  <c r="I17" i="3"/>
  <c r="H17" i="3"/>
  <c r="G17" i="3"/>
  <c r="F17" i="3"/>
  <c r="E17" i="3"/>
  <c r="D17" i="3"/>
  <c r="C17" i="3"/>
  <c r="B17" i="3"/>
  <c r="A17" i="3"/>
  <c r="I16" i="3"/>
  <c r="H16" i="3"/>
  <c r="G16" i="3"/>
  <c r="F16" i="3"/>
  <c r="E16" i="3"/>
  <c r="D16" i="3"/>
  <c r="C16" i="3"/>
  <c r="B16" i="3"/>
  <c r="A16" i="3"/>
  <c r="I15" i="3"/>
  <c r="H15" i="3"/>
  <c r="G15" i="3"/>
  <c r="F15" i="3"/>
  <c r="E15" i="3"/>
  <c r="D15" i="3"/>
  <c r="C15" i="3"/>
  <c r="B15" i="3"/>
  <c r="A15" i="3"/>
  <c r="I14" i="3"/>
  <c r="H14" i="3"/>
  <c r="G14" i="3"/>
  <c r="F14" i="3"/>
  <c r="E14" i="3"/>
  <c r="D14" i="3"/>
  <c r="C14" i="3"/>
  <c r="B14" i="3"/>
  <c r="A14" i="3"/>
  <c r="I13" i="3"/>
  <c r="H13" i="3"/>
  <c r="G13" i="3"/>
  <c r="F13" i="3"/>
  <c r="E13" i="3"/>
  <c r="D13" i="3"/>
  <c r="C13" i="3"/>
  <c r="B13" i="3"/>
  <c r="A13" i="3"/>
  <c r="I12" i="3"/>
  <c r="H12" i="3"/>
  <c r="G12" i="3"/>
  <c r="F12" i="3"/>
  <c r="E12" i="3"/>
  <c r="D12" i="3"/>
  <c r="C12" i="3"/>
  <c r="B12" i="3"/>
  <c r="A12" i="3"/>
  <c r="I11" i="3"/>
  <c r="H11" i="3"/>
  <c r="G11" i="3"/>
  <c r="F11" i="3"/>
  <c r="E11" i="3"/>
  <c r="D11" i="3"/>
  <c r="C11" i="3"/>
  <c r="B11" i="3"/>
  <c r="A11" i="3"/>
  <c r="I10" i="3"/>
  <c r="H10" i="3"/>
  <c r="G10" i="3"/>
  <c r="F10" i="3"/>
  <c r="E10" i="3"/>
  <c r="D10" i="3"/>
  <c r="C10" i="3"/>
  <c r="B10" i="3"/>
  <c r="A10" i="3"/>
  <c r="I9" i="3"/>
  <c r="H9" i="3"/>
  <c r="G9" i="3"/>
  <c r="F9" i="3"/>
  <c r="E9" i="3"/>
  <c r="D9" i="3"/>
  <c r="C9" i="3"/>
  <c r="B9" i="3"/>
  <c r="A9" i="3"/>
  <c r="I8" i="3"/>
  <c r="H8" i="3"/>
  <c r="G8" i="3"/>
  <c r="F8" i="3"/>
  <c r="E8" i="3"/>
  <c r="D8" i="3"/>
  <c r="C8" i="3"/>
  <c r="B8" i="3"/>
  <c r="A8" i="3"/>
  <c r="I7" i="3"/>
  <c r="H7" i="3"/>
  <c r="G7" i="3"/>
  <c r="F7" i="3"/>
  <c r="E7" i="3"/>
  <c r="D7" i="3"/>
  <c r="C7" i="3"/>
  <c r="B7" i="3"/>
  <c r="A7" i="3"/>
  <c r="I6" i="3"/>
  <c r="H6" i="3"/>
  <c r="G6" i="3"/>
  <c r="F6" i="3"/>
  <c r="E6" i="3"/>
  <c r="D6" i="3"/>
  <c r="C6" i="3"/>
  <c r="B6" i="3"/>
  <c r="A6" i="3"/>
  <c r="I5" i="3"/>
  <c r="H5" i="3"/>
  <c r="G5" i="3"/>
  <c r="F5" i="3"/>
  <c r="E5" i="3"/>
  <c r="D5" i="3"/>
  <c r="C5" i="3"/>
  <c r="B5" i="3"/>
  <c r="A5" i="3"/>
  <c r="I4" i="3"/>
  <c r="H4" i="3"/>
  <c r="G4" i="3"/>
  <c r="F4" i="3"/>
  <c r="E4" i="3"/>
  <c r="D4" i="3"/>
  <c r="C4" i="3"/>
  <c r="B4" i="3"/>
  <c r="A4" i="3"/>
  <c r="I3" i="3"/>
  <c r="H3" i="3"/>
  <c r="G3" i="3"/>
  <c r="F3" i="3"/>
  <c r="E3" i="3"/>
  <c r="D3" i="3"/>
  <c r="C3" i="3"/>
  <c r="B3" i="3"/>
  <c r="A3" i="3"/>
  <c r="I2" i="3"/>
  <c r="G2" i="3"/>
  <c r="F2" i="3"/>
  <c r="E2" i="3"/>
  <c r="D2" i="3"/>
  <c r="C2" i="3"/>
  <c r="B2" i="3"/>
  <c r="A2" i="3"/>
  <c r="I1" i="3"/>
  <c r="H1" i="3"/>
  <c r="G1" i="3"/>
  <c r="F1" i="3"/>
  <c r="E1" i="3"/>
  <c r="D1" i="3"/>
  <c r="C1" i="3"/>
  <c r="B1" i="3"/>
  <c r="A1"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3" authorId="0" shapeId="0" xr:uid="{00000000-0006-0000-0300-000001000000}">
      <text>
        <r>
          <rPr>
            <sz val="10"/>
            <color rgb="FF000000"/>
            <rFont val="Arial"/>
            <scheme val="minor"/>
          </rPr>
          <t>Responder updated this value.</t>
        </r>
      </text>
    </comment>
    <comment ref="F3" authorId="0" shapeId="0" xr:uid="{00000000-0006-0000-0300-000002000000}">
      <text>
        <r>
          <rPr>
            <sz val="10"/>
            <color rgb="FF000000"/>
            <rFont val="Arial"/>
            <scheme val="minor"/>
          </rPr>
          <t>Responder updated this value.</t>
        </r>
      </text>
    </comment>
    <comment ref="G3" authorId="0" shapeId="0" xr:uid="{00000000-0006-0000-0300-000003000000}">
      <text>
        <r>
          <rPr>
            <sz val="10"/>
            <color rgb="FF000000"/>
            <rFont val="Arial"/>
            <scheme val="minor"/>
          </rPr>
          <t>Responder updated this value.</t>
        </r>
      </text>
    </comment>
    <comment ref="K3" authorId="0" shapeId="0" xr:uid="{00000000-0006-0000-0300-000004000000}">
      <text>
        <r>
          <rPr>
            <sz val="10"/>
            <color rgb="FF000000"/>
            <rFont val="Arial"/>
            <scheme val="minor"/>
          </rPr>
          <t>Responder updated this value.</t>
        </r>
      </text>
    </comment>
    <comment ref="L3" authorId="0" shapeId="0" xr:uid="{00000000-0006-0000-0300-000005000000}">
      <text>
        <r>
          <rPr>
            <sz val="10"/>
            <color rgb="FF000000"/>
            <rFont val="Arial"/>
            <scheme val="minor"/>
          </rPr>
          <t>Responder updated this value.</t>
        </r>
      </text>
    </comment>
    <comment ref="M3" authorId="0" shapeId="0" xr:uid="{00000000-0006-0000-0300-000006000000}">
      <text>
        <r>
          <rPr>
            <sz val="10"/>
            <color rgb="FF000000"/>
            <rFont val="Arial"/>
            <scheme val="minor"/>
          </rPr>
          <t>Responder updated this value.</t>
        </r>
      </text>
    </comment>
    <comment ref="N3" authorId="0" shapeId="0" xr:uid="{00000000-0006-0000-0300-000007000000}">
      <text>
        <r>
          <rPr>
            <sz val="10"/>
            <color rgb="FF000000"/>
            <rFont val="Arial"/>
            <scheme val="minor"/>
          </rPr>
          <t>Responder updated this value.</t>
        </r>
      </text>
    </comment>
    <comment ref="O3" authorId="0" shapeId="0" xr:uid="{00000000-0006-0000-0300-000008000000}">
      <text>
        <r>
          <rPr>
            <sz val="10"/>
            <color rgb="FF000000"/>
            <rFont val="Arial"/>
            <scheme val="minor"/>
          </rPr>
          <t>Responder updated this value.</t>
        </r>
      </text>
    </comment>
    <comment ref="P3" authorId="0" shapeId="0" xr:uid="{00000000-0006-0000-0300-000009000000}">
      <text>
        <r>
          <rPr>
            <sz val="10"/>
            <color rgb="FF000000"/>
            <rFont val="Arial"/>
            <scheme val="minor"/>
          </rPr>
          <t>Responder updated this value.</t>
        </r>
      </text>
    </comment>
    <comment ref="Q3" authorId="0" shapeId="0" xr:uid="{00000000-0006-0000-0300-00000A000000}">
      <text>
        <r>
          <rPr>
            <sz val="10"/>
            <color rgb="FF000000"/>
            <rFont val="Arial"/>
            <scheme val="minor"/>
          </rPr>
          <t>Responder updated this value.</t>
        </r>
      </text>
    </comment>
    <comment ref="R3" authorId="0" shapeId="0" xr:uid="{00000000-0006-0000-0300-00000B000000}">
      <text>
        <r>
          <rPr>
            <sz val="10"/>
            <color rgb="FF000000"/>
            <rFont val="Arial"/>
            <scheme val="minor"/>
          </rPr>
          <t>Responder updated this value.</t>
        </r>
      </text>
    </comment>
    <comment ref="S3" authorId="0" shapeId="0" xr:uid="{00000000-0006-0000-0300-00000C000000}">
      <text>
        <r>
          <rPr>
            <sz val="10"/>
            <color rgb="FF000000"/>
            <rFont val="Arial"/>
            <scheme val="minor"/>
          </rPr>
          <t>Responder updated this value.</t>
        </r>
      </text>
    </comment>
    <comment ref="T3" authorId="0" shapeId="0" xr:uid="{00000000-0006-0000-0300-00000D000000}">
      <text>
        <r>
          <rPr>
            <sz val="10"/>
            <color rgb="FF000000"/>
            <rFont val="Arial"/>
            <scheme val="minor"/>
          </rPr>
          <t>Responder updated this value.</t>
        </r>
      </text>
    </comment>
    <comment ref="U3" authorId="0" shapeId="0" xr:uid="{00000000-0006-0000-0300-00000E000000}">
      <text>
        <r>
          <rPr>
            <sz val="10"/>
            <color rgb="FF000000"/>
            <rFont val="Arial"/>
            <scheme val="minor"/>
          </rPr>
          <t>Responder updated this value.</t>
        </r>
      </text>
    </comment>
    <comment ref="V3" authorId="0" shapeId="0" xr:uid="{00000000-0006-0000-0300-00000F000000}">
      <text>
        <r>
          <rPr>
            <sz val="10"/>
            <color rgb="FF000000"/>
            <rFont val="Arial"/>
            <scheme val="minor"/>
          </rPr>
          <t>Responder updated this value.</t>
        </r>
      </text>
    </comment>
    <comment ref="W3" authorId="0" shapeId="0" xr:uid="{00000000-0006-0000-0300-000010000000}">
      <text>
        <r>
          <rPr>
            <sz val="10"/>
            <color rgb="FF000000"/>
            <rFont val="Arial"/>
            <scheme val="minor"/>
          </rPr>
          <t>Responder updated this value.</t>
        </r>
      </text>
    </comment>
    <comment ref="X3" authorId="0" shapeId="0" xr:uid="{00000000-0006-0000-0300-000011000000}">
      <text>
        <r>
          <rPr>
            <sz val="10"/>
            <color rgb="FF000000"/>
            <rFont val="Arial"/>
            <scheme val="minor"/>
          </rPr>
          <t>Responder updated this value.</t>
        </r>
      </text>
    </comment>
    <comment ref="Y3" authorId="0" shapeId="0" xr:uid="{00000000-0006-0000-0300-000012000000}">
      <text>
        <r>
          <rPr>
            <sz val="10"/>
            <color rgb="FF000000"/>
            <rFont val="Arial"/>
            <scheme val="minor"/>
          </rPr>
          <t>Responder updated this value.</t>
        </r>
      </text>
    </comment>
    <comment ref="AC3" authorId="0" shapeId="0" xr:uid="{00000000-0006-0000-0300-000013000000}">
      <text>
        <r>
          <rPr>
            <sz val="10"/>
            <color rgb="FF000000"/>
            <rFont val="Arial"/>
            <scheme val="minor"/>
          </rPr>
          <t>Responder updated this value.</t>
        </r>
      </text>
    </comment>
    <comment ref="AD3" authorId="0" shapeId="0" xr:uid="{00000000-0006-0000-0300-000014000000}">
      <text>
        <r>
          <rPr>
            <sz val="10"/>
            <color rgb="FF000000"/>
            <rFont val="Arial"/>
            <scheme val="minor"/>
          </rPr>
          <t>Responder updated this value.</t>
        </r>
      </text>
    </comment>
    <comment ref="AE3" authorId="0" shapeId="0" xr:uid="{00000000-0006-0000-0300-000015000000}">
      <text>
        <r>
          <rPr>
            <sz val="10"/>
            <color rgb="FF000000"/>
            <rFont val="Arial"/>
            <scheme val="minor"/>
          </rPr>
          <t>Responder updated this value.</t>
        </r>
      </text>
    </comment>
    <comment ref="AF3" authorId="0" shapeId="0" xr:uid="{00000000-0006-0000-0300-000016000000}">
      <text>
        <r>
          <rPr>
            <sz val="10"/>
            <color rgb="FF000000"/>
            <rFont val="Arial"/>
            <scheme val="minor"/>
          </rPr>
          <t>Responder updated this value.</t>
        </r>
      </text>
    </comment>
    <comment ref="AG3" authorId="0" shapeId="0" xr:uid="{00000000-0006-0000-0300-000017000000}">
      <text>
        <r>
          <rPr>
            <sz val="10"/>
            <color rgb="FF000000"/>
            <rFont val="Arial"/>
            <scheme val="minor"/>
          </rPr>
          <t>Responder updated this value.</t>
        </r>
      </text>
    </comment>
    <comment ref="AH3" authorId="0" shapeId="0" xr:uid="{00000000-0006-0000-0300-000018000000}">
      <text>
        <r>
          <rPr>
            <sz val="10"/>
            <color rgb="FF000000"/>
            <rFont val="Arial"/>
            <scheme val="minor"/>
          </rPr>
          <t>Responder updated this value.</t>
        </r>
      </text>
    </comment>
    <comment ref="AI3" authorId="0" shapeId="0" xr:uid="{00000000-0006-0000-0300-000019000000}">
      <text>
        <r>
          <rPr>
            <sz val="10"/>
            <color rgb="FF000000"/>
            <rFont val="Arial"/>
            <scheme val="minor"/>
          </rPr>
          <t>Responder updated this value.</t>
        </r>
      </text>
    </comment>
    <comment ref="AJ3" authorId="0" shapeId="0" xr:uid="{00000000-0006-0000-0300-00001A000000}">
      <text>
        <r>
          <rPr>
            <sz val="10"/>
            <color rgb="FF000000"/>
            <rFont val="Arial"/>
            <scheme val="minor"/>
          </rPr>
          <t>Responder updated this value.</t>
        </r>
      </text>
    </comment>
    <comment ref="AK3" authorId="0" shapeId="0" xr:uid="{00000000-0006-0000-0300-00001B000000}">
      <text>
        <r>
          <rPr>
            <sz val="10"/>
            <color rgb="FF000000"/>
            <rFont val="Arial"/>
            <scheme val="minor"/>
          </rPr>
          <t>Responder updated this value.</t>
        </r>
      </text>
    </comment>
    <comment ref="AL3" authorId="0" shapeId="0" xr:uid="{00000000-0006-0000-0300-00001C000000}">
      <text>
        <r>
          <rPr>
            <sz val="10"/>
            <color rgb="FF000000"/>
            <rFont val="Arial"/>
            <scheme val="minor"/>
          </rPr>
          <t>Responder updated this value.</t>
        </r>
      </text>
    </comment>
    <comment ref="AM3" authorId="0" shapeId="0" xr:uid="{00000000-0006-0000-0300-00001D000000}">
      <text>
        <r>
          <rPr>
            <sz val="10"/>
            <color rgb="FF000000"/>
            <rFont val="Arial"/>
            <scheme val="minor"/>
          </rPr>
          <t>Responder updated this value.</t>
        </r>
      </text>
    </comment>
    <comment ref="AN3" authorId="0" shapeId="0" xr:uid="{00000000-0006-0000-0300-00001E000000}">
      <text>
        <r>
          <rPr>
            <sz val="10"/>
            <color rgb="FF000000"/>
            <rFont val="Arial"/>
            <scheme val="minor"/>
          </rPr>
          <t>Responder updated this value.</t>
        </r>
      </text>
    </comment>
    <comment ref="AO3" authorId="0" shapeId="0" xr:uid="{00000000-0006-0000-0300-00001F000000}">
      <text>
        <r>
          <rPr>
            <sz val="10"/>
            <color rgb="FF000000"/>
            <rFont val="Arial"/>
            <scheme val="minor"/>
          </rPr>
          <t>Responder updated this value.</t>
        </r>
      </text>
    </comment>
    <comment ref="AP3" authorId="0" shapeId="0" xr:uid="{00000000-0006-0000-0300-000020000000}">
      <text>
        <r>
          <rPr>
            <sz val="10"/>
            <color rgb="FF000000"/>
            <rFont val="Arial"/>
            <scheme val="minor"/>
          </rPr>
          <t>Responder updated this value.</t>
        </r>
      </text>
    </comment>
    <comment ref="AQ3" authorId="0" shapeId="0" xr:uid="{00000000-0006-0000-0300-000021000000}">
      <text>
        <r>
          <rPr>
            <sz val="10"/>
            <color rgb="FF000000"/>
            <rFont val="Arial"/>
            <scheme val="minor"/>
          </rPr>
          <t>Responder updated this value.</t>
        </r>
      </text>
    </comment>
    <comment ref="AR3" authorId="0" shapeId="0" xr:uid="{00000000-0006-0000-0300-000022000000}">
      <text>
        <r>
          <rPr>
            <sz val="10"/>
            <color rgb="FF000000"/>
            <rFont val="Arial"/>
            <scheme val="minor"/>
          </rPr>
          <t>Responder updated this value.</t>
        </r>
      </text>
    </comment>
    <comment ref="AS3" authorId="0" shapeId="0" xr:uid="{00000000-0006-0000-0300-000023000000}">
      <text>
        <r>
          <rPr>
            <sz val="10"/>
            <color rgb="FF000000"/>
            <rFont val="Arial"/>
            <scheme val="minor"/>
          </rPr>
          <t>Responder updated this value.</t>
        </r>
      </text>
    </comment>
    <comment ref="AT3" authorId="0" shapeId="0" xr:uid="{00000000-0006-0000-0300-000024000000}">
      <text>
        <r>
          <rPr>
            <sz val="10"/>
            <color rgb="FF000000"/>
            <rFont val="Arial"/>
            <scheme val="minor"/>
          </rPr>
          <t>Responder updated this value.</t>
        </r>
      </text>
    </comment>
    <comment ref="AU3" authorId="0" shapeId="0" xr:uid="{00000000-0006-0000-0300-000025000000}">
      <text>
        <r>
          <rPr>
            <sz val="10"/>
            <color rgb="FF000000"/>
            <rFont val="Arial"/>
            <scheme val="minor"/>
          </rPr>
          <t>Responder updated this value.</t>
        </r>
      </text>
    </comment>
    <comment ref="D4" authorId="0" shapeId="0" xr:uid="{00000000-0006-0000-0300-000026000000}">
      <text>
        <r>
          <rPr>
            <sz val="10"/>
            <color rgb="FF000000"/>
            <rFont val="Arial"/>
            <scheme val="minor"/>
          </rPr>
          <t>Responder updated this value.</t>
        </r>
      </text>
    </comment>
    <comment ref="F4" authorId="0" shapeId="0" xr:uid="{00000000-0006-0000-0300-000027000000}">
      <text>
        <r>
          <rPr>
            <sz val="10"/>
            <color rgb="FF000000"/>
            <rFont val="Arial"/>
            <scheme val="minor"/>
          </rPr>
          <t>Responder updated this value.</t>
        </r>
      </text>
    </comment>
    <comment ref="G4" authorId="0" shapeId="0" xr:uid="{00000000-0006-0000-0300-000028000000}">
      <text>
        <r>
          <rPr>
            <sz val="10"/>
            <color rgb="FF000000"/>
            <rFont val="Arial"/>
            <scheme val="minor"/>
          </rPr>
          <t>Responder updated this value.</t>
        </r>
      </text>
    </comment>
    <comment ref="H4" authorId="0" shapeId="0" xr:uid="{00000000-0006-0000-0300-000029000000}">
      <text>
        <r>
          <rPr>
            <sz val="10"/>
            <color rgb="FF000000"/>
            <rFont val="Arial"/>
            <scheme val="minor"/>
          </rPr>
          <t>Responder updated this value.</t>
        </r>
      </text>
    </comment>
    <comment ref="K4" authorId="0" shapeId="0" xr:uid="{00000000-0006-0000-0300-00002A000000}">
      <text>
        <r>
          <rPr>
            <sz val="10"/>
            <color rgb="FF000000"/>
            <rFont val="Arial"/>
            <scheme val="minor"/>
          </rPr>
          <t>Responder updated this value.</t>
        </r>
      </text>
    </comment>
    <comment ref="L4" authorId="0" shapeId="0" xr:uid="{00000000-0006-0000-0300-00002B000000}">
      <text>
        <r>
          <rPr>
            <sz val="10"/>
            <color rgb="FF000000"/>
            <rFont val="Arial"/>
            <scheme val="minor"/>
          </rPr>
          <t>Responder updated this value.</t>
        </r>
      </text>
    </comment>
    <comment ref="M4" authorId="0" shapeId="0" xr:uid="{00000000-0006-0000-0300-00002C000000}">
      <text>
        <r>
          <rPr>
            <sz val="10"/>
            <color rgb="FF000000"/>
            <rFont val="Arial"/>
            <scheme val="minor"/>
          </rPr>
          <t>Responder updated this value.</t>
        </r>
      </text>
    </comment>
    <comment ref="N4" authorId="0" shapeId="0" xr:uid="{00000000-0006-0000-0300-00002D000000}">
      <text>
        <r>
          <rPr>
            <sz val="10"/>
            <color rgb="FF000000"/>
            <rFont val="Arial"/>
            <scheme val="minor"/>
          </rPr>
          <t>Responder updated this value.</t>
        </r>
      </text>
    </comment>
    <comment ref="O4" authorId="0" shapeId="0" xr:uid="{00000000-0006-0000-0300-00002E000000}">
      <text>
        <r>
          <rPr>
            <sz val="10"/>
            <color rgb="FF000000"/>
            <rFont val="Arial"/>
            <scheme val="minor"/>
          </rPr>
          <t>Responder updated this value.</t>
        </r>
      </text>
    </comment>
    <comment ref="Y4" authorId="0" shapeId="0" xr:uid="{00000000-0006-0000-0300-00002F000000}">
      <text>
        <r>
          <rPr>
            <sz val="10"/>
            <color rgb="FF000000"/>
            <rFont val="Arial"/>
            <scheme val="minor"/>
          </rPr>
          <t>Responder updated this value.</t>
        </r>
      </text>
    </comment>
    <comment ref="AC4" authorId="0" shapeId="0" xr:uid="{00000000-0006-0000-0300-000030000000}">
      <text>
        <r>
          <rPr>
            <sz val="10"/>
            <color rgb="FF000000"/>
            <rFont val="Arial"/>
            <scheme val="minor"/>
          </rPr>
          <t>Responder updated this value.</t>
        </r>
      </text>
    </comment>
    <comment ref="AD4" authorId="0" shapeId="0" xr:uid="{00000000-0006-0000-0300-000031000000}">
      <text>
        <r>
          <rPr>
            <sz val="10"/>
            <color rgb="FF000000"/>
            <rFont val="Arial"/>
            <scheme val="minor"/>
          </rPr>
          <t>Responder updated this value.</t>
        </r>
      </text>
    </comment>
    <comment ref="AE4" authorId="0" shapeId="0" xr:uid="{00000000-0006-0000-0300-000032000000}">
      <text>
        <r>
          <rPr>
            <sz val="10"/>
            <color rgb="FF000000"/>
            <rFont val="Arial"/>
            <scheme val="minor"/>
          </rPr>
          <t>Responder updated this value.</t>
        </r>
      </text>
    </comment>
    <comment ref="AF4" authorId="0" shapeId="0" xr:uid="{00000000-0006-0000-0300-000033000000}">
      <text>
        <r>
          <rPr>
            <sz val="10"/>
            <color rgb="FF000000"/>
            <rFont val="Arial"/>
            <scheme val="minor"/>
          </rPr>
          <t>Responder updated this value.</t>
        </r>
      </text>
    </comment>
    <comment ref="AG4" authorId="0" shapeId="0" xr:uid="{00000000-0006-0000-0300-000034000000}">
      <text>
        <r>
          <rPr>
            <sz val="10"/>
            <color rgb="FF000000"/>
            <rFont val="Arial"/>
            <scheme val="minor"/>
          </rPr>
          <t>Responder updated this value.</t>
        </r>
      </text>
    </comment>
    <comment ref="AI4" authorId="0" shapeId="0" xr:uid="{00000000-0006-0000-0300-000035000000}">
      <text>
        <r>
          <rPr>
            <sz val="10"/>
            <color rgb="FF000000"/>
            <rFont val="Arial"/>
            <scheme val="minor"/>
          </rPr>
          <t>Responder updated this value.</t>
        </r>
      </text>
    </comment>
    <comment ref="AJ4" authorId="0" shapeId="0" xr:uid="{00000000-0006-0000-0300-000036000000}">
      <text>
        <r>
          <rPr>
            <sz val="10"/>
            <color rgb="FF000000"/>
            <rFont val="Arial"/>
            <scheme val="minor"/>
          </rPr>
          <t>Responder updated this value.</t>
        </r>
      </text>
    </comment>
    <comment ref="AK4" authorId="0" shapeId="0" xr:uid="{00000000-0006-0000-0300-000037000000}">
      <text>
        <r>
          <rPr>
            <sz val="10"/>
            <color rgb="FF000000"/>
            <rFont val="Arial"/>
            <scheme val="minor"/>
          </rPr>
          <t>Responder updated this value.</t>
        </r>
      </text>
    </comment>
    <comment ref="AL4" authorId="0" shapeId="0" xr:uid="{00000000-0006-0000-0300-000038000000}">
      <text>
        <r>
          <rPr>
            <sz val="10"/>
            <color rgb="FF000000"/>
            <rFont val="Arial"/>
            <scheme val="minor"/>
          </rPr>
          <t>Responder updated this value.</t>
        </r>
      </text>
    </comment>
    <comment ref="AM4" authorId="0" shapeId="0" xr:uid="{00000000-0006-0000-0300-000039000000}">
      <text>
        <r>
          <rPr>
            <sz val="10"/>
            <color rgb="FF000000"/>
            <rFont val="Arial"/>
            <scheme val="minor"/>
          </rPr>
          <t>Responder updated this value.</t>
        </r>
      </text>
    </comment>
    <comment ref="AN4" authorId="0" shapeId="0" xr:uid="{00000000-0006-0000-0300-00003A000000}">
      <text>
        <r>
          <rPr>
            <sz val="10"/>
            <color rgb="FF000000"/>
            <rFont val="Arial"/>
            <scheme val="minor"/>
          </rPr>
          <t>Responder updated this value.</t>
        </r>
      </text>
    </comment>
    <comment ref="AO4" authorId="0" shapeId="0" xr:uid="{00000000-0006-0000-0300-00003B000000}">
      <text>
        <r>
          <rPr>
            <sz val="10"/>
            <color rgb="FF000000"/>
            <rFont val="Arial"/>
            <scheme val="minor"/>
          </rPr>
          <t>Responder updated this value.</t>
        </r>
      </text>
    </comment>
    <comment ref="AP4" authorId="0" shapeId="0" xr:uid="{00000000-0006-0000-0300-00003C000000}">
      <text>
        <r>
          <rPr>
            <sz val="10"/>
            <color rgb="FF000000"/>
            <rFont val="Arial"/>
            <scheme val="minor"/>
          </rPr>
          <t>Responder updated this value.</t>
        </r>
      </text>
    </comment>
    <comment ref="AQ4" authorId="0" shapeId="0" xr:uid="{00000000-0006-0000-0300-00003D000000}">
      <text>
        <r>
          <rPr>
            <sz val="10"/>
            <color rgb="FF000000"/>
            <rFont val="Arial"/>
            <scheme val="minor"/>
          </rPr>
          <t>Responder updated this value.</t>
        </r>
      </text>
    </comment>
    <comment ref="AR4" authorId="0" shapeId="0" xr:uid="{00000000-0006-0000-0300-00003E000000}">
      <text>
        <r>
          <rPr>
            <sz val="10"/>
            <color rgb="FF000000"/>
            <rFont val="Arial"/>
            <scheme val="minor"/>
          </rPr>
          <t>Responder updated this value.</t>
        </r>
      </text>
    </comment>
    <comment ref="AS4" authorId="0" shapeId="0" xr:uid="{00000000-0006-0000-0300-00003F000000}">
      <text>
        <r>
          <rPr>
            <sz val="10"/>
            <color rgb="FF000000"/>
            <rFont val="Arial"/>
            <scheme val="minor"/>
          </rPr>
          <t>Responder updated this value.</t>
        </r>
      </text>
    </comment>
    <comment ref="AT4" authorId="0" shapeId="0" xr:uid="{00000000-0006-0000-0300-000040000000}">
      <text>
        <r>
          <rPr>
            <sz val="10"/>
            <color rgb="FF000000"/>
            <rFont val="Arial"/>
            <scheme val="minor"/>
          </rPr>
          <t>Responder updated this value.</t>
        </r>
      </text>
    </comment>
    <comment ref="AU4" authorId="0" shapeId="0" xr:uid="{00000000-0006-0000-0300-000041000000}">
      <text>
        <r>
          <rPr>
            <sz val="10"/>
            <color rgb="FF000000"/>
            <rFont val="Arial"/>
            <scheme val="minor"/>
          </rPr>
          <t>Responder updated this value.</t>
        </r>
      </text>
    </comment>
    <comment ref="D5" authorId="0" shapeId="0" xr:uid="{00000000-0006-0000-0300-000042000000}">
      <text>
        <r>
          <rPr>
            <sz val="10"/>
            <color rgb="FF000000"/>
            <rFont val="Arial"/>
            <scheme val="minor"/>
          </rPr>
          <t>Responder updated this value.</t>
        </r>
      </text>
    </comment>
    <comment ref="F5" authorId="0" shapeId="0" xr:uid="{00000000-0006-0000-0300-000043000000}">
      <text>
        <r>
          <rPr>
            <sz val="10"/>
            <color rgb="FF000000"/>
            <rFont val="Arial"/>
            <scheme val="minor"/>
          </rPr>
          <t>Responder updated this value.</t>
        </r>
      </text>
    </comment>
    <comment ref="G5" authorId="0" shapeId="0" xr:uid="{00000000-0006-0000-0300-000044000000}">
      <text>
        <r>
          <rPr>
            <sz val="10"/>
            <color rgb="FF000000"/>
            <rFont val="Arial"/>
            <scheme val="minor"/>
          </rPr>
          <t>Responder updated this value.</t>
        </r>
      </text>
    </comment>
    <comment ref="H5" authorId="0" shapeId="0" xr:uid="{00000000-0006-0000-0300-000045000000}">
      <text>
        <r>
          <rPr>
            <sz val="10"/>
            <color rgb="FF000000"/>
            <rFont val="Arial"/>
            <scheme val="minor"/>
          </rPr>
          <t>Responder updated this value.</t>
        </r>
      </text>
    </comment>
    <comment ref="I5" authorId="0" shapeId="0" xr:uid="{00000000-0006-0000-0300-000046000000}">
      <text>
        <r>
          <rPr>
            <sz val="10"/>
            <color rgb="FF000000"/>
            <rFont val="Arial"/>
            <scheme val="minor"/>
          </rPr>
          <t>Responder updated this value.</t>
        </r>
      </text>
    </comment>
    <comment ref="J5" authorId="0" shapeId="0" xr:uid="{00000000-0006-0000-0300-000047000000}">
      <text>
        <r>
          <rPr>
            <sz val="10"/>
            <color rgb="FF000000"/>
            <rFont val="Arial"/>
            <scheme val="minor"/>
          </rPr>
          <t>Responder updated this value.</t>
        </r>
      </text>
    </comment>
    <comment ref="L5" authorId="0" shapeId="0" xr:uid="{00000000-0006-0000-0300-000048000000}">
      <text>
        <r>
          <rPr>
            <sz val="10"/>
            <color rgb="FF000000"/>
            <rFont val="Arial"/>
            <scheme val="minor"/>
          </rPr>
          <t>Responder updated this value.</t>
        </r>
      </text>
    </comment>
    <comment ref="M5" authorId="0" shapeId="0" xr:uid="{00000000-0006-0000-0300-000049000000}">
      <text>
        <r>
          <rPr>
            <sz val="10"/>
            <color rgb="FF000000"/>
            <rFont val="Arial"/>
            <scheme val="minor"/>
          </rPr>
          <t>Responder updated this value.</t>
        </r>
      </text>
    </comment>
    <comment ref="N5" authorId="0" shapeId="0" xr:uid="{00000000-0006-0000-0300-00004A000000}">
      <text>
        <r>
          <rPr>
            <sz val="10"/>
            <color rgb="FF000000"/>
            <rFont val="Arial"/>
            <scheme val="minor"/>
          </rPr>
          <t>Responder updated this value.</t>
        </r>
      </text>
    </comment>
    <comment ref="O5" authorId="0" shapeId="0" xr:uid="{00000000-0006-0000-0300-00004B000000}">
      <text>
        <r>
          <rPr>
            <sz val="10"/>
            <color rgb="FF000000"/>
            <rFont val="Arial"/>
            <scheme val="minor"/>
          </rPr>
          <t>Responder updated this value.</t>
        </r>
      </text>
    </comment>
    <comment ref="P5" authorId="0" shapeId="0" xr:uid="{00000000-0006-0000-0300-00004C000000}">
      <text>
        <r>
          <rPr>
            <sz val="10"/>
            <color rgb="FF000000"/>
            <rFont val="Arial"/>
            <scheme val="minor"/>
          </rPr>
          <t>Responder updated this value.</t>
        </r>
      </text>
    </comment>
    <comment ref="Q5" authorId="0" shapeId="0" xr:uid="{00000000-0006-0000-0300-00004D000000}">
      <text>
        <r>
          <rPr>
            <sz val="10"/>
            <color rgb="FF000000"/>
            <rFont val="Arial"/>
            <scheme val="minor"/>
          </rPr>
          <t>Responder updated this value.</t>
        </r>
      </text>
    </comment>
    <comment ref="R5" authorId="0" shapeId="0" xr:uid="{00000000-0006-0000-0300-00004E000000}">
      <text>
        <r>
          <rPr>
            <sz val="10"/>
            <color rgb="FF000000"/>
            <rFont val="Arial"/>
            <scheme val="minor"/>
          </rPr>
          <t>Responder updated this value.</t>
        </r>
      </text>
    </comment>
    <comment ref="S5" authorId="0" shapeId="0" xr:uid="{00000000-0006-0000-0300-00004F000000}">
      <text>
        <r>
          <rPr>
            <sz val="10"/>
            <color rgb="FF000000"/>
            <rFont val="Arial"/>
            <scheme val="minor"/>
          </rPr>
          <t>Responder updated this value.</t>
        </r>
      </text>
    </comment>
    <comment ref="T5" authorId="0" shapeId="0" xr:uid="{00000000-0006-0000-0300-000050000000}">
      <text>
        <r>
          <rPr>
            <sz val="10"/>
            <color rgb="FF000000"/>
            <rFont val="Arial"/>
            <scheme val="minor"/>
          </rPr>
          <t>Responder updated this value.</t>
        </r>
      </text>
    </comment>
    <comment ref="U5" authorId="0" shapeId="0" xr:uid="{00000000-0006-0000-0300-000051000000}">
      <text>
        <r>
          <rPr>
            <sz val="10"/>
            <color rgb="FF000000"/>
            <rFont val="Arial"/>
            <scheme val="minor"/>
          </rPr>
          <t>Responder updated this value.</t>
        </r>
      </text>
    </comment>
    <comment ref="V5" authorId="0" shapeId="0" xr:uid="{00000000-0006-0000-0300-000052000000}">
      <text>
        <r>
          <rPr>
            <sz val="10"/>
            <color rgb="FF000000"/>
            <rFont val="Arial"/>
            <scheme val="minor"/>
          </rPr>
          <t>Responder updated this value.</t>
        </r>
      </text>
    </comment>
    <comment ref="W5" authorId="0" shapeId="0" xr:uid="{00000000-0006-0000-0300-000053000000}">
      <text>
        <r>
          <rPr>
            <sz val="10"/>
            <color rgb="FF000000"/>
            <rFont val="Arial"/>
            <scheme val="minor"/>
          </rPr>
          <t>Responder updated this value.</t>
        </r>
      </text>
    </comment>
    <comment ref="X5" authorId="0" shapeId="0" xr:uid="{00000000-0006-0000-0300-000054000000}">
      <text>
        <r>
          <rPr>
            <sz val="10"/>
            <color rgb="FF000000"/>
            <rFont val="Arial"/>
            <scheme val="minor"/>
          </rPr>
          <t>Responder updated this value.</t>
        </r>
      </text>
    </comment>
    <comment ref="Y5" authorId="0" shapeId="0" xr:uid="{00000000-0006-0000-0300-000055000000}">
      <text>
        <r>
          <rPr>
            <sz val="10"/>
            <color rgb="FF000000"/>
            <rFont val="Arial"/>
            <scheme val="minor"/>
          </rPr>
          <t>Responder updated this value.</t>
        </r>
      </text>
    </comment>
    <comment ref="AC5" authorId="0" shapeId="0" xr:uid="{00000000-0006-0000-0300-000056000000}">
      <text>
        <r>
          <rPr>
            <sz val="10"/>
            <color rgb="FF000000"/>
            <rFont val="Arial"/>
            <scheme val="minor"/>
          </rPr>
          <t>Responder updated this value.</t>
        </r>
      </text>
    </comment>
    <comment ref="AD5" authorId="0" shapeId="0" xr:uid="{00000000-0006-0000-0300-000057000000}">
      <text>
        <r>
          <rPr>
            <sz val="10"/>
            <color rgb="FF000000"/>
            <rFont val="Arial"/>
            <scheme val="minor"/>
          </rPr>
          <t>Responder updated this value.</t>
        </r>
      </text>
    </comment>
    <comment ref="AE5" authorId="0" shapeId="0" xr:uid="{00000000-0006-0000-0300-000058000000}">
      <text>
        <r>
          <rPr>
            <sz val="10"/>
            <color rgb="FF000000"/>
            <rFont val="Arial"/>
            <scheme val="minor"/>
          </rPr>
          <t>Responder updated this value.</t>
        </r>
      </text>
    </comment>
    <comment ref="AF5" authorId="0" shapeId="0" xr:uid="{00000000-0006-0000-0300-000059000000}">
      <text>
        <r>
          <rPr>
            <sz val="10"/>
            <color rgb="FF000000"/>
            <rFont val="Arial"/>
            <scheme val="minor"/>
          </rPr>
          <t>Responder updated this value.</t>
        </r>
      </text>
    </comment>
    <comment ref="AG5" authorId="0" shapeId="0" xr:uid="{00000000-0006-0000-0300-00005A000000}">
      <text>
        <r>
          <rPr>
            <sz val="10"/>
            <color rgb="FF000000"/>
            <rFont val="Arial"/>
            <scheme val="minor"/>
          </rPr>
          <t>Responder updated this value.</t>
        </r>
      </text>
    </comment>
    <comment ref="AH5" authorId="0" shapeId="0" xr:uid="{00000000-0006-0000-0300-00005B000000}">
      <text>
        <r>
          <rPr>
            <sz val="10"/>
            <color rgb="FF000000"/>
            <rFont val="Arial"/>
            <scheme val="minor"/>
          </rPr>
          <t>Responder updated this value.</t>
        </r>
      </text>
    </comment>
    <comment ref="AJ5" authorId="0" shapeId="0" xr:uid="{00000000-0006-0000-0300-00005C000000}">
      <text>
        <r>
          <rPr>
            <sz val="10"/>
            <color rgb="FF000000"/>
            <rFont val="Arial"/>
            <scheme val="minor"/>
          </rPr>
          <t>Responder updated this value.</t>
        </r>
      </text>
    </comment>
    <comment ref="AK5" authorId="0" shapeId="0" xr:uid="{00000000-0006-0000-0300-00005D000000}">
      <text>
        <r>
          <rPr>
            <sz val="10"/>
            <color rgb="FF000000"/>
            <rFont val="Arial"/>
            <scheme val="minor"/>
          </rPr>
          <t>Responder updated this value.</t>
        </r>
      </text>
    </comment>
    <comment ref="AL5" authorId="0" shapeId="0" xr:uid="{00000000-0006-0000-0300-00005E000000}">
      <text>
        <r>
          <rPr>
            <sz val="10"/>
            <color rgb="FF000000"/>
            <rFont val="Arial"/>
            <scheme val="minor"/>
          </rPr>
          <t>Responder updated this value.</t>
        </r>
      </text>
    </comment>
    <comment ref="AM5" authorId="0" shapeId="0" xr:uid="{00000000-0006-0000-0300-00005F000000}">
      <text>
        <r>
          <rPr>
            <sz val="10"/>
            <color rgb="FF000000"/>
            <rFont val="Arial"/>
            <scheme val="minor"/>
          </rPr>
          <t>Responder updated this value.</t>
        </r>
      </text>
    </comment>
    <comment ref="AN5" authorId="0" shapeId="0" xr:uid="{00000000-0006-0000-0300-000060000000}">
      <text>
        <r>
          <rPr>
            <sz val="10"/>
            <color rgb="FF000000"/>
            <rFont val="Arial"/>
            <scheme val="minor"/>
          </rPr>
          <t>Responder updated this value.</t>
        </r>
      </text>
    </comment>
    <comment ref="AO5" authorId="0" shapeId="0" xr:uid="{00000000-0006-0000-0300-000061000000}">
      <text>
        <r>
          <rPr>
            <sz val="10"/>
            <color rgb="FF000000"/>
            <rFont val="Arial"/>
            <scheme val="minor"/>
          </rPr>
          <t>Responder updated this value.</t>
        </r>
      </text>
    </comment>
    <comment ref="AP5" authorId="0" shapeId="0" xr:uid="{00000000-0006-0000-0300-000062000000}">
      <text>
        <r>
          <rPr>
            <sz val="10"/>
            <color rgb="FF000000"/>
            <rFont val="Arial"/>
            <scheme val="minor"/>
          </rPr>
          <t>Responder updated this value.</t>
        </r>
      </text>
    </comment>
    <comment ref="AQ5" authorId="0" shapeId="0" xr:uid="{00000000-0006-0000-0300-000063000000}">
      <text>
        <r>
          <rPr>
            <sz val="10"/>
            <color rgb="FF000000"/>
            <rFont val="Arial"/>
            <scheme val="minor"/>
          </rPr>
          <t>Responder updated this value.</t>
        </r>
      </text>
    </comment>
    <comment ref="AR5" authorId="0" shapeId="0" xr:uid="{00000000-0006-0000-0300-000064000000}">
      <text>
        <r>
          <rPr>
            <sz val="10"/>
            <color rgb="FF000000"/>
            <rFont val="Arial"/>
            <scheme val="minor"/>
          </rPr>
          <t>Responder updated this value.</t>
        </r>
      </text>
    </comment>
    <comment ref="AS5" authorId="0" shapeId="0" xr:uid="{00000000-0006-0000-0300-000065000000}">
      <text>
        <r>
          <rPr>
            <sz val="10"/>
            <color rgb="FF000000"/>
            <rFont val="Arial"/>
            <scheme val="minor"/>
          </rPr>
          <t>Responder updated this value.</t>
        </r>
      </text>
    </comment>
    <comment ref="AT5" authorId="0" shapeId="0" xr:uid="{00000000-0006-0000-0300-000066000000}">
      <text>
        <r>
          <rPr>
            <sz val="10"/>
            <color rgb="FF000000"/>
            <rFont val="Arial"/>
            <scheme val="minor"/>
          </rPr>
          <t>Responder updated this value.</t>
        </r>
      </text>
    </comment>
    <comment ref="AU5" authorId="0" shapeId="0" xr:uid="{00000000-0006-0000-0300-000067000000}">
      <text>
        <r>
          <rPr>
            <sz val="10"/>
            <color rgb="FF000000"/>
            <rFont val="Arial"/>
            <scheme val="minor"/>
          </rPr>
          <t>Responder updated this value.</t>
        </r>
      </text>
    </comment>
    <comment ref="D6" authorId="0" shapeId="0" xr:uid="{00000000-0006-0000-0300-000068000000}">
      <text>
        <r>
          <rPr>
            <sz val="10"/>
            <color rgb="FF000000"/>
            <rFont val="Arial"/>
            <scheme val="minor"/>
          </rPr>
          <t>Responder updated this value.</t>
        </r>
      </text>
    </comment>
    <comment ref="I6" authorId="0" shapeId="0" xr:uid="{00000000-0006-0000-0300-000069000000}">
      <text>
        <r>
          <rPr>
            <sz val="10"/>
            <color rgb="FF000000"/>
            <rFont val="Arial"/>
            <scheme val="minor"/>
          </rPr>
          <t>Responder updated this value.</t>
        </r>
      </text>
    </comment>
    <comment ref="K6" authorId="0" shapeId="0" xr:uid="{00000000-0006-0000-0300-00006A000000}">
      <text>
        <r>
          <rPr>
            <sz val="10"/>
            <color rgb="FF000000"/>
            <rFont val="Arial"/>
            <scheme val="minor"/>
          </rPr>
          <t>Responder updated this value.</t>
        </r>
      </text>
    </comment>
    <comment ref="L6" authorId="0" shapeId="0" xr:uid="{00000000-0006-0000-0300-00006B000000}">
      <text>
        <r>
          <rPr>
            <sz val="10"/>
            <color rgb="FF000000"/>
            <rFont val="Arial"/>
            <scheme val="minor"/>
          </rPr>
          <t>Responder updated this value.</t>
        </r>
      </text>
    </comment>
    <comment ref="M6" authorId="0" shapeId="0" xr:uid="{00000000-0006-0000-0300-00006C000000}">
      <text>
        <r>
          <rPr>
            <sz val="10"/>
            <color rgb="FF000000"/>
            <rFont val="Arial"/>
            <scheme val="minor"/>
          </rPr>
          <t>Responder updated this value.</t>
        </r>
      </text>
    </comment>
    <comment ref="N6" authorId="0" shapeId="0" xr:uid="{00000000-0006-0000-0300-00006D000000}">
      <text>
        <r>
          <rPr>
            <sz val="10"/>
            <color rgb="FF000000"/>
            <rFont val="Arial"/>
            <scheme val="minor"/>
          </rPr>
          <t>Responder updated this value.</t>
        </r>
      </text>
    </comment>
    <comment ref="AC6" authorId="0" shapeId="0" xr:uid="{00000000-0006-0000-0300-00006E000000}">
      <text>
        <r>
          <rPr>
            <sz val="10"/>
            <color rgb="FF000000"/>
            <rFont val="Arial"/>
            <scheme val="minor"/>
          </rPr>
          <t>Responder updated this value.</t>
        </r>
      </text>
    </comment>
    <comment ref="AD6" authorId="0" shapeId="0" xr:uid="{00000000-0006-0000-0300-00006F000000}">
      <text>
        <r>
          <rPr>
            <sz val="10"/>
            <color rgb="FF000000"/>
            <rFont val="Arial"/>
            <scheme val="minor"/>
          </rPr>
          <t>Responder updated this value.</t>
        </r>
      </text>
    </comment>
    <comment ref="AE6" authorId="0" shapeId="0" xr:uid="{00000000-0006-0000-0300-000070000000}">
      <text>
        <r>
          <rPr>
            <sz val="10"/>
            <color rgb="FF000000"/>
            <rFont val="Arial"/>
            <scheme val="minor"/>
          </rPr>
          <t>Responder updated this value.</t>
        </r>
      </text>
    </comment>
    <comment ref="AF6" authorId="0" shapeId="0" xr:uid="{00000000-0006-0000-0300-000071000000}">
      <text>
        <r>
          <rPr>
            <sz val="10"/>
            <color rgb="FF000000"/>
            <rFont val="Arial"/>
            <scheme val="minor"/>
          </rPr>
          <t>Responder updated this value.</t>
        </r>
      </text>
    </comment>
    <comment ref="AG6" authorId="0" shapeId="0" xr:uid="{00000000-0006-0000-0300-000072000000}">
      <text>
        <r>
          <rPr>
            <sz val="10"/>
            <color rgb="FF000000"/>
            <rFont val="Arial"/>
            <scheme val="minor"/>
          </rPr>
          <t>Responder updated this value.</t>
        </r>
      </text>
    </comment>
    <comment ref="AH6" authorId="0" shapeId="0" xr:uid="{00000000-0006-0000-0300-000073000000}">
      <text>
        <r>
          <rPr>
            <sz val="10"/>
            <color rgb="FF000000"/>
            <rFont val="Arial"/>
            <scheme val="minor"/>
          </rPr>
          <t>Responder updated this value.</t>
        </r>
      </text>
    </comment>
    <comment ref="AI6" authorId="0" shapeId="0" xr:uid="{00000000-0006-0000-0300-000074000000}">
      <text>
        <r>
          <rPr>
            <sz val="10"/>
            <color rgb="FF000000"/>
            <rFont val="Arial"/>
            <scheme val="minor"/>
          </rPr>
          <t>Responder updated this value.</t>
        </r>
      </text>
    </comment>
    <comment ref="AJ6" authorId="0" shapeId="0" xr:uid="{00000000-0006-0000-0300-000075000000}">
      <text>
        <r>
          <rPr>
            <sz val="10"/>
            <color rgb="FF000000"/>
            <rFont val="Arial"/>
            <scheme val="minor"/>
          </rPr>
          <t>Responder updated this value.</t>
        </r>
      </text>
    </comment>
    <comment ref="AK6" authorId="0" shapeId="0" xr:uid="{00000000-0006-0000-0300-000076000000}">
      <text>
        <r>
          <rPr>
            <sz val="10"/>
            <color rgb="FF000000"/>
            <rFont val="Arial"/>
            <scheme val="minor"/>
          </rPr>
          <t>Responder updated this value.</t>
        </r>
      </text>
    </comment>
    <comment ref="AL6" authorId="0" shapeId="0" xr:uid="{00000000-0006-0000-0300-000077000000}">
      <text>
        <r>
          <rPr>
            <sz val="10"/>
            <color rgb="FF000000"/>
            <rFont val="Arial"/>
            <scheme val="minor"/>
          </rPr>
          <t>Responder updated this value.</t>
        </r>
      </text>
    </comment>
    <comment ref="AM6" authorId="0" shapeId="0" xr:uid="{00000000-0006-0000-0300-000078000000}">
      <text>
        <r>
          <rPr>
            <sz val="10"/>
            <color rgb="FF000000"/>
            <rFont val="Arial"/>
            <scheme val="minor"/>
          </rPr>
          <t>Responder updated this value.</t>
        </r>
      </text>
    </comment>
    <comment ref="AN6" authorId="0" shapeId="0" xr:uid="{00000000-0006-0000-0300-000079000000}">
      <text>
        <r>
          <rPr>
            <sz val="10"/>
            <color rgb="FF000000"/>
            <rFont val="Arial"/>
            <scheme val="minor"/>
          </rPr>
          <t>Responder updated this value.</t>
        </r>
      </text>
    </comment>
    <comment ref="AO6" authorId="0" shapeId="0" xr:uid="{00000000-0006-0000-0300-00007A000000}">
      <text>
        <r>
          <rPr>
            <sz val="10"/>
            <color rgb="FF000000"/>
            <rFont val="Arial"/>
            <scheme val="minor"/>
          </rPr>
          <t>Responder updated this value.</t>
        </r>
      </text>
    </comment>
    <comment ref="AP6" authorId="0" shapeId="0" xr:uid="{00000000-0006-0000-0300-00007B000000}">
      <text>
        <r>
          <rPr>
            <sz val="10"/>
            <color rgb="FF000000"/>
            <rFont val="Arial"/>
            <scheme val="minor"/>
          </rPr>
          <t>Responder updated this value.</t>
        </r>
      </text>
    </comment>
    <comment ref="AQ6" authorId="0" shapeId="0" xr:uid="{00000000-0006-0000-0300-00007C000000}">
      <text>
        <r>
          <rPr>
            <sz val="10"/>
            <color rgb="FF000000"/>
            <rFont val="Arial"/>
            <scheme val="minor"/>
          </rPr>
          <t>Responder updated this value.</t>
        </r>
      </text>
    </comment>
    <comment ref="AR6" authorId="0" shapeId="0" xr:uid="{00000000-0006-0000-0300-00007D000000}">
      <text>
        <r>
          <rPr>
            <sz val="10"/>
            <color rgb="FF000000"/>
            <rFont val="Arial"/>
            <scheme val="minor"/>
          </rPr>
          <t>Responder updated this value.</t>
        </r>
      </text>
    </comment>
    <comment ref="AS6" authorId="0" shapeId="0" xr:uid="{00000000-0006-0000-0300-00007E000000}">
      <text>
        <r>
          <rPr>
            <sz val="10"/>
            <color rgb="FF000000"/>
            <rFont val="Arial"/>
            <scheme val="minor"/>
          </rPr>
          <t>Responder updated this value.</t>
        </r>
      </text>
    </comment>
    <comment ref="AT6" authorId="0" shapeId="0" xr:uid="{00000000-0006-0000-0300-00007F000000}">
      <text>
        <r>
          <rPr>
            <sz val="10"/>
            <color rgb="FF000000"/>
            <rFont val="Arial"/>
            <scheme val="minor"/>
          </rPr>
          <t>Responder updated this value.</t>
        </r>
      </text>
    </comment>
    <comment ref="AU6" authorId="0" shapeId="0" xr:uid="{00000000-0006-0000-0300-000080000000}">
      <text>
        <r>
          <rPr>
            <sz val="10"/>
            <color rgb="FF000000"/>
            <rFont val="Arial"/>
            <scheme val="minor"/>
          </rPr>
          <t>Responder updated this value.</t>
        </r>
      </text>
    </comment>
    <comment ref="D7" authorId="0" shapeId="0" xr:uid="{00000000-0006-0000-0300-000081000000}">
      <text>
        <r>
          <rPr>
            <sz val="10"/>
            <color rgb="FF000000"/>
            <rFont val="Arial"/>
            <scheme val="minor"/>
          </rPr>
          <t>Responder updated this value.</t>
        </r>
      </text>
    </comment>
    <comment ref="K7" authorId="0" shapeId="0" xr:uid="{00000000-0006-0000-0300-000082000000}">
      <text>
        <r>
          <rPr>
            <sz val="10"/>
            <color rgb="FF000000"/>
            <rFont val="Arial"/>
            <scheme val="minor"/>
          </rPr>
          <t>Responder updated this value.</t>
        </r>
      </text>
    </comment>
    <comment ref="AD7" authorId="0" shapeId="0" xr:uid="{00000000-0006-0000-0300-000083000000}">
      <text>
        <r>
          <rPr>
            <sz val="10"/>
            <color rgb="FF000000"/>
            <rFont val="Arial"/>
            <scheme val="minor"/>
          </rPr>
          <t>Responder updated this value.</t>
        </r>
      </text>
    </comment>
    <comment ref="AI7" authorId="0" shapeId="0" xr:uid="{00000000-0006-0000-0300-000084000000}">
      <text>
        <r>
          <rPr>
            <sz val="10"/>
            <color rgb="FF000000"/>
            <rFont val="Arial"/>
            <scheme val="minor"/>
          </rPr>
          <t>Responder updated this value.</t>
        </r>
      </text>
    </comment>
    <comment ref="AJ7" authorId="0" shapeId="0" xr:uid="{00000000-0006-0000-0300-000085000000}">
      <text>
        <r>
          <rPr>
            <sz val="10"/>
            <color rgb="FF000000"/>
            <rFont val="Arial"/>
            <scheme val="minor"/>
          </rPr>
          <t>Responder updated this value.</t>
        </r>
      </text>
    </comment>
    <comment ref="AP7" authorId="0" shapeId="0" xr:uid="{00000000-0006-0000-0300-000086000000}">
      <text>
        <r>
          <rPr>
            <sz val="10"/>
            <color rgb="FF000000"/>
            <rFont val="Arial"/>
            <scheme val="minor"/>
          </rPr>
          <t>Responder updated this value.</t>
        </r>
      </text>
    </comment>
    <comment ref="AQ7" authorId="0" shapeId="0" xr:uid="{00000000-0006-0000-0300-000087000000}">
      <text>
        <r>
          <rPr>
            <sz val="10"/>
            <color rgb="FF000000"/>
            <rFont val="Arial"/>
            <scheme val="minor"/>
          </rPr>
          <t>Responder updated this value.</t>
        </r>
      </text>
    </comment>
    <comment ref="AR7" authorId="0" shapeId="0" xr:uid="{00000000-0006-0000-0300-000088000000}">
      <text>
        <r>
          <rPr>
            <sz val="10"/>
            <color rgb="FF000000"/>
            <rFont val="Arial"/>
            <scheme val="minor"/>
          </rPr>
          <t>Responder updated this value.</t>
        </r>
      </text>
    </comment>
    <comment ref="AS7" authorId="0" shapeId="0" xr:uid="{00000000-0006-0000-0300-000089000000}">
      <text>
        <r>
          <rPr>
            <sz val="10"/>
            <color rgb="FF000000"/>
            <rFont val="Arial"/>
            <scheme val="minor"/>
          </rPr>
          <t>Responder updated this value.</t>
        </r>
      </text>
    </comment>
    <comment ref="AT7" authorId="0" shapeId="0" xr:uid="{00000000-0006-0000-0300-00008A000000}">
      <text>
        <r>
          <rPr>
            <sz val="10"/>
            <color rgb="FF000000"/>
            <rFont val="Arial"/>
            <scheme val="minor"/>
          </rPr>
          <t>Responder updated this value.</t>
        </r>
      </text>
    </comment>
    <comment ref="D8" authorId="0" shapeId="0" xr:uid="{00000000-0006-0000-0300-00008B000000}">
      <text>
        <r>
          <rPr>
            <sz val="10"/>
            <color rgb="FF000000"/>
            <rFont val="Arial"/>
            <scheme val="minor"/>
          </rPr>
          <t>Responder updated this value.</t>
        </r>
      </text>
    </comment>
    <comment ref="L8" authorId="0" shapeId="0" xr:uid="{00000000-0006-0000-0300-00008C000000}">
      <text>
        <r>
          <rPr>
            <sz val="10"/>
            <color rgb="FF000000"/>
            <rFont val="Arial"/>
            <scheme val="minor"/>
          </rPr>
          <t>Responder updated this value.</t>
        </r>
      </text>
    </comment>
    <comment ref="M8" authorId="0" shapeId="0" xr:uid="{00000000-0006-0000-0300-00008D000000}">
      <text>
        <r>
          <rPr>
            <sz val="10"/>
            <color rgb="FF000000"/>
            <rFont val="Arial"/>
            <scheme val="minor"/>
          </rPr>
          <t>Responder updated this value.</t>
        </r>
      </text>
    </comment>
    <comment ref="N8" authorId="0" shapeId="0" xr:uid="{00000000-0006-0000-0300-00008E000000}">
      <text>
        <r>
          <rPr>
            <sz val="10"/>
            <color rgb="FF000000"/>
            <rFont val="Arial"/>
            <scheme val="minor"/>
          </rPr>
          <t>Responder updated this value.</t>
        </r>
      </text>
    </comment>
    <comment ref="AD8" authorId="0" shapeId="0" xr:uid="{00000000-0006-0000-0300-00008F000000}">
      <text>
        <r>
          <rPr>
            <sz val="10"/>
            <color rgb="FF000000"/>
            <rFont val="Arial"/>
            <scheme val="minor"/>
          </rPr>
          <t>Responder updated this value.</t>
        </r>
      </text>
    </comment>
    <comment ref="AF8" authorId="0" shapeId="0" xr:uid="{00000000-0006-0000-0300-000090000000}">
      <text>
        <r>
          <rPr>
            <sz val="10"/>
            <color rgb="FF000000"/>
            <rFont val="Arial"/>
            <scheme val="minor"/>
          </rPr>
          <t>Responder updated this value.</t>
        </r>
      </text>
    </comment>
    <comment ref="AG8" authorId="0" shapeId="0" xr:uid="{00000000-0006-0000-0300-000091000000}">
      <text>
        <r>
          <rPr>
            <sz val="10"/>
            <color rgb="FF000000"/>
            <rFont val="Arial"/>
            <scheme val="minor"/>
          </rPr>
          <t>Responder updated this value.</t>
        </r>
      </text>
    </comment>
    <comment ref="AM8" authorId="0" shapeId="0" xr:uid="{00000000-0006-0000-0300-000092000000}">
      <text>
        <r>
          <rPr>
            <sz val="10"/>
            <color rgb="FF000000"/>
            <rFont val="Arial"/>
            <scheme val="minor"/>
          </rPr>
          <t>Responder updated this value.</t>
        </r>
      </text>
    </comment>
    <comment ref="AN8" authorId="0" shapeId="0" xr:uid="{00000000-0006-0000-0300-000093000000}">
      <text>
        <r>
          <rPr>
            <sz val="10"/>
            <color rgb="FF000000"/>
            <rFont val="Arial"/>
            <scheme val="minor"/>
          </rPr>
          <t>Responder updated this value.</t>
        </r>
      </text>
    </comment>
    <comment ref="AO8" authorId="0" shapeId="0" xr:uid="{00000000-0006-0000-0300-000094000000}">
      <text>
        <r>
          <rPr>
            <sz val="10"/>
            <color rgb="FF000000"/>
            <rFont val="Arial"/>
            <scheme val="minor"/>
          </rPr>
          <t>Responder updated this value.</t>
        </r>
      </text>
    </comment>
    <comment ref="AU8" authorId="0" shapeId="0" xr:uid="{00000000-0006-0000-0300-000095000000}">
      <text>
        <r>
          <rPr>
            <sz val="10"/>
            <color rgb="FF000000"/>
            <rFont val="Arial"/>
            <scheme val="minor"/>
          </rPr>
          <t>Responder updated this value.</t>
        </r>
      </text>
    </comment>
    <comment ref="D9" authorId="0" shapeId="0" xr:uid="{00000000-0006-0000-0300-000096000000}">
      <text>
        <r>
          <rPr>
            <sz val="10"/>
            <color rgb="FF000000"/>
            <rFont val="Arial"/>
            <scheme val="minor"/>
          </rPr>
          <t>Responder updated this value.</t>
        </r>
      </text>
    </comment>
    <comment ref="E9" authorId="0" shapeId="0" xr:uid="{00000000-0006-0000-0300-000097000000}">
      <text>
        <r>
          <rPr>
            <sz val="10"/>
            <color rgb="FF000000"/>
            <rFont val="Arial"/>
            <scheme val="minor"/>
          </rPr>
          <t>Responder updated this value.</t>
        </r>
      </text>
    </comment>
    <comment ref="K9" authorId="0" shapeId="0" xr:uid="{00000000-0006-0000-0300-000098000000}">
      <text>
        <r>
          <rPr>
            <sz val="10"/>
            <color rgb="FF000000"/>
            <rFont val="Arial"/>
            <scheme val="minor"/>
          </rPr>
          <t>Responder updated this value.</t>
        </r>
      </text>
    </comment>
    <comment ref="AE9" authorId="0" shapeId="0" xr:uid="{00000000-0006-0000-0300-000099000000}">
      <text>
        <r>
          <rPr>
            <sz val="10"/>
            <color rgb="FF000000"/>
            <rFont val="Arial"/>
            <scheme val="minor"/>
          </rPr>
          <t>Responder updated this value.</t>
        </r>
      </text>
    </comment>
    <comment ref="AF9" authorId="0" shapeId="0" xr:uid="{00000000-0006-0000-0300-00009A000000}">
      <text>
        <r>
          <rPr>
            <sz val="10"/>
            <color rgb="FF000000"/>
            <rFont val="Arial"/>
            <scheme val="minor"/>
          </rPr>
          <t>Responder updated this value.</t>
        </r>
      </text>
    </comment>
    <comment ref="AH9" authorId="0" shapeId="0" xr:uid="{00000000-0006-0000-0300-00009B000000}">
      <text>
        <r>
          <rPr>
            <sz val="10"/>
            <color rgb="FF000000"/>
            <rFont val="Arial"/>
            <scheme val="minor"/>
          </rPr>
          <t>Responder updated this value.</t>
        </r>
      </text>
    </comment>
    <comment ref="AI9" authorId="0" shapeId="0" xr:uid="{00000000-0006-0000-0300-00009C000000}">
      <text>
        <r>
          <rPr>
            <sz val="10"/>
            <color rgb="FF000000"/>
            <rFont val="Arial"/>
            <scheme val="minor"/>
          </rPr>
          <t>Responder updated this value.</t>
        </r>
      </text>
    </comment>
    <comment ref="AK9" authorId="0" shapeId="0" xr:uid="{00000000-0006-0000-0300-00009D000000}">
      <text>
        <r>
          <rPr>
            <sz val="10"/>
            <color rgb="FF000000"/>
            <rFont val="Arial"/>
            <scheme val="minor"/>
          </rPr>
          <t>Responder updated this value.</t>
        </r>
      </text>
    </comment>
    <comment ref="AL9" authorId="0" shapeId="0" xr:uid="{00000000-0006-0000-0300-00009E000000}">
      <text>
        <r>
          <rPr>
            <sz val="10"/>
            <color rgb="FF000000"/>
            <rFont val="Arial"/>
            <scheme val="minor"/>
          </rPr>
          <t>Responder updated this value.</t>
        </r>
      </text>
    </comment>
    <comment ref="AM9" authorId="0" shapeId="0" xr:uid="{00000000-0006-0000-0300-00009F000000}">
      <text>
        <r>
          <rPr>
            <sz val="10"/>
            <color rgb="FF000000"/>
            <rFont val="Arial"/>
            <scheme val="minor"/>
          </rPr>
          <t>Responder updated this value.</t>
        </r>
      </text>
    </comment>
    <comment ref="AN9" authorId="0" shapeId="0" xr:uid="{00000000-0006-0000-0300-0000A0000000}">
      <text>
        <r>
          <rPr>
            <sz val="10"/>
            <color rgb="FF000000"/>
            <rFont val="Arial"/>
            <scheme val="minor"/>
          </rPr>
          <t>Responder updated this value.</t>
        </r>
      </text>
    </comment>
    <comment ref="AO9" authorId="0" shapeId="0" xr:uid="{00000000-0006-0000-0300-0000A1000000}">
      <text>
        <r>
          <rPr>
            <sz val="10"/>
            <color rgb="FF000000"/>
            <rFont val="Arial"/>
            <scheme val="minor"/>
          </rPr>
          <t>Responder updated this value.</t>
        </r>
      </text>
    </comment>
    <comment ref="AP9" authorId="0" shapeId="0" xr:uid="{00000000-0006-0000-0300-0000A2000000}">
      <text>
        <r>
          <rPr>
            <sz val="10"/>
            <color rgb="FF000000"/>
            <rFont val="Arial"/>
            <scheme val="minor"/>
          </rPr>
          <t>Responder updated this value.</t>
        </r>
      </text>
    </comment>
    <comment ref="AQ9" authorId="0" shapeId="0" xr:uid="{00000000-0006-0000-0300-0000A3000000}">
      <text>
        <r>
          <rPr>
            <sz val="10"/>
            <color rgb="FF000000"/>
            <rFont val="Arial"/>
            <scheme val="minor"/>
          </rPr>
          <t>Responder updated this value.</t>
        </r>
      </text>
    </comment>
    <comment ref="AR9" authorId="0" shapeId="0" xr:uid="{00000000-0006-0000-0300-0000A4000000}">
      <text>
        <r>
          <rPr>
            <sz val="10"/>
            <color rgb="FF000000"/>
            <rFont val="Arial"/>
            <scheme val="minor"/>
          </rPr>
          <t>Responder updated this value.</t>
        </r>
      </text>
    </comment>
    <comment ref="AS9" authorId="0" shapeId="0" xr:uid="{00000000-0006-0000-0300-0000A5000000}">
      <text>
        <r>
          <rPr>
            <sz val="10"/>
            <color rgb="FF000000"/>
            <rFont val="Arial"/>
            <scheme val="minor"/>
          </rPr>
          <t>Responder updated this value.</t>
        </r>
      </text>
    </comment>
    <comment ref="AT9" authorId="0" shapeId="0" xr:uid="{00000000-0006-0000-0300-0000A6000000}">
      <text>
        <r>
          <rPr>
            <sz val="10"/>
            <color rgb="FF000000"/>
            <rFont val="Arial"/>
            <scheme val="minor"/>
          </rPr>
          <t>Responder updated this value.</t>
        </r>
      </text>
    </comment>
    <comment ref="AU9" authorId="0" shapeId="0" xr:uid="{00000000-0006-0000-0300-0000A7000000}">
      <text>
        <r>
          <rPr>
            <sz val="10"/>
            <color rgb="FF000000"/>
            <rFont val="Arial"/>
            <scheme val="minor"/>
          </rPr>
          <t>Responder updated this value.</t>
        </r>
      </text>
    </comment>
    <comment ref="D10" authorId="0" shapeId="0" xr:uid="{00000000-0006-0000-0300-0000A8000000}">
      <text>
        <r>
          <rPr>
            <sz val="10"/>
            <color rgb="FF000000"/>
            <rFont val="Arial"/>
            <scheme val="minor"/>
          </rPr>
          <t>Responder updated this value.</t>
        </r>
      </text>
    </comment>
    <comment ref="AD10" authorId="0" shapeId="0" xr:uid="{00000000-0006-0000-0300-0000A9000000}">
      <text>
        <r>
          <rPr>
            <sz val="10"/>
            <color rgb="FF000000"/>
            <rFont val="Arial"/>
            <scheme val="minor"/>
          </rPr>
          <t>Responder updated this value.</t>
        </r>
      </text>
    </comment>
    <comment ref="AE10" authorId="0" shapeId="0" xr:uid="{00000000-0006-0000-0300-0000AA000000}">
      <text>
        <r>
          <rPr>
            <sz val="10"/>
            <color rgb="FF000000"/>
            <rFont val="Arial"/>
            <scheme val="minor"/>
          </rPr>
          <t>Responder updated this value.</t>
        </r>
      </text>
    </comment>
    <comment ref="AJ10" authorId="0" shapeId="0" xr:uid="{00000000-0006-0000-0300-0000AB000000}">
      <text>
        <r>
          <rPr>
            <sz val="10"/>
            <color rgb="FF000000"/>
            <rFont val="Arial"/>
            <scheme val="minor"/>
          </rPr>
          <t>Responder updated this value.</t>
        </r>
      </text>
    </comment>
    <comment ref="AK10" authorId="0" shapeId="0" xr:uid="{00000000-0006-0000-0300-0000AC000000}">
      <text>
        <r>
          <rPr>
            <sz val="10"/>
            <color rgb="FF000000"/>
            <rFont val="Arial"/>
            <scheme val="minor"/>
          </rPr>
          <t>Responder updated this value.</t>
        </r>
      </text>
    </comment>
    <comment ref="AL10" authorId="0" shapeId="0" xr:uid="{00000000-0006-0000-0300-0000AD000000}">
      <text>
        <r>
          <rPr>
            <sz val="10"/>
            <color rgb="FF000000"/>
            <rFont val="Arial"/>
            <scheme val="minor"/>
          </rPr>
          <t>Responder updated this value.</t>
        </r>
      </text>
    </comment>
    <comment ref="AM10" authorId="0" shapeId="0" xr:uid="{00000000-0006-0000-0300-0000AE000000}">
      <text>
        <r>
          <rPr>
            <sz val="10"/>
            <color rgb="FF000000"/>
            <rFont val="Arial"/>
            <scheme val="minor"/>
          </rPr>
          <t>Responder updated this value.</t>
        </r>
      </text>
    </comment>
    <comment ref="AN10" authorId="0" shapeId="0" xr:uid="{00000000-0006-0000-0300-0000AF000000}">
      <text>
        <r>
          <rPr>
            <sz val="10"/>
            <color rgb="FF000000"/>
            <rFont val="Arial"/>
            <scheme val="minor"/>
          </rPr>
          <t>Responder updated this value.</t>
        </r>
      </text>
    </comment>
    <comment ref="AO10" authorId="0" shapeId="0" xr:uid="{00000000-0006-0000-0300-0000B0000000}">
      <text>
        <r>
          <rPr>
            <sz val="10"/>
            <color rgb="FF000000"/>
            <rFont val="Arial"/>
            <scheme val="minor"/>
          </rPr>
          <t>Responder updated this value.</t>
        </r>
      </text>
    </comment>
    <comment ref="AP10" authorId="0" shapeId="0" xr:uid="{00000000-0006-0000-0300-0000B1000000}">
      <text>
        <r>
          <rPr>
            <sz val="10"/>
            <color rgb="FF000000"/>
            <rFont val="Arial"/>
            <scheme val="minor"/>
          </rPr>
          <t>Responder updated this value.</t>
        </r>
      </text>
    </comment>
    <comment ref="AQ10" authorId="0" shapeId="0" xr:uid="{00000000-0006-0000-0300-0000B2000000}">
      <text>
        <r>
          <rPr>
            <sz val="10"/>
            <color rgb="FF000000"/>
            <rFont val="Arial"/>
            <scheme val="minor"/>
          </rPr>
          <t>Responder updated this value.</t>
        </r>
      </text>
    </comment>
    <comment ref="AR10" authorId="0" shapeId="0" xr:uid="{00000000-0006-0000-0300-0000B3000000}">
      <text>
        <r>
          <rPr>
            <sz val="10"/>
            <color rgb="FF000000"/>
            <rFont val="Arial"/>
            <scheme val="minor"/>
          </rPr>
          <t>Responder updated this value.</t>
        </r>
      </text>
    </comment>
    <comment ref="AT10" authorId="0" shapeId="0" xr:uid="{00000000-0006-0000-0300-0000B4000000}">
      <text>
        <r>
          <rPr>
            <sz val="10"/>
            <color rgb="FF000000"/>
            <rFont val="Arial"/>
            <scheme val="minor"/>
          </rPr>
          <t>Responder updated this value.</t>
        </r>
      </text>
    </comment>
    <comment ref="AU10" authorId="0" shapeId="0" xr:uid="{00000000-0006-0000-0300-0000B5000000}">
      <text>
        <r>
          <rPr>
            <sz val="10"/>
            <color rgb="FF000000"/>
            <rFont val="Arial"/>
            <scheme val="minor"/>
          </rPr>
          <t>Responder updated this value.</t>
        </r>
      </text>
    </comment>
    <comment ref="D11" authorId="0" shapeId="0" xr:uid="{00000000-0006-0000-0300-0000B6000000}">
      <text>
        <r>
          <rPr>
            <sz val="10"/>
            <color rgb="FF000000"/>
            <rFont val="Arial"/>
            <scheme val="minor"/>
          </rPr>
          <t>Responder updated this value.</t>
        </r>
      </text>
    </comment>
    <comment ref="L11" authorId="0" shapeId="0" xr:uid="{00000000-0006-0000-0300-0000B7000000}">
      <text>
        <r>
          <rPr>
            <sz val="10"/>
            <color rgb="FF000000"/>
            <rFont val="Arial"/>
            <scheme val="minor"/>
          </rPr>
          <t>Responder updated this value.</t>
        </r>
      </text>
    </comment>
    <comment ref="M11" authorId="0" shapeId="0" xr:uid="{00000000-0006-0000-0300-0000B8000000}">
      <text>
        <r>
          <rPr>
            <sz val="10"/>
            <color rgb="FF000000"/>
            <rFont val="Arial"/>
            <scheme val="minor"/>
          </rPr>
          <t>Responder updated this value.</t>
        </r>
      </text>
    </comment>
    <comment ref="N11" authorId="0" shapeId="0" xr:uid="{00000000-0006-0000-0300-0000B9000000}">
      <text>
        <r>
          <rPr>
            <sz val="10"/>
            <color rgb="FF000000"/>
            <rFont val="Arial"/>
            <scheme val="minor"/>
          </rPr>
          <t>Responder updated this value.</t>
        </r>
      </text>
    </comment>
    <comment ref="O11" authorId="0" shapeId="0" xr:uid="{00000000-0006-0000-0300-0000BA000000}">
      <text>
        <r>
          <rPr>
            <sz val="10"/>
            <color rgb="FF000000"/>
            <rFont val="Arial"/>
            <scheme val="minor"/>
          </rPr>
          <t>Responder updated this value.</t>
        </r>
      </text>
    </comment>
    <comment ref="P11" authorId="0" shapeId="0" xr:uid="{00000000-0006-0000-0300-0000BB000000}">
      <text>
        <r>
          <rPr>
            <sz val="10"/>
            <color rgb="FF000000"/>
            <rFont val="Arial"/>
            <scheme val="minor"/>
          </rPr>
          <t>Responder updated this value.</t>
        </r>
      </text>
    </comment>
    <comment ref="Q11" authorId="0" shapeId="0" xr:uid="{00000000-0006-0000-0300-0000BC000000}">
      <text>
        <r>
          <rPr>
            <sz val="10"/>
            <color rgb="FF000000"/>
            <rFont val="Arial"/>
            <scheme val="minor"/>
          </rPr>
          <t>Responder updated this value.</t>
        </r>
      </text>
    </comment>
    <comment ref="R11" authorId="0" shapeId="0" xr:uid="{00000000-0006-0000-0300-0000BD000000}">
      <text>
        <r>
          <rPr>
            <sz val="10"/>
            <color rgb="FF000000"/>
            <rFont val="Arial"/>
            <scheme val="minor"/>
          </rPr>
          <t>Responder updated this value.</t>
        </r>
      </text>
    </comment>
    <comment ref="S11" authorId="0" shapeId="0" xr:uid="{00000000-0006-0000-0300-0000BE000000}">
      <text>
        <r>
          <rPr>
            <sz val="10"/>
            <color rgb="FF000000"/>
            <rFont val="Arial"/>
            <scheme val="minor"/>
          </rPr>
          <t>Responder updated this value.</t>
        </r>
      </text>
    </comment>
    <comment ref="T11" authorId="0" shapeId="0" xr:uid="{00000000-0006-0000-0300-0000BF000000}">
      <text>
        <r>
          <rPr>
            <sz val="10"/>
            <color rgb="FF000000"/>
            <rFont val="Arial"/>
            <scheme val="minor"/>
          </rPr>
          <t>Responder updated this value.</t>
        </r>
      </text>
    </comment>
    <comment ref="U11" authorId="0" shapeId="0" xr:uid="{00000000-0006-0000-0300-0000C0000000}">
      <text>
        <r>
          <rPr>
            <sz val="10"/>
            <color rgb="FF000000"/>
            <rFont val="Arial"/>
            <scheme val="minor"/>
          </rPr>
          <t>Responder updated this value.</t>
        </r>
      </text>
    </comment>
    <comment ref="V11" authorId="0" shapeId="0" xr:uid="{00000000-0006-0000-0300-0000C1000000}">
      <text>
        <r>
          <rPr>
            <sz val="10"/>
            <color rgb="FF000000"/>
            <rFont val="Arial"/>
            <scheme val="minor"/>
          </rPr>
          <t>Responder updated this value.</t>
        </r>
      </text>
    </comment>
    <comment ref="W11" authorId="0" shapeId="0" xr:uid="{00000000-0006-0000-0300-0000C2000000}">
      <text>
        <r>
          <rPr>
            <sz val="10"/>
            <color rgb="FF000000"/>
            <rFont val="Arial"/>
            <scheme val="minor"/>
          </rPr>
          <t>Responder updated this value.</t>
        </r>
      </text>
    </comment>
    <comment ref="X11" authorId="0" shapeId="0" xr:uid="{00000000-0006-0000-0300-0000C3000000}">
      <text>
        <r>
          <rPr>
            <sz val="10"/>
            <color rgb="FF000000"/>
            <rFont val="Arial"/>
            <scheme val="minor"/>
          </rPr>
          <t>Responder updated this value.</t>
        </r>
      </text>
    </comment>
    <comment ref="AD11" authorId="0" shapeId="0" xr:uid="{00000000-0006-0000-0300-0000C4000000}">
      <text>
        <r>
          <rPr>
            <sz val="10"/>
            <color rgb="FF000000"/>
            <rFont val="Arial"/>
            <scheme val="minor"/>
          </rPr>
          <t>Responder updated this value.</t>
        </r>
      </text>
    </comment>
    <comment ref="AF11" authorId="0" shapeId="0" xr:uid="{00000000-0006-0000-0300-0000C5000000}">
      <text>
        <r>
          <rPr>
            <sz val="10"/>
            <color rgb="FF000000"/>
            <rFont val="Arial"/>
            <scheme val="minor"/>
          </rPr>
          <t>Responder updated this value.</t>
        </r>
      </text>
    </comment>
    <comment ref="AG11" authorId="0" shapeId="0" xr:uid="{00000000-0006-0000-0300-0000C6000000}">
      <text>
        <r>
          <rPr>
            <sz val="10"/>
            <color rgb="FF000000"/>
            <rFont val="Arial"/>
            <scheme val="minor"/>
          </rPr>
          <t>Responder updated this value.</t>
        </r>
      </text>
    </comment>
    <comment ref="AH11" authorId="0" shapeId="0" xr:uid="{00000000-0006-0000-0300-0000C7000000}">
      <text>
        <r>
          <rPr>
            <sz val="10"/>
            <color rgb="FF000000"/>
            <rFont val="Arial"/>
            <scheme val="minor"/>
          </rPr>
          <t>Responder updated this value.</t>
        </r>
      </text>
    </comment>
    <comment ref="AI11" authorId="0" shapeId="0" xr:uid="{00000000-0006-0000-0300-0000C8000000}">
      <text>
        <r>
          <rPr>
            <sz val="10"/>
            <color rgb="FF000000"/>
            <rFont val="Arial"/>
            <scheme val="minor"/>
          </rPr>
          <t>Responder updated this value.</t>
        </r>
      </text>
    </comment>
    <comment ref="AJ11" authorId="0" shapeId="0" xr:uid="{00000000-0006-0000-0300-0000C9000000}">
      <text>
        <r>
          <rPr>
            <sz val="10"/>
            <color rgb="FF000000"/>
            <rFont val="Arial"/>
            <scheme val="minor"/>
          </rPr>
          <t>Responder updated this value.</t>
        </r>
      </text>
    </comment>
    <comment ref="AK11" authorId="0" shapeId="0" xr:uid="{00000000-0006-0000-0300-0000CA000000}">
      <text>
        <r>
          <rPr>
            <sz val="10"/>
            <color rgb="FF000000"/>
            <rFont val="Arial"/>
            <scheme val="minor"/>
          </rPr>
          <t>Responder updated this value.</t>
        </r>
      </text>
    </comment>
    <comment ref="AL11" authorId="0" shapeId="0" xr:uid="{00000000-0006-0000-0300-0000CB000000}">
      <text>
        <r>
          <rPr>
            <sz val="10"/>
            <color rgb="FF000000"/>
            <rFont val="Arial"/>
            <scheme val="minor"/>
          </rPr>
          <t>Responder updated this value.</t>
        </r>
      </text>
    </comment>
    <comment ref="AM11" authorId="0" shapeId="0" xr:uid="{00000000-0006-0000-0300-0000CC000000}">
      <text>
        <r>
          <rPr>
            <sz val="10"/>
            <color rgb="FF000000"/>
            <rFont val="Arial"/>
            <scheme val="minor"/>
          </rPr>
          <t>Responder updated this value.</t>
        </r>
      </text>
    </comment>
    <comment ref="AN11" authorId="0" shapeId="0" xr:uid="{00000000-0006-0000-0300-0000CD000000}">
      <text>
        <r>
          <rPr>
            <sz val="10"/>
            <color rgb="FF000000"/>
            <rFont val="Arial"/>
            <scheme val="minor"/>
          </rPr>
          <t>Responder updated this value.</t>
        </r>
      </text>
    </comment>
    <comment ref="AO11" authorId="0" shapeId="0" xr:uid="{00000000-0006-0000-0300-0000CE000000}">
      <text>
        <r>
          <rPr>
            <sz val="10"/>
            <color rgb="FF000000"/>
            <rFont val="Arial"/>
            <scheme val="minor"/>
          </rPr>
          <t>Responder updated this value.</t>
        </r>
      </text>
    </comment>
    <comment ref="AP11" authorId="0" shapeId="0" xr:uid="{00000000-0006-0000-0300-0000CF000000}">
      <text>
        <r>
          <rPr>
            <sz val="10"/>
            <color rgb="FF000000"/>
            <rFont val="Arial"/>
            <scheme val="minor"/>
          </rPr>
          <t>Responder updated this value.</t>
        </r>
      </text>
    </comment>
    <comment ref="AQ11" authorId="0" shapeId="0" xr:uid="{00000000-0006-0000-0300-0000D0000000}">
      <text>
        <r>
          <rPr>
            <sz val="10"/>
            <color rgb="FF000000"/>
            <rFont val="Arial"/>
            <scheme val="minor"/>
          </rPr>
          <t>Responder updated this value.</t>
        </r>
      </text>
    </comment>
    <comment ref="AR11" authorId="0" shapeId="0" xr:uid="{00000000-0006-0000-0300-0000D1000000}">
      <text>
        <r>
          <rPr>
            <sz val="10"/>
            <color rgb="FF000000"/>
            <rFont val="Arial"/>
            <scheme val="minor"/>
          </rPr>
          <t>Responder updated this value.</t>
        </r>
      </text>
    </comment>
    <comment ref="AS11" authorId="0" shapeId="0" xr:uid="{00000000-0006-0000-0300-0000D2000000}">
      <text>
        <r>
          <rPr>
            <sz val="10"/>
            <color rgb="FF000000"/>
            <rFont val="Arial"/>
            <scheme val="minor"/>
          </rPr>
          <t>Responder updated this value.</t>
        </r>
      </text>
    </comment>
    <comment ref="AT11" authorId="0" shapeId="0" xr:uid="{00000000-0006-0000-0300-0000D3000000}">
      <text>
        <r>
          <rPr>
            <sz val="10"/>
            <color rgb="FF000000"/>
            <rFont val="Arial"/>
            <scheme val="minor"/>
          </rPr>
          <t>Responder updated this value.</t>
        </r>
      </text>
    </comment>
    <comment ref="AU11" authorId="0" shapeId="0" xr:uid="{00000000-0006-0000-0300-0000D4000000}">
      <text>
        <r>
          <rPr>
            <sz val="10"/>
            <color rgb="FF000000"/>
            <rFont val="Arial"/>
            <scheme val="minor"/>
          </rPr>
          <t>Responder updated this value.</t>
        </r>
      </text>
    </comment>
    <comment ref="D12" authorId="0" shapeId="0" xr:uid="{00000000-0006-0000-0300-0000D5000000}">
      <text>
        <r>
          <rPr>
            <sz val="10"/>
            <color rgb="FF000000"/>
            <rFont val="Arial"/>
            <scheme val="minor"/>
          </rPr>
          <t>Responder updated this value.</t>
        </r>
      </text>
    </comment>
    <comment ref="L12" authorId="0" shapeId="0" xr:uid="{00000000-0006-0000-0300-0000D6000000}">
      <text>
        <r>
          <rPr>
            <sz val="10"/>
            <color rgb="FF000000"/>
            <rFont val="Arial"/>
            <scheme val="minor"/>
          </rPr>
          <t>Responder updated this value.</t>
        </r>
      </text>
    </comment>
    <comment ref="M12" authorId="0" shapeId="0" xr:uid="{00000000-0006-0000-0300-0000D7000000}">
      <text>
        <r>
          <rPr>
            <sz val="10"/>
            <color rgb="FF000000"/>
            <rFont val="Arial"/>
            <scheme val="minor"/>
          </rPr>
          <t>Responder updated this value.</t>
        </r>
      </text>
    </comment>
    <comment ref="N12" authorId="0" shapeId="0" xr:uid="{00000000-0006-0000-0300-0000D8000000}">
      <text>
        <r>
          <rPr>
            <sz val="10"/>
            <color rgb="FF000000"/>
            <rFont val="Arial"/>
            <scheme val="minor"/>
          </rPr>
          <t>Responder updated this value.</t>
        </r>
      </text>
    </comment>
    <comment ref="AE12" authorId="0" shapeId="0" xr:uid="{00000000-0006-0000-0300-0000D9000000}">
      <text>
        <r>
          <rPr>
            <sz val="10"/>
            <color rgb="FF000000"/>
            <rFont val="Arial"/>
            <scheme val="minor"/>
          </rPr>
          <t>Responder updated this value.</t>
        </r>
      </text>
    </comment>
    <comment ref="AH12" authorId="0" shapeId="0" xr:uid="{00000000-0006-0000-0300-0000DA000000}">
      <text>
        <r>
          <rPr>
            <sz val="10"/>
            <color rgb="FF000000"/>
            <rFont val="Arial"/>
            <scheme val="minor"/>
          </rPr>
          <t>Responder updated this value.</t>
        </r>
      </text>
    </comment>
    <comment ref="AK12" authorId="0" shapeId="0" xr:uid="{00000000-0006-0000-0300-0000DB000000}">
      <text>
        <r>
          <rPr>
            <sz val="10"/>
            <color rgb="FF000000"/>
            <rFont val="Arial"/>
            <scheme val="minor"/>
          </rPr>
          <t>Responder updated this value.</t>
        </r>
      </text>
    </comment>
    <comment ref="AL12" authorId="0" shapeId="0" xr:uid="{00000000-0006-0000-0300-0000DC000000}">
      <text>
        <r>
          <rPr>
            <sz val="10"/>
            <color rgb="FF000000"/>
            <rFont val="Arial"/>
            <scheme val="minor"/>
          </rPr>
          <t>Responder updated this value.</t>
        </r>
      </text>
    </comment>
    <comment ref="AM12" authorId="0" shapeId="0" xr:uid="{00000000-0006-0000-0300-0000DD000000}">
      <text>
        <r>
          <rPr>
            <sz val="10"/>
            <color rgb="FF000000"/>
            <rFont val="Arial"/>
            <scheme val="minor"/>
          </rPr>
          <t>Responder updated this value.</t>
        </r>
      </text>
    </comment>
    <comment ref="AN12" authorId="0" shapeId="0" xr:uid="{00000000-0006-0000-0300-0000DE000000}">
      <text>
        <r>
          <rPr>
            <sz val="10"/>
            <color rgb="FF000000"/>
            <rFont val="Arial"/>
            <scheme val="minor"/>
          </rPr>
          <t>Responder updated this value.</t>
        </r>
      </text>
    </comment>
    <comment ref="AO12" authorId="0" shapeId="0" xr:uid="{00000000-0006-0000-0300-0000DF000000}">
      <text>
        <r>
          <rPr>
            <sz val="10"/>
            <color rgb="FF000000"/>
            <rFont val="Arial"/>
            <scheme val="minor"/>
          </rPr>
          <t>Responder updated this value.</t>
        </r>
      </text>
    </comment>
    <comment ref="AP12" authorId="0" shapeId="0" xr:uid="{00000000-0006-0000-0300-0000E0000000}">
      <text>
        <r>
          <rPr>
            <sz val="10"/>
            <color rgb="FF000000"/>
            <rFont val="Arial"/>
            <scheme val="minor"/>
          </rPr>
          <t>Responder updated this value.</t>
        </r>
      </text>
    </comment>
    <comment ref="AQ12" authorId="0" shapeId="0" xr:uid="{00000000-0006-0000-0300-0000E1000000}">
      <text>
        <r>
          <rPr>
            <sz val="10"/>
            <color rgb="FF000000"/>
            <rFont val="Arial"/>
            <scheme val="minor"/>
          </rPr>
          <t>Responder updated this value.</t>
        </r>
      </text>
    </comment>
    <comment ref="AS12" authorId="0" shapeId="0" xr:uid="{00000000-0006-0000-0300-0000E2000000}">
      <text>
        <r>
          <rPr>
            <sz val="10"/>
            <color rgb="FF000000"/>
            <rFont val="Arial"/>
            <scheme val="minor"/>
          </rPr>
          <t>Responder updated this value.</t>
        </r>
      </text>
    </comment>
    <comment ref="AT12" authorId="0" shapeId="0" xr:uid="{00000000-0006-0000-0300-0000E3000000}">
      <text>
        <r>
          <rPr>
            <sz val="10"/>
            <color rgb="FF000000"/>
            <rFont val="Arial"/>
            <scheme val="minor"/>
          </rPr>
          <t>Responder updated this value.</t>
        </r>
      </text>
    </comment>
    <comment ref="AU12" authorId="0" shapeId="0" xr:uid="{00000000-0006-0000-0300-0000E4000000}">
      <text>
        <r>
          <rPr>
            <sz val="10"/>
            <color rgb="FF000000"/>
            <rFont val="Arial"/>
            <scheme val="minor"/>
          </rPr>
          <t>Responder updated this value.</t>
        </r>
      </text>
    </comment>
    <comment ref="D13" authorId="0" shapeId="0" xr:uid="{00000000-0006-0000-0300-0000E5000000}">
      <text>
        <r>
          <rPr>
            <sz val="10"/>
            <color rgb="FF000000"/>
            <rFont val="Arial"/>
            <scheme val="minor"/>
          </rPr>
          <t>Responder updated this value.</t>
        </r>
      </text>
    </comment>
    <comment ref="D14" authorId="0" shapeId="0" xr:uid="{00000000-0006-0000-0300-0000E6000000}">
      <text>
        <r>
          <rPr>
            <sz val="10"/>
            <color rgb="FF000000"/>
            <rFont val="Arial"/>
            <scheme val="minor"/>
          </rPr>
          <t>Responder updated this value.</t>
        </r>
      </text>
    </comment>
    <comment ref="H14" authorId="0" shapeId="0" xr:uid="{00000000-0006-0000-0300-0000E7000000}">
      <text>
        <r>
          <rPr>
            <sz val="10"/>
            <color rgb="FF000000"/>
            <rFont val="Arial"/>
            <scheme val="minor"/>
          </rPr>
          <t>Responder updated this value.</t>
        </r>
      </text>
    </comment>
    <comment ref="I14" authorId="0" shapeId="0" xr:uid="{00000000-0006-0000-0300-0000E8000000}">
      <text>
        <r>
          <rPr>
            <sz val="10"/>
            <color rgb="FF000000"/>
            <rFont val="Arial"/>
            <scheme val="minor"/>
          </rPr>
          <t>Responder updated this value.</t>
        </r>
      </text>
    </comment>
    <comment ref="AF14" authorId="0" shapeId="0" xr:uid="{00000000-0006-0000-0300-0000E9000000}">
      <text>
        <r>
          <rPr>
            <sz val="10"/>
            <color rgb="FF000000"/>
            <rFont val="Arial"/>
            <scheme val="minor"/>
          </rPr>
          <t>Responder updated this value.</t>
        </r>
      </text>
    </comment>
    <comment ref="AG14" authorId="0" shapeId="0" xr:uid="{00000000-0006-0000-0300-0000EA000000}">
      <text>
        <r>
          <rPr>
            <sz val="10"/>
            <color rgb="FF000000"/>
            <rFont val="Arial"/>
            <scheme val="minor"/>
          </rPr>
          <t>Responder updated this value.</t>
        </r>
      </text>
    </comment>
    <comment ref="AH14" authorId="0" shapeId="0" xr:uid="{00000000-0006-0000-0300-0000EB000000}">
      <text>
        <r>
          <rPr>
            <sz val="10"/>
            <color rgb="FF000000"/>
            <rFont val="Arial"/>
            <scheme val="minor"/>
          </rPr>
          <t>Responder updated this value.</t>
        </r>
      </text>
    </comment>
    <comment ref="AI14" authorId="0" shapeId="0" xr:uid="{00000000-0006-0000-0300-0000EC000000}">
      <text>
        <r>
          <rPr>
            <sz val="10"/>
            <color rgb="FF000000"/>
            <rFont val="Arial"/>
            <scheme val="minor"/>
          </rPr>
          <t>Responder updated this value.</t>
        </r>
      </text>
    </comment>
    <comment ref="AM14" authorId="0" shapeId="0" xr:uid="{00000000-0006-0000-0300-0000ED000000}">
      <text>
        <r>
          <rPr>
            <sz val="10"/>
            <color rgb="FF000000"/>
            <rFont val="Arial"/>
            <scheme val="minor"/>
          </rPr>
          <t>Responder updated this value.</t>
        </r>
      </text>
    </comment>
    <comment ref="AN14" authorId="0" shapeId="0" xr:uid="{00000000-0006-0000-0300-0000EE000000}">
      <text>
        <r>
          <rPr>
            <sz val="10"/>
            <color rgb="FF000000"/>
            <rFont val="Arial"/>
            <scheme val="minor"/>
          </rPr>
          <t>Responder updated this value.</t>
        </r>
      </text>
    </comment>
    <comment ref="AO14" authorId="0" shapeId="0" xr:uid="{00000000-0006-0000-0300-0000EF000000}">
      <text>
        <r>
          <rPr>
            <sz val="10"/>
            <color rgb="FF000000"/>
            <rFont val="Arial"/>
            <scheme val="minor"/>
          </rPr>
          <t>Responder updated this value.</t>
        </r>
      </text>
    </comment>
    <comment ref="AP14" authorId="0" shapeId="0" xr:uid="{00000000-0006-0000-0300-0000F0000000}">
      <text>
        <r>
          <rPr>
            <sz val="10"/>
            <color rgb="FF000000"/>
            <rFont val="Arial"/>
            <scheme val="minor"/>
          </rPr>
          <t>Responder updated this value.</t>
        </r>
      </text>
    </comment>
    <comment ref="AQ14" authorId="0" shapeId="0" xr:uid="{00000000-0006-0000-0300-0000F1000000}">
      <text>
        <r>
          <rPr>
            <sz val="10"/>
            <color rgb="FF000000"/>
            <rFont val="Arial"/>
            <scheme val="minor"/>
          </rPr>
          <t>Responder updated this value.</t>
        </r>
      </text>
    </comment>
    <comment ref="AR14" authorId="0" shapeId="0" xr:uid="{00000000-0006-0000-0300-0000F2000000}">
      <text>
        <r>
          <rPr>
            <sz val="10"/>
            <color rgb="FF000000"/>
            <rFont val="Arial"/>
            <scheme val="minor"/>
          </rPr>
          <t>Responder updated this value.</t>
        </r>
      </text>
    </comment>
    <comment ref="AS14" authorId="0" shapeId="0" xr:uid="{00000000-0006-0000-0300-0000F3000000}">
      <text>
        <r>
          <rPr>
            <sz val="10"/>
            <color rgb="FF000000"/>
            <rFont val="Arial"/>
            <scheme val="minor"/>
          </rPr>
          <t>Responder updated this value.</t>
        </r>
      </text>
    </comment>
    <comment ref="AT14" authorId="0" shapeId="0" xr:uid="{00000000-0006-0000-0300-0000F4000000}">
      <text>
        <r>
          <rPr>
            <sz val="10"/>
            <color rgb="FF000000"/>
            <rFont val="Arial"/>
            <scheme val="minor"/>
          </rPr>
          <t>Responder updated this value.</t>
        </r>
      </text>
    </comment>
    <comment ref="AU14" authorId="0" shapeId="0" xr:uid="{00000000-0006-0000-0300-0000F5000000}">
      <text>
        <r>
          <rPr>
            <sz val="10"/>
            <color rgb="FF000000"/>
            <rFont val="Arial"/>
            <scheme val="minor"/>
          </rPr>
          <t>Responder updated this value.</t>
        </r>
      </text>
    </comment>
    <comment ref="D15" authorId="0" shapeId="0" xr:uid="{00000000-0006-0000-0300-0000F6000000}">
      <text>
        <r>
          <rPr>
            <sz val="10"/>
            <color rgb="FF000000"/>
            <rFont val="Arial"/>
            <scheme val="minor"/>
          </rPr>
          <t>Responder updated this value.</t>
        </r>
      </text>
    </comment>
    <comment ref="AC15" authorId="0" shapeId="0" xr:uid="{00000000-0006-0000-0300-0000F7000000}">
      <text>
        <r>
          <rPr>
            <sz val="10"/>
            <color rgb="FF000000"/>
            <rFont val="Arial"/>
            <scheme val="minor"/>
          </rPr>
          <t>Responder updated this value.</t>
        </r>
      </text>
    </comment>
    <comment ref="AD15" authorId="0" shapeId="0" xr:uid="{00000000-0006-0000-0300-0000F8000000}">
      <text>
        <r>
          <rPr>
            <sz val="10"/>
            <color rgb="FF000000"/>
            <rFont val="Arial"/>
            <scheme val="minor"/>
          </rPr>
          <t>Responder updated this value.</t>
        </r>
      </text>
    </comment>
    <comment ref="AE15" authorId="0" shapeId="0" xr:uid="{00000000-0006-0000-0300-0000F9000000}">
      <text>
        <r>
          <rPr>
            <sz val="10"/>
            <color rgb="FF000000"/>
            <rFont val="Arial"/>
            <scheme val="minor"/>
          </rPr>
          <t>Responder updated this value.</t>
        </r>
      </text>
    </comment>
    <comment ref="AF15" authorId="0" shapeId="0" xr:uid="{00000000-0006-0000-0300-0000FA000000}">
      <text>
        <r>
          <rPr>
            <sz val="10"/>
            <color rgb="FF000000"/>
            <rFont val="Arial"/>
            <scheme val="minor"/>
          </rPr>
          <t>Responder updated this value.</t>
        </r>
      </text>
    </comment>
    <comment ref="AG15" authorId="0" shapeId="0" xr:uid="{00000000-0006-0000-0300-0000FB000000}">
      <text>
        <r>
          <rPr>
            <sz val="10"/>
            <color rgb="FF000000"/>
            <rFont val="Arial"/>
            <scheme val="minor"/>
          </rPr>
          <t>Responder updated this value.</t>
        </r>
      </text>
    </comment>
    <comment ref="AH15" authorId="0" shapeId="0" xr:uid="{00000000-0006-0000-0300-0000FC000000}">
      <text>
        <r>
          <rPr>
            <sz val="10"/>
            <color rgb="FF000000"/>
            <rFont val="Arial"/>
            <scheme val="minor"/>
          </rPr>
          <t>Responder updated this value.</t>
        </r>
      </text>
    </comment>
    <comment ref="AI15" authorId="0" shapeId="0" xr:uid="{00000000-0006-0000-0300-0000FD000000}">
      <text>
        <r>
          <rPr>
            <sz val="10"/>
            <color rgb="FF000000"/>
            <rFont val="Arial"/>
            <scheme val="minor"/>
          </rPr>
          <t>Responder updated this value.</t>
        </r>
      </text>
    </comment>
    <comment ref="AJ15" authorId="0" shapeId="0" xr:uid="{00000000-0006-0000-0300-0000FE000000}">
      <text>
        <r>
          <rPr>
            <sz val="10"/>
            <color rgb="FF000000"/>
            <rFont val="Arial"/>
            <scheme val="minor"/>
          </rPr>
          <t>Responder updated this value.</t>
        </r>
      </text>
    </comment>
    <comment ref="AK15" authorId="0" shapeId="0" xr:uid="{00000000-0006-0000-0300-0000FF000000}">
      <text>
        <r>
          <rPr>
            <sz val="10"/>
            <color rgb="FF000000"/>
            <rFont val="Arial"/>
            <scheme val="minor"/>
          </rPr>
          <t>Responder updated this value.</t>
        </r>
      </text>
    </comment>
    <comment ref="AL15" authorId="0" shapeId="0" xr:uid="{00000000-0006-0000-0300-000000010000}">
      <text>
        <r>
          <rPr>
            <sz val="10"/>
            <color rgb="FF000000"/>
            <rFont val="Arial"/>
            <scheme val="minor"/>
          </rPr>
          <t>Responder updated this value.</t>
        </r>
      </text>
    </comment>
    <comment ref="AM15" authorId="0" shapeId="0" xr:uid="{00000000-0006-0000-0300-000001010000}">
      <text>
        <r>
          <rPr>
            <sz val="10"/>
            <color rgb="FF000000"/>
            <rFont val="Arial"/>
            <scheme val="minor"/>
          </rPr>
          <t>Responder updated this value.</t>
        </r>
      </text>
    </comment>
    <comment ref="AN15" authorId="0" shapeId="0" xr:uid="{00000000-0006-0000-0300-000002010000}">
      <text>
        <r>
          <rPr>
            <sz val="10"/>
            <color rgb="FF000000"/>
            <rFont val="Arial"/>
            <scheme val="minor"/>
          </rPr>
          <t>Responder updated this value.</t>
        </r>
      </text>
    </comment>
    <comment ref="AO15" authorId="0" shapeId="0" xr:uid="{00000000-0006-0000-0300-000003010000}">
      <text>
        <r>
          <rPr>
            <sz val="10"/>
            <color rgb="FF000000"/>
            <rFont val="Arial"/>
            <scheme val="minor"/>
          </rPr>
          <t>Responder updated this value.</t>
        </r>
      </text>
    </comment>
    <comment ref="AP15" authorId="0" shapeId="0" xr:uid="{00000000-0006-0000-0300-000004010000}">
      <text>
        <r>
          <rPr>
            <sz val="10"/>
            <color rgb="FF000000"/>
            <rFont val="Arial"/>
            <scheme val="minor"/>
          </rPr>
          <t>Responder updated this value.</t>
        </r>
      </text>
    </comment>
    <comment ref="AQ15" authorId="0" shapeId="0" xr:uid="{00000000-0006-0000-0300-000005010000}">
      <text>
        <r>
          <rPr>
            <sz val="10"/>
            <color rgb="FF000000"/>
            <rFont val="Arial"/>
            <scheme val="minor"/>
          </rPr>
          <t>Responder updated this value.</t>
        </r>
      </text>
    </comment>
    <comment ref="AR15" authorId="0" shapeId="0" xr:uid="{00000000-0006-0000-0300-000006010000}">
      <text>
        <r>
          <rPr>
            <sz val="10"/>
            <color rgb="FF000000"/>
            <rFont val="Arial"/>
            <scheme val="minor"/>
          </rPr>
          <t>Responder updated this value.</t>
        </r>
      </text>
    </comment>
    <comment ref="AS15" authorId="0" shapeId="0" xr:uid="{00000000-0006-0000-0300-000007010000}">
      <text>
        <r>
          <rPr>
            <sz val="10"/>
            <color rgb="FF000000"/>
            <rFont val="Arial"/>
            <scheme val="minor"/>
          </rPr>
          <t>Responder updated this value.</t>
        </r>
      </text>
    </comment>
    <comment ref="AT15" authorId="0" shapeId="0" xr:uid="{00000000-0006-0000-0300-000008010000}">
      <text>
        <r>
          <rPr>
            <sz val="10"/>
            <color rgb="FF000000"/>
            <rFont val="Arial"/>
            <scheme val="minor"/>
          </rPr>
          <t>Responder updated this value.</t>
        </r>
      </text>
    </comment>
    <comment ref="AU15" authorId="0" shapeId="0" xr:uid="{00000000-0006-0000-0300-000009010000}">
      <text>
        <r>
          <rPr>
            <sz val="10"/>
            <color rgb="FF000000"/>
            <rFont val="Arial"/>
            <scheme val="minor"/>
          </rPr>
          <t>Responder updated this value.</t>
        </r>
      </text>
    </comment>
    <comment ref="D16" authorId="0" shapeId="0" xr:uid="{00000000-0006-0000-0300-00000A010000}">
      <text>
        <r>
          <rPr>
            <sz val="10"/>
            <color rgb="FF000000"/>
            <rFont val="Arial"/>
            <scheme val="minor"/>
          </rPr>
          <t>Responder updated this value.</t>
        </r>
      </text>
    </comment>
    <comment ref="AE16" authorId="0" shapeId="0" xr:uid="{00000000-0006-0000-0300-00000B010000}">
      <text>
        <r>
          <rPr>
            <sz val="10"/>
            <color rgb="FF000000"/>
            <rFont val="Arial"/>
            <scheme val="minor"/>
          </rPr>
          <t>Responder updated this value.</t>
        </r>
      </text>
    </comment>
    <comment ref="AJ16" authorId="0" shapeId="0" xr:uid="{00000000-0006-0000-0300-00000C010000}">
      <text>
        <r>
          <rPr>
            <sz val="10"/>
            <color rgb="FF000000"/>
            <rFont val="Arial"/>
            <scheme val="minor"/>
          </rPr>
          <t>Responder updated this value.</t>
        </r>
      </text>
    </comment>
    <comment ref="AK16" authorId="0" shapeId="0" xr:uid="{00000000-0006-0000-0300-00000D010000}">
      <text>
        <r>
          <rPr>
            <sz val="10"/>
            <color rgb="FF000000"/>
            <rFont val="Arial"/>
            <scheme val="minor"/>
          </rPr>
          <t>Responder updated this value.</t>
        </r>
      </text>
    </comment>
    <comment ref="AL16" authorId="0" shapeId="0" xr:uid="{00000000-0006-0000-0300-00000E010000}">
      <text>
        <r>
          <rPr>
            <sz val="10"/>
            <color rgb="FF000000"/>
            <rFont val="Arial"/>
            <scheme val="minor"/>
          </rPr>
          <t>Responder updated this value.</t>
        </r>
      </text>
    </comment>
    <comment ref="AM16" authorId="0" shapeId="0" xr:uid="{00000000-0006-0000-0300-00000F010000}">
      <text>
        <r>
          <rPr>
            <sz val="10"/>
            <color rgb="FF000000"/>
            <rFont val="Arial"/>
            <scheme val="minor"/>
          </rPr>
          <t>Responder updated this value.</t>
        </r>
      </text>
    </comment>
    <comment ref="AN16" authorId="0" shapeId="0" xr:uid="{00000000-0006-0000-0300-000010010000}">
      <text>
        <r>
          <rPr>
            <sz val="10"/>
            <color rgb="FF000000"/>
            <rFont val="Arial"/>
            <scheme val="minor"/>
          </rPr>
          <t>Responder updated this value.</t>
        </r>
      </text>
    </comment>
    <comment ref="AO16" authorId="0" shapeId="0" xr:uid="{00000000-0006-0000-0300-000011010000}">
      <text>
        <r>
          <rPr>
            <sz val="10"/>
            <color rgb="FF000000"/>
            <rFont val="Arial"/>
            <scheme val="minor"/>
          </rPr>
          <t>Responder updated this value.</t>
        </r>
      </text>
    </comment>
    <comment ref="AP16" authorId="0" shapeId="0" xr:uid="{00000000-0006-0000-0300-000012010000}">
      <text>
        <r>
          <rPr>
            <sz val="10"/>
            <color rgb="FF000000"/>
            <rFont val="Arial"/>
            <scheme val="minor"/>
          </rPr>
          <t>Responder updated this value.</t>
        </r>
      </text>
    </comment>
    <comment ref="AQ16" authorId="0" shapeId="0" xr:uid="{00000000-0006-0000-0300-000013010000}">
      <text>
        <r>
          <rPr>
            <sz val="10"/>
            <color rgb="FF000000"/>
            <rFont val="Arial"/>
            <scheme val="minor"/>
          </rPr>
          <t>Responder updated this value.</t>
        </r>
      </text>
    </comment>
    <comment ref="AT16" authorId="0" shapeId="0" xr:uid="{00000000-0006-0000-0300-000014010000}">
      <text>
        <r>
          <rPr>
            <sz val="10"/>
            <color rgb="FF000000"/>
            <rFont val="Arial"/>
            <scheme val="minor"/>
          </rPr>
          <t>Responder updated this value.</t>
        </r>
      </text>
    </comment>
    <comment ref="AU16" authorId="0" shapeId="0" xr:uid="{00000000-0006-0000-0300-000015010000}">
      <text>
        <r>
          <rPr>
            <sz val="10"/>
            <color rgb="FF000000"/>
            <rFont val="Arial"/>
            <scheme val="minor"/>
          </rPr>
          <t>Responder updated this value.</t>
        </r>
      </text>
    </comment>
    <comment ref="D17" authorId="0" shapeId="0" xr:uid="{00000000-0006-0000-0300-000016010000}">
      <text>
        <r>
          <rPr>
            <sz val="10"/>
            <color rgb="FF000000"/>
            <rFont val="Arial"/>
            <scheme val="minor"/>
          </rPr>
          <t>Responder updated this value.</t>
        </r>
      </text>
    </comment>
    <comment ref="AD17" authorId="0" shapeId="0" xr:uid="{00000000-0006-0000-0300-000017010000}">
      <text>
        <r>
          <rPr>
            <sz val="10"/>
            <color rgb="FF000000"/>
            <rFont val="Arial"/>
            <scheme val="minor"/>
          </rPr>
          <t>Responder updated this value.</t>
        </r>
      </text>
    </comment>
    <comment ref="AE17" authorId="0" shapeId="0" xr:uid="{00000000-0006-0000-0300-000018010000}">
      <text>
        <r>
          <rPr>
            <sz val="10"/>
            <color rgb="FF000000"/>
            <rFont val="Arial"/>
            <scheme val="minor"/>
          </rPr>
          <t>Responder updated this value.</t>
        </r>
      </text>
    </comment>
    <comment ref="AI17" authorId="0" shapeId="0" xr:uid="{00000000-0006-0000-0300-000019010000}">
      <text>
        <r>
          <rPr>
            <sz val="10"/>
            <color rgb="FF000000"/>
            <rFont val="Arial"/>
            <scheme val="minor"/>
          </rPr>
          <t>Responder updated this value.</t>
        </r>
      </text>
    </comment>
    <comment ref="AJ17" authorId="0" shapeId="0" xr:uid="{00000000-0006-0000-0300-00001A010000}">
      <text>
        <r>
          <rPr>
            <sz val="10"/>
            <color rgb="FF000000"/>
            <rFont val="Arial"/>
            <scheme val="minor"/>
          </rPr>
          <t>Responder updated this value.</t>
        </r>
      </text>
    </comment>
    <comment ref="AK17" authorId="0" shapeId="0" xr:uid="{00000000-0006-0000-0300-00001B010000}">
      <text>
        <r>
          <rPr>
            <sz val="10"/>
            <color rgb="FF000000"/>
            <rFont val="Arial"/>
            <scheme val="minor"/>
          </rPr>
          <t>Responder updated this value.</t>
        </r>
      </text>
    </comment>
    <comment ref="AL17" authorId="0" shapeId="0" xr:uid="{00000000-0006-0000-0300-00001C010000}">
      <text>
        <r>
          <rPr>
            <sz val="10"/>
            <color rgb="FF000000"/>
            <rFont val="Arial"/>
            <scheme val="minor"/>
          </rPr>
          <t>Responder updated this value.</t>
        </r>
      </text>
    </comment>
    <comment ref="AM17" authorId="0" shapeId="0" xr:uid="{00000000-0006-0000-0300-00001D010000}">
      <text>
        <r>
          <rPr>
            <sz val="10"/>
            <color rgb="FF000000"/>
            <rFont val="Arial"/>
            <scheme val="minor"/>
          </rPr>
          <t>Responder updated this value.</t>
        </r>
      </text>
    </comment>
    <comment ref="AN17" authorId="0" shapeId="0" xr:uid="{00000000-0006-0000-0300-00001E010000}">
      <text>
        <r>
          <rPr>
            <sz val="10"/>
            <color rgb="FF000000"/>
            <rFont val="Arial"/>
            <scheme val="minor"/>
          </rPr>
          <t>Responder updated this value.</t>
        </r>
      </text>
    </comment>
    <comment ref="AO17" authorId="0" shapeId="0" xr:uid="{00000000-0006-0000-0300-00001F010000}">
      <text>
        <r>
          <rPr>
            <sz val="10"/>
            <color rgb="FF000000"/>
            <rFont val="Arial"/>
            <scheme val="minor"/>
          </rPr>
          <t>Responder updated this value.</t>
        </r>
      </text>
    </comment>
    <comment ref="AP17" authorId="0" shapeId="0" xr:uid="{00000000-0006-0000-0300-000020010000}">
      <text>
        <r>
          <rPr>
            <sz val="10"/>
            <color rgb="FF000000"/>
            <rFont val="Arial"/>
            <scheme val="minor"/>
          </rPr>
          <t>Responder updated this value.</t>
        </r>
      </text>
    </comment>
    <comment ref="AQ17" authorId="0" shapeId="0" xr:uid="{00000000-0006-0000-0300-000021010000}">
      <text>
        <r>
          <rPr>
            <sz val="10"/>
            <color rgb="FF000000"/>
            <rFont val="Arial"/>
            <scheme val="minor"/>
          </rPr>
          <t>Responder updated this value.</t>
        </r>
      </text>
    </comment>
    <comment ref="AR17" authorId="0" shapeId="0" xr:uid="{00000000-0006-0000-0300-000022010000}">
      <text>
        <r>
          <rPr>
            <sz val="10"/>
            <color rgb="FF000000"/>
            <rFont val="Arial"/>
            <scheme val="minor"/>
          </rPr>
          <t>Responder updated this value.</t>
        </r>
      </text>
    </comment>
    <comment ref="AS17" authorId="0" shapeId="0" xr:uid="{00000000-0006-0000-0300-000023010000}">
      <text>
        <r>
          <rPr>
            <sz val="10"/>
            <color rgb="FF000000"/>
            <rFont val="Arial"/>
            <scheme val="minor"/>
          </rPr>
          <t>Responder updated this value.</t>
        </r>
      </text>
    </comment>
    <comment ref="AT17" authorId="0" shapeId="0" xr:uid="{00000000-0006-0000-0300-000024010000}">
      <text>
        <r>
          <rPr>
            <sz val="10"/>
            <color rgb="FF000000"/>
            <rFont val="Arial"/>
            <scheme val="minor"/>
          </rPr>
          <t>Responder updated this value.</t>
        </r>
      </text>
    </comment>
    <comment ref="AU17" authorId="0" shapeId="0" xr:uid="{00000000-0006-0000-0300-000025010000}">
      <text>
        <r>
          <rPr>
            <sz val="10"/>
            <color rgb="FF000000"/>
            <rFont val="Arial"/>
            <scheme val="minor"/>
          </rPr>
          <t>Responder updated this value.</t>
        </r>
      </text>
    </comment>
    <comment ref="D18" authorId="0" shapeId="0" xr:uid="{00000000-0006-0000-0300-000026010000}">
      <text>
        <r>
          <rPr>
            <sz val="10"/>
            <color rgb="FF000000"/>
            <rFont val="Arial"/>
            <scheme val="minor"/>
          </rPr>
          <t>Responder updated this value.</t>
        </r>
      </text>
    </comment>
    <comment ref="K18" authorId="0" shapeId="0" xr:uid="{00000000-0006-0000-0300-000027010000}">
      <text>
        <r>
          <rPr>
            <sz val="10"/>
            <color rgb="FF000000"/>
            <rFont val="Arial"/>
            <scheme val="minor"/>
          </rPr>
          <t>Responder updated this value.</t>
        </r>
      </text>
    </comment>
    <comment ref="Q18" authorId="0" shapeId="0" xr:uid="{00000000-0006-0000-0300-000028010000}">
      <text>
        <r>
          <rPr>
            <sz val="10"/>
            <color rgb="FF000000"/>
            <rFont val="Arial"/>
            <scheme val="minor"/>
          </rPr>
          <t>Responder updated this value.</t>
        </r>
      </text>
    </comment>
    <comment ref="R18" authorId="0" shapeId="0" xr:uid="{00000000-0006-0000-0300-000029010000}">
      <text>
        <r>
          <rPr>
            <sz val="10"/>
            <color rgb="FF000000"/>
            <rFont val="Arial"/>
            <scheme val="minor"/>
          </rPr>
          <t>Responder updated this value.</t>
        </r>
      </text>
    </comment>
    <comment ref="AD18" authorId="0" shapeId="0" xr:uid="{00000000-0006-0000-0300-00002A010000}">
      <text>
        <r>
          <rPr>
            <sz val="10"/>
            <color rgb="FF000000"/>
            <rFont val="Arial"/>
            <scheme val="minor"/>
          </rPr>
          <t>Responder updated this value.</t>
        </r>
      </text>
    </comment>
    <comment ref="AE18" authorId="0" shapeId="0" xr:uid="{00000000-0006-0000-0300-00002B010000}">
      <text>
        <r>
          <rPr>
            <sz val="10"/>
            <color rgb="FF000000"/>
            <rFont val="Arial"/>
            <scheme val="minor"/>
          </rPr>
          <t>Responder updated this value.</t>
        </r>
      </text>
    </comment>
    <comment ref="AL18" authorId="0" shapeId="0" xr:uid="{00000000-0006-0000-0300-00002C010000}">
      <text>
        <r>
          <rPr>
            <sz val="10"/>
            <color rgb="FF000000"/>
            <rFont val="Arial"/>
            <scheme val="minor"/>
          </rPr>
          <t>Responder updated this value.</t>
        </r>
      </text>
    </comment>
    <comment ref="AM18" authorId="0" shapeId="0" xr:uid="{00000000-0006-0000-0300-00002D010000}">
      <text>
        <r>
          <rPr>
            <sz val="10"/>
            <color rgb="FF000000"/>
            <rFont val="Arial"/>
            <scheme val="minor"/>
          </rPr>
          <t>Responder updated this value.</t>
        </r>
      </text>
    </comment>
    <comment ref="AN18" authorId="0" shapeId="0" xr:uid="{00000000-0006-0000-0300-00002E010000}">
      <text>
        <r>
          <rPr>
            <sz val="10"/>
            <color rgb="FF000000"/>
            <rFont val="Arial"/>
            <scheme val="minor"/>
          </rPr>
          <t>Responder updated this value.</t>
        </r>
      </text>
    </comment>
    <comment ref="AO18" authorId="0" shapeId="0" xr:uid="{00000000-0006-0000-0300-00002F010000}">
      <text>
        <r>
          <rPr>
            <sz val="10"/>
            <color rgb="FF000000"/>
            <rFont val="Arial"/>
            <scheme val="minor"/>
          </rPr>
          <t>Responder updated this value.</t>
        </r>
      </text>
    </comment>
    <comment ref="AP18" authorId="0" shapeId="0" xr:uid="{00000000-0006-0000-0300-000030010000}">
      <text>
        <r>
          <rPr>
            <sz val="10"/>
            <color rgb="FF000000"/>
            <rFont val="Arial"/>
            <scheme val="minor"/>
          </rPr>
          <t>Responder updated this value.</t>
        </r>
      </text>
    </comment>
    <comment ref="AQ18" authorId="0" shapeId="0" xr:uid="{00000000-0006-0000-0300-000031010000}">
      <text>
        <r>
          <rPr>
            <sz val="10"/>
            <color rgb="FF000000"/>
            <rFont val="Arial"/>
            <scheme val="minor"/>
          </rPr>
          <t>Responder updated this value.</t>
        </r>
      </text>
    </comment>
    <comment ref="AR18" authorId="0" shapeId="0" xr:uid="{00000000-0006-0000-0300-000032010000}">
      <text>
        <r>
          <rPr>
            <sz val="10"/>
            <color rgb="FF000000"/>
            <rFont val="Arial"/>
            <scheme val="minor"/>
          </rPr>
          <t>Responder updated this value.</t>
        </r>
      </text>
    </comment>
    <comment ref="AS18" authorId="0" shapeId="0" xr:uid="{00000000-0006-0000-0300-000033010000}">
      <text>
        <r>
          <rPr>
            <sz val="10"/>
            <color rgb="FF000000"/>
            <rFont val="Arial"/>
            <scheme val="minor"/>
          </rPr>
          <t>Responder updated this value.</t>
        </r>
      </text>
    </comment>
    <comment ref="AT18" authorId="0" shapeId="0" xr:uid="{00000000-0006-0000-0300-000034010000}">
      <text>
        <r>
          <rPr>
            <sz val="10"/>
            <color rgb="FF000000"/>
            <rFont val="Arial"/>
            <scheme val="minor"/>
          </rPr>
          <t>Responder updated this value.</t>
        </r>
      </text>
    </comment>
    <comment ref="AU18" authorId="0" shapeId="0" xr:uid="{00000000-0006-0000-0300-000035010000}">
      <text>
        <r>
          <rPr>
            <sz val="10"/>
            <color rgb="FF000000"/>
            <rFont val="Arial"/>
            <scheme val="minor"/>
          </rPr>
          <t>Responder updated this value.</t>
        </r>
      </text>
    </comment>
    <comment ref="D19" authorId="0" shapeId="0" xr:uid="{00000000-0006-0000-0300-000036010000}">
      <text>
        <r>
          <rPr>
            <sz val="10"/>
            <color rgb="FF000000"/>
            <rFont val="Arial"/>
            <scheme val="minor"/>
          </rPr>
          <t>Responder updated this value.</t>
        </r>
      </text>
    </comment>
    <comment ref="K19" authorId="0" shapeId="0" xr:uid="{00000000-0006-0000-0300-000037010000}">
      <text>
        <r>
          <rPr>
            <sz val="10"/>
            <color rgb="FF000000"/>
            <rFont val="Arial"/>
            <scheme val="minor"/>
          </rPr>
          <t>Responder updated this value.</t>
        </r>
      </text>
    </comment>
    <comment ref="L19" authorId="0" shapeId="0" xr:uid="{00000000-0006-0000-0300-000038010000}">
      <text>
        <r>
          <rPr>
            <sz val="10"/>
            <color rgb="FF000000"/>
            <rFont val="Arial"/>
            <scheme val="minor"/>
          </rPr>
          <t>Responder updated this value.</t>
        </r>
      </text>
    </comment>
    <comment ref="AE19" authorId="0" shapeId="0" xr:uid="{00000000-0006-0000-0300-000039010000}">
      <text>
        <r>
          <rPr>
            <sz val="10"/>
            <color rgb="FF000000"/>
            <rFont val="Arial"/>
            <scheme val="minor"/>
          </rPr>
          <t>Responder updated this value.</t>
        </r>
      </text>
    </comment>
    <comment ref="AF19" authorId="0" shapeId="0" xr:uid="{00000000-0006-0000-0300-00003A010000}">
      <text>
        <r>
          <rPr>
            <sz val="10"/>
            <color rgb="FF000000"/>
            <rFont val="Arial"/>
            <scheme val="minor"/>
          </rPr>
          <t>Responder updated this value.</t>
        </r>
      </text>
    </comment>
    <comment ref="AG19" authorId="0" shapeId="0" xr:uid="{00000000-0006-0000-0300-00003B010000}">
      <text>
        <r>
          <rPr>
            <sz val="10"/>
            <color rgb="FF000000"/>
            <rFont val="Arial"/>
            <scheme val="minor"/>
          </rPr>
          <t>Responder updated this value.</t>
        </r>
      </text>
    </comment>
    <comment ref="AH19" authorId="0" shapeId="0" xr:uid="{00000000-0006-0000-0300-00003C010000}">
      <text>
        <r>
          <rPr>
            <sz val="10"/>
            <color rgb="FF000000"/>
            <rFont val="Arial"/>
            <scheme val="minor"/>
          </rPr>
          <t>Responder updated this value.</t>
        </r>
      </text>
    </comment>
    <comment ref="AI19" authorId="0" shapeId="0" xr:uid="{00000000-0006-0000-0300-00003D010000}">
      <text>
        <r>
          <rPr>
            <sz val="10"/>
            <color rgb="FF000000"/>
            <rFont val="Arial"/>
            <scheme val="minor"/>
          </rPr>
          <t>Responder updated this value.</t>
        </r>
      </text>
    </comment>
    <comment ref="AJ19" authorId="0" shapeId="0" xr:uid="{00000000-0006-0000-0300-00003E010000}">
      <text>
        <r>
          <rPr>
            <sz val="10"/>
            <color rgb="FF000000"/>
            <rFont val="Arial"/>
            <scheme val="minor"/>
          </rPr>
          <t>Responder updated this value.</t>
        </r>
      </text>
    </comment>
    <comment ref="AK19" authorId="0" shapeId="0" xr:uid="{00000000-0006-0000-0300-00003F010000}">
      <text>
        <r>
          <rPr>
            <sz val="10"/>
            <color rgb="FF000000"/>
            <rFont val="Arial"/>
            <scheme val="minor"/>
          </rPr>
          <t>Responder updated this value.</t>
        </r>
      </text>
    </comment>
    <comment ref="AM19" authorId="0" shapeId="0" xr:uid="{00000000-0006-0000-0300-000040010000}">
      <text>
        <r>
          <rPr>
            <sz val="10"/>
            <color rgb="FF000000"/>
            <rFont val="Arial"/>
            <scheme val="minor"/>
          </rPr>
          <t>Responder updated this value.</t>
        </r>
      </text>
    </comment>
    <comment ref="AN19" authorId="0" shapeId="0" xr:uid="{00000000-0006-0000-0300-000041010000}">
      <text>
        <r>
          <rPr>
            <sz val="10"/>
            <color rgb="FF000000"/>
            <rFont val="Arial"/>
            <scheme val="minor"/>
          </rPr>
          <t>Responder updated this value.</t>
        </r>
      </text>
    </comment>
    <comment ref="AO19" authorId="0" shapeId="0" xr:uid="{00000000-0006-0000-0300-000042010000}">
      <text>
        <r>
          <rPr>
            <sz val="10"/>
            <color rgb="FF000000"/>
            <rFont val="Arial"/>
            <scheme val="minor"/>
          </rPr>
          <t>Responder updated this value.</t>
        </r>
      </text>
    </comment>
    <comment ref="AP19" authorId="0" shapeId="0" xr:uid="{00000000-0006-0000-0300-000043010000}">
      <text>
        <r>
          <rPr>
            <sz val="10"/>
            <color rgb="FF000000"/>
            <rFont val="Arial"/>
            <scheme val="minor"/>
          </rPr>
          <t>Responder updated this value.</t>
        </r>
      </text>
    </comment>
    <comment ref="AQ19" authorId="0" shapeId="0" xr:uid="{00000000-0006-0000-0300-000044010000}">
      <text>
        <r>
          <rPr>
            <sz val="10"/>
            <color rgb="FF000000"/>
            <rFont val="Arial"/>
            <scheme val="minor"/>
          </rPr>
          <t>Responder updated this value.</t>
        </r>
      </text>
    </comment>
    <comment ref="AR19" authorId="0" shapeId="0" xr:uid="{00000000-0006-0000-0300-000045010000}">
      <text>
        <r>
          <rPr>
            <sz val="10"/>
            <color rgb="FF000000"/>
            <rFont val="Arial"/>
            <scheme val="minor"/>
          </rPr>
          <t>Responder updated this value.</t>
        </r>
      </text>
    </comment>
    <comment ref="AS19" authorId="0" shapeId="0" xr:uid="{00000000-0006-0000-0300-000046010000}">
      <text>
        <r>
          <rPr>
            <sz val="10"/>
            <color rgb="FF000000"/>
            <rFont val="Arial"/>
            <scheme val="minor"/>
          </rPr>
          <t>Responder updated this value.</t>
        </r>
      </text>
    </comment>
    <comment ref="AT19" authorId="0" shapeId="0" xr:uid="{00000000-0006-0000-0300-000047010000}">
      <text>
        <r>
          <rPr>
            <sz val="10"/>
            <color rgb="FF000000"/>
            <rFont val="Arial"/>
            <scheme val="minor"/>
          </rPr>
          <t>Responder updated this value.</t>
        </r>
      </text>
    </comment>
    <comment ref="AU19" authorId="0" shapeId="0" xr:uid="{00000000-0006-0000-0300-000048010000}">
      <text>
        <r>
          <rPr>
            <sz val="10"/>
            <color rgb="FF000000"/>
            <rFont val="Arial"/>
            <scheme val="minor"/>
          </rPr>
          <t>Responder updated this value.</t>
        </r>
      </text>
    </comment>
    <comment ref="D20" authorId="0" shapeId="0" xr:uid="{00000000-0006-0000-0300-000049010000}">
      <text>
        <r>
          <rPr>
            <sz val="10"/>
            <color rgb="FF000000"/>
            <rFont val="Arial"/>
            <scheme val="minor"/>
          </rPr>
          <t>Responder updated this value.</t>
        </r>
      </text>
    </comment>
    <comment ref="F20" authorId="0" shapeId="0" xr:uid="{00000000-0006-0000-0300-00004A010000}">
      <text>
        <r>
          <rPr>
            <sz val="10"/>
            <color rgb="FF000000"/>
            <rFont val="Arial"/>
            <scheme val="minor"/>
          </rPr>
          <t>Responder updated this value.</t>
        </r>
      </text>
    </comment>
    <comment ref="AE20" authorId="0" shapeId="0" xr:uid="{00000000-0006-0000-0300-00004B010000}">
      <text>
        <r>
          <rPr>
            <sz val="10"/>
            <color rgb="FF000000"/>
            <rFont val="Arial"/>
            <scheme val="minor"/>
          </rPr>
          <t>Responder updated this value.</t>
        </r>
      </text>
    </comment>
    <comment ref="AH20" authorId="0" shapeId="0" xr:uid="{00000000-0006-0000-0300-00004C010000}">
      <text>
        <r>
          <rPr>
            <sz val="10"/>
            <color rgb="FF000000"/>
            <rFont val="Arial"/>
            <scheme val="minor"/>
          </rPr>
          <t>Responder updated this value.</t>
        </r>
      </text>
    </comment>
    <comment ref="AI20" authorId="0" shapeId="0" xr:uid="{00000000-0006-0000-0300-00004D010000}">
      <text>
        <r>
          <rPr>
            <sz val="10"/>
            <color rgb="FF000000"/>
            <rFont val="Arial"/>
            <scheme val="minor"/>
          </rPr>
          <t>Responder updated this value.</t>
        </r>
      </text>
    </comment>
    <comment ref="AJ20" authorId="0" shapeId="0" xr:uid="{00000000-0006-0000-0300-00004E010000}">
      <text>
        <r>
          <rPr>
            <sz val="10"/>
            <color rgb="FF000000"/>
            <rFont val="Arial"/>
            <scheme val="minor"/>
          </rPr>
          <t>Responder updated this value.</t>
        </r>
      </text>
    </comment>
    <comment ref="AK20" authorId="0" shapeId="0" xr:uid="{00000000-0006-0000-0300-00004F010000}">
      <text>
        <r>
          <rPr>
            <sz val="10"/>
            <color rgb="FF000000"/>
            <rFont val="Arial"/>
            <scheme val="minor"/>
          </rPr>
          <t>Responder updated this value.</t>
        </r>
      </text>
    </comment>
    <comment ref="AM20" authorId="0" shapeId="0" xr:uid="{00000000-0006-0000-0300-000050010000}">
      <text>
        <r>
          <rPr>
            <sz val="10"/>
            <color rgb="FF000000"/>
            <rFont val="Arial"/>
            <scheme val="minor"/>
          </rPr>
          <t>Responder updated this value.</t>
        </r>
      </text>
    </comment>
    <comment ref="AN20" authorId="0" shapeId="0" xr:uid="{00000000-0006-0000-0300-000051010000}">
      <text>
        <r>
          <rPr>
            <sz val="10"/>
            <color rgb="FF000000"/>
            <rFont val="Arial"/>
            <scheme val="minor"/>
          </rPr>
          <t>Responder updated this value.</t>
        </r>
      </text>
    </comment>
    <comment ref="AO20" authorId="0" shapeId="0" xr:uid="{00000000-0006-0000-0300-000052010000}">
      <text>
        <r>
          <rPr>
            <sz val="10"/>
            <color rgb="FF000000"/>
            <rFont val="Arial"/>
            <scheme val="minor"/>
          </rPr>
          <t>Responder updated this value.</t>
        </r>
      </text>
    </comment>
    <comment ref="AP20" authorId="0" shapeId="0" xr:uid="{00000000-0006-0000-0300-000053010000}">
      <text>
        <r>
          <rPr>
            <sz val="10"/>
            <color rgb="FF000000"/>
            <rFont val="Arial"/>
            <scheme val="minor"/>
          </rPr>
          <t>Responder updated this value.</t>
        </r>
      </text>
    </comment>
    <comment ref="AQ20" authorId="0" shapeId="0" xr:uid="{00000000-0006-0000-0300-000054010000}">
      <text>
        <r>
          <rPr>
            <sz val="10"/>
            <color rgb="FF000000"/>
            <rFont val="Arial"/>
            <scheme val="minor"/>
          </rPr>
          <t>Responder updated this value.</t>
        </r>
      </text>
    </comment>
    <comment ref="AR20" authorId="0" shapeId="0" xr:uid="{00000000-0006-0000-0300-000055010000}">
      <text>
        <r>
          <rPr>
            <sz val="10"/>
            <color rgb="FF000000"/>
            <rFont val="Arial"/>
            <scheme val="minor"/>
          </rPr>
          <t>Responder updated this value.</t>
        </r>
      </text>
    </comment>
    <comment ref="AS20" authorId="0" shapeId="0" xr:uid="{00000000-0006-0000-0300-000056010000}">
      <text>
        <r>
          <rPr>
            <sz val="10"/>
            <color rgb="FF000000"/>
            <rFont val="Arial"/>
            <scheme val="minor"/>
          </rPr>
          <t>Responder updated this value.</t>
        </r>
      </text>
    </comment>
    <comment ref="AT20" authorId="0" shapeId="0" xr:uid="{00000000-0006-0000-0300-000057010000}">
      <text>
        <r>
          <rPr>
            <sz val="10"/>
            <color rgb="FF000000"/>
            <rFont val="Arial"/>
            <scheme val="minor"/>
          </rPr>
          <t>Responder updated this value.</t>
        </r>
      </text>
    </comment>
    <comment ref="AU20" authorId="0" shapeId="0" xr:uid="{00000000-0006-0000-0300-000058010000}">
      <text>
        <r>
          <rPr>
            <sz val="10"/>
            <color rgb="FF000000"/>
            <rFont val="Arial"/>
            <scheme val="minor"/>
          </rPr>
          <t>Responder updated this value.</t>
        </r>
      </text>
    </comment>
    <comment ref="D21" authorId="0" shapeId="0" xr:uid="{00000000-0006-0000-0300-000059010000}">
      <text>
        <r>
          <rPr>
            <sz val="10"/>
            <color rgb="FF000000"/>
            <rFont val="Arial"/>
            <scheme val="minor"/>
          </rPr>
          <t>Responder updated this value.</t>
        </r>
      </text>
    </comment>
    <comment ref="AE21" authorId="0" shapeId="0" xr:uid="{00000000-0006-0000-0300-00005A010000}">
      <text>
        <r>
          <rPr>
            <sz val="10"/>
            <color rgb="FF000000"/>
            <rFont val="Arial"/>
            <scheme val="minor"/>
          </rPr>
          <t>Responder updated this value.</t>
        </r>
      </text>
    </comment>
    <comment ref="AF21" authorId="0" shapeId="0" xr:uid="{00000000-0006-0000-0300-00005B010000}">
      <text>
        <r>
          <rPr>
            <sz val="10"/>
            <color rgb="FF000000"/>
            <rFont val="Arial"/>
            <scheme val="minor"/>
          </rPr>
          <t>Responder updated this value.</t>
        </r>
      </text>
    </comment>
    <comment ref="AK21" authorId="0" shapeId="0" xr:uid="{00000000-0006-0000-0300-00005C010000}">
      <text>
        <r>
          <rPr>
            <sz val="10"/>
            <color rgb="FF000000"/>
            <rFont val="Arial"/>
            <scheme val="minor"/>
          </rPr>
          <t>Responder updated this value.</t>
        </r>
      </text>
    </comment>
    <comment ref="AM21" authorId="0" shapeId="0" xr:uid="{00000000-0006-0000-0300-00005D010000}">
      <text>
        <r>
          <rPr>
            <sz val="10"/>
            <color rgb="FF000000"/>
            <rFont val="Arial"/>
            <scheme val="minor"/>
          </rPr>
          <t>Responder updated this value.</t>
        </r>
      </text>
    </comment>
    <comment ref="AN21" authorId="0" shapeId="0" xr:uid="{00000000-0006-0000-0300-00005E010000}">
      <text>
        <r>
          <rPr>
            <sz val="10"/>
            <color rgb="FF000000"/>
            <rFont val="Arial"/>
            <scheme val="minor"/>
          </rPr>
          <t>Responder updated this value.</t>
        </r>
      </text>
    </comment>
    <comment ref="AO21" authorId="0" shapeId="0" xr:uid="{00000000-0006-0000-0300-00005F010000}">
      <text>
        <r>
          <rPr>
            <sz val="10"/>
            <color rgb="FF000000"/>
            <rFont val="Arial"/>
            <scheme val="minor"/>
          </rPr>
          <t>Responder updated this value.</t>
        </r>
      </text>
    </comment>
    <comment ref="AP21" authorId="0" shapeId="0" xr:uid="{00000000-0006-0000-0300-000060010000}">
      <text>
        <r>
          <rPr>
            <sz val="10"/>
            <color rgb="FF000000"/>
            <rFont val="Arial"/>
            <scheme val="minor"/>
          </rPr>
          <t>Responder updated this value.</t>
        </r>
      </text>
    </comment>
    <comment ref="AQ21" authorId="0" shapeId="0" xr:uid="{00000000-0006-0000-0300-000061010000}">
      <text>
        <r>
          <rPr>
            <sz val="10"/>
            <color rgb="FF000000"/>
            <rFont val="Arial"/>
            <scheme val="minor"/>
          </rPr>
          <t>Responder updated this value.</t>
        </r>
      </text>
    </comment>
    <comment ref="AR21" authorId="0" shapeId="0" xr:uid="{00000000-0006-0000-0300-000062010000}">
      <text>
        <r>
          <rPr>
            <sz val="10"/>
            <color rgb="FF000000"/>
            <rFont val="Arial"/>
            <scheme val="minor"/>
          </rPr>
          <t>Responder updated this value.</t>
        </r>
      </text>
    </comment>
    <comment ref="AS21" authorId="0" shapeId="0" xr:uid="{00000000-0006-0000-0300-000063010000}">
      <text>
        <r>
          <rPr>
            <sz val="10"/>
            <color rgb="FF000000"/>
            <rFont val="Arial"/>
            <scheme val="minor"/>
          </rPr>
          <t>Responder updated this value.</t>
        </r>
      </text>
    </comment>
    <comment ref="AT21" authorId="0" shapeId="0" xr:uid="{00000000-0006-0000-0300-000064010000}">
      <text>
        <r>
          <rPr>
            <sz val="10"/>
            <color rgb="FF000000"/>
            <rFont val="Arial"/>
            <scheme val="minor"/>
          </rPr>
          <t>Responder updated this value.</t>
        </r>
      </text>
    </comment>
    <comment ref="AU21" authorId="0" shapeId="0" xr:uid="{00000000-0006-0000-0300-000065010000}">
      <text>
        <r>
          <rPr>
            <sz val="10"/>
            <color rgb="FF000000"/>
            <rFont val="Arial"/>
            <scheme val="minor"/>
          </rPr>
          <t>Responder updated this value.</t>
        </r>
      </text>
    </comment>
    <comment ref="D22" authorId="0" shapeId="0" xr:uid="{00000000-0006-0000-0300-000066010000}">
      <text>
        <r>
          <rPr>
            <sz val="10"/>
            <color rgb="FF000000"/>
            <rFont val="Arial"/>
            <scheme val="minor"/>
          </rPr>
          <t>Responder updated this value.</t>
        </r>
      </text>
    </comment>
    <comment ref="N22" authorId="0" shapeId="0" xr:uid="{00000000-0006-0000-0300-000067010000}">
      <text>
        <r>
          <rPr>
            <sz val="10"/>
            <color rgb="FF000000"/>
            <rFont val="Arial"/>
            <scheme val="minor"/>
          </rPr>
          <t>Responder updated this value.</t>
        </r>
      </text>
    </comment>
    <comment ref="O22" authorId="0" shapeId="0" xr:uid="{00000000-0006-0000-0300-000068010000}">
      <text>
        <r>
          <rPr>
            <sz val="10"/>
            <color rgb="FF000000"/>
            <rFont val="Arial"/>
            <scheme val="minor"/>
          </rPr>
          <t>Responder updated this value.</t>
        </r>
      </text>
    </comment>
    <comment ref="P22" authorId="0" shapeId="0" xr:uid="{00000000-0006-0000-0300-000069010000}">
      <text>
        <r>
          <rPr>
            <sz val="10"/>
            <color rgb="FF000000"/>
            <rFont val="Arial"/>
            <scheme val="minor"/>
          </rPr>
          <t>Responder updated this value.</t>
        </r>
      </text>
    </comment>
    <comment ref="Q22" authorId="0" shapeId="0" xr:uid="{00000000-0006-0000-0300-00006A010000}">
      <text>
        <r>
          <rPr>
            <sz val="10"/>
            <color rgb="FF000000"/>
            <rFont val="Arial"/>
            <scheme val="minor"/>
          </rPr>
          <t>Responder updated this value.</t>
        </r>
      </text>
    </comment>
    <comment ref="R22" authorId="0" shapeId="0" xr:uid="{00000000-0006-0000-0300-00006B010000}">
      <text>
        <r>
          <rPr>
            <sz val="10"/>
            <color rgb="FF000000"/>
            <rFont val="Arial"/>
            <scheme val="minor"/>
          </rPr>
          <t>Responder updated this value.</t>
        </r>
      </text>
    </comment>
    <comment ref="S22" authorId="0" shapeId="0" xr:uid="{00000000-0006-0000-0300-00006C010000}">
      <text>
        <r>
          <rPr>
            <sz val="10"/>
            <color rgb="FF000000"/>
            <rFont val="Arial"/>
            <scheme val="minor"/>
          </rPr>
          <t>Responder updated this value.</t>
        </r>
      </text>
    </comment>
    <comment ref="T22" authorId="0" shapeId="0" xr:uid="{00000000-0006-0000-0300-00006D010000}">
      <text>
        <r>
          <rPr>
            <sz val="10"/>
            <color rgb="FF000000"/>
            <rFont val="Arial"/>
            <scheme val="minor"/>
          </rPr>
          <t>Responder updated this value.</t>
        </r>
      </text>
    </comment>
    <comment ref="U22" authorId="0" shapeId="0" xr:uid="{00000000-0006-0000-0300-00006E010000}">
      <text>
        <r>
          <rPr>
            <sz val="10"/>
            <color rgb="FF000000"/>
            <rFont val="Arial"/>
            <scheme val="minor"/>
          </rPr>
          <t>Responder updated this value.</t>
        </r>
      </text>
    </comment>
    <comment ref="W22" authorId="0" shapeId="0" xr:uid="{00000000-0006-0000-0300-00006F010000}">
      <text>
        <r>
          <rPr>
            <sz val="10"/>
            <color rgb="FF000000"/>
            <rFont val="Arial"/>
            <scheme val="minor"/>
          </rPr>
          <t>Responder updated this value.</t>
        </r>
      </text>
    </comment>
    <comment ref="X22" authorId="0" shapeId="0" xr:uid="{00000000-0006-0000-0300-000070010000}">
      <text>
        <r>
          <rPr>
            <sz val="10"/>
            <color rgb="FF000000"/>
            <rFont val="Arial"/>
            <scheme val="minor"/>
          </rPr>
          <t>Responder updated this value.</t>
        </r>
      </text>
    </comment>
    <comment ref="AC22" authorId="0" shapeId="0" xr:uid="{00000000-0006-0000-0300-000071010000}">
      <text>
        <r>
          <rPr>
            <sz val="10"/>
            <color rgb="FF000000"/>
            <rFont val="Arial"/>
            <scheme val="minor"/>
          </rPr>
          <t>Responder updated this value.</t>
        </r>
      </text>
    </comment>
    <comment ref="AD22" authorId="0" shapeId="0" xr:uid="{00000000-0006-0000-0300-000072010000}">
      <text>
        <r>
          <rPr>
            <sz val="10"/>
            <color rgb="FF000000"/>
            <rFont val="Arial"/>
            <scheme val="minor"/>
          </rPr>
          <t>Responder updated this value.</t>
        </r>
      </text>
    </comment>
    <comment ref="AE22" authorId="0" shapeId="0" xr:uid="{00000000-0006-0000-0300-000073010000}">
      <text>
        <r>
          <rPr>
            <sz val="10"/>
            <color rgb="FF000000"/>
            <rFont val="Arial"/>
            <scheme val="minor"/>
          </rPr>
          <t>Responder updated this value.</t>
        </r>
      </text>
    </comment>
    <comment ref="D23" authorId="0" shapeId="0" xr:uid="{00000000-0006-0000-0300-000074010000}">
      <text>
        <r>
          <rPr>
            <sz val="10"/>
            <color rgb="FF000000"/>
            <rFont val="Arial"/>
            <scheme val="minor"/>
          </rPr>
          <t>Responder updated this value.</t>
        </r>
      </text>
    </comment>
    <comment ref="N23" authorId="0" shapeId="0" xr:uid="{00000000-0006-0000-0300-000075010000}">
      <text>
        <r>
          <rPr>
            <sz val="10"/>
            <color rgb="FF000000"/>
            <rFont val="Arial"/>
            <scheme val="minor"/>
          </rPr>
          <t>Responder updated this value.</t>
        </r>
      </text>
    </comment>
    <comment ref="O23" authorId="0" shapeId="0" xr:uid="{00000000-0006-0000-0300-000076010000}">
      <text>
        <r>
          <rPr>
            <sz val="10"/>
            <color rgb="FF000000"/>
            <rFont val="Arial"/>
            <scheme val="minor"/>
          </rPr>
          <t>Responder updated this value.</t>
        </r>
      </text>
    </comment>
    <comment ref="P23" authorId="0" shapeId="0" xr:uid="{00000000-0006-0000-0300-000077010000}">
      <text>
        <r>
          <rPr>
            <sz val="10"/>
            <color rgb="FF000000"/>
            <rFont val="Arial"/>
            <scheme val="minor"/>
          </rPr>
          <t>Responder updated this value.</t>
        </r>
      </text>
    </comment>
    <comment ref="Q23" authorId="0" shapeId="0" xr:uid="{00000000-0006-0000-0300-000078010000}">
      <text>
        <r>
          <rPr>
            <sz val="10"/>
            <color rgb="FF000000"/>
            <rFont val="Arial"/>
            <scheme val="minor"/>
          </rPr>
          <t>Responder updated this value.</t>
        </r>
      </text>
    </comment>
    <comment ref="R23" authorId="0" shapeId="0" xr:uid="{00000000-0006-0000-0300-000079010000}">
      <text>
        <r>
          <rPr>
            <sz val="10"/>
            <color rgb="FF000000"/>
            <rFont val="Arial"/>
            <scheme val="minor"/>
          </rPr>
          <t>Responder updated this value.</t>
        </r>
      </text>
    </comment>
    <comment ref="S23" authorId="0" shapeId="0" xr:uid="{00000000-0006-0000-0300-00007A010000}">
      <text>
        <r>
          <rPr>
            <sz val="10"/>
            <color rgb="FF000000"/>
            <rFont val="Arial"/>
            <scheme val="minor"/>
          </rPr>
          <t>Responder updated this value.</t>
        </r>
      </text>
    </comment>
    <comment ref="T23" authorId="0" shapeId="0" xr:uid="{00000000-0006-0000-0300-00007B010000}">
      <text>
        <r>
          <rPr>
            <sz val="10"/>
            <color rgb="FF000000"/>
            <rFont val="Arial"/>
            <scheme val="minor"/>
          </rPr>
          <t>Responder updated this value.</t>
        </r>
      </text>
    </comment>
    <comment ref="U23" authorId="0" shapeId="0" xr:uid="{00000000-0006-0000-0300-00007C010000}">
      <text>
        <r>
          <rPr>
            <sz val="10"/>
            <color rgb="FF000000"/>
            <rFont val="Arial"/>
            <scheme val="minor"/>
          </rPr>
          <t>Responder updated this value.</t>
        </r>
      </text>
    </comment>
    <comment ref="V23" authorId="0" shapeId="0" xr:uid="{00000000-0006-0000-0300-00007D010000}">
      <text>
        <r>
          <rPr>
            <sz val="10"/>
            <color rgb="FF000000"/>
            <rFont val="Arial"/>
            <scheme val="minor"/>
          </rPr>
          <t>Responder updated this value.</t>
        </r>
      </text>
    </comment>
    <comment ref="W23" authorId="0" shapeId="0" xr:uid="{00000000-0006-0000-0300-00007E010000}">
      <text>
        <r>
          <rPr>
            <sz val="10"/>
            <color rgb="FF000000"/>
            <rFont val="Arial"/>
            <scheme val="minor"/>
          </rPr>
          <t>Responder updated this value.</t>
        </r>
      </text>
    </comment>
    <comment ref="X23" authorId="0" shapeId="0" xr:uid="{00000000-0006-0000-0300-00007F010000}">
      <text>
        <r>
          <rPr>
            <sz val="10"/>
            <color rgb="FF000000"/>
            <rFont val="Arial"/>
            <scheme val="minor"/>
          </rPr>
          <t>Responder updated this value.</t>
        </r>
      </text>
    </comment>
    <comment ref="AC23" authorId="0" shapeId="0" xr:uid="{00000000-0006-0000-0300-000080010000}">
      <text>
        <r>
          <rPr>
            <sz val="10"/>
            <color rgb="FF000000"/>
            <rFont val="Arial"/>
            <scheme val="minor"/>
          </rPr>
          <t>Responder updated this value.</t>
        </r>
      </text>
    </comment>
    <comment ref="AD23" authorId="0" shapeId="0" xr:uid="{00000000-0006-0000-0300-000081010000}">
      <text>
        <r>
          <rPr>
            <sz val="10"/>
            <color rgb="FF000000"/>
            <rFont val="Arial"/>
            <scheme val="minor"/>
          </rPr>
          <t>Responder updated this value.</t>
        </r>
      </text>
    </comment>
    <comment ref="AE23" authorId="0" shapeId="0" xr:uid="{00000000-0006-0000-0300-000082010000}">
      <text>
        <r>
          <rPr>
            <sz val="10"/>
            <color rgb="FF000000"/>
            <rFont val="Arial"/>
            <scheme val="minor"/>
          </rPr>
          <t>Responder updated this value.</t>
        </r>
      </text>
    </comment>
    <comment ref="AF23" authorId="0" shapeId="0" xr:uid="{00000000-0006-0000-0300-000083010000}">
      <text>
        <r>
          <rPr>
            <sz val="10"/>
            <color rgb="FF000000"/>
            <rFont val="Arial"/>
            <scheme val="minor"/>
          </rPr>
          <t>Responder updated this value.</t>
        </r>
      </text>
    </comment>
    <comment ref="AG23" authorId="0" shapeId="0" xr:uid="{00000000-0006-0000-0300-000084010000}">
      <text>
        <r>
          <rPr>
            <sz val="10"/>
            <color rgb="FF000000"/>
            <rFont val="Arial"/>
            <scheme val="minor"/>
          </rPr>
          <t>Responder updated this value.</t>
        </r>
      </text>
    </comment>
    <comment ref="AH23" authorId="0" shapeId="0" xr:uid="{00000000-0006-0000-0300-000085010000}">
      <text>
        <r>
          <rPr>
            <sz val="10"/>
            <color rgb="FF000000"/>
            <rFont val="Arial"/>
            <scheme val="minor"/>
          </rPr>
          <t>Responder updated this value.</t>
        </r>
      </text>
    </comment>
    <comment ref="AI23" authorId="0" shapeId="0" xr:uid="{00000000-0006-0000-0300-000086010000}">
      <text>
        <r>
          <rPr>
            <sz val="10"/>
            <color rgb="FF000000"/>
            <rFont val="Arial"/>
            <scheme val="minor"/>
          </rPr>
          <t>Responder updated this value.</t>
        </r>
      </text>
    </comment>
    <comment ref="AJ23" authorId="0" shapeId="0" xr:uid="{00000000-0006-0000-0300-000087010000}">
      <text>
        <r>
          <rPr>
            <sz val="10"/>
            <color rgb="FF000000"/>
            <rFont val="Arial"/>
            <scheme val="minor"/>
          </rPr>
          <t>Responder updated this value.</t>
        </r>
      </text>
    </comment>
    <comment ref="AK23" authorId="0" shapeId="0" xr:uid="{00000000-0006-0000-0300-000088010000}">
      <text>
        <r>
          <rPr>
            <sz val="10"/>
            <color rgb="FF000000"/>
            <rFont val="Arial"/>
            <scheme val="minor"/>
          </rPr>
          <t>Responder updated this value.</t>
        </r>
      </text>
    </comment>
    <comment ref="AL23" authorId="0" shapeId="0" xr:uid="{00000000-0006-0000-0300-000089010000}">
      <text>
        <r>
          <rPr>
            <sz val="10"/>
            <color rgb="FF000000"/>
            <rFont val="Arial"/>
            <scheme val="minor"/>
          </rPr>
          <t>Responder updated this value.</t>
        </r>
      </text>
    </comment>
    <comment ref="AM23" authorId="0" shapeId="0" xr:uid="{00000000-0006-0000-0300-00008A010000}">
      <text>
        <r>
          <rPr>
            <sz val="10"/>
            <color rgb="FF000000"/>
            <rFont val="Arial"/>
            <scheme val="minor"/>
          </rPr>
          <t>Responder updated this value.</t>
        </r>
      </text>
    </comment>
    <comment ref="AN23" authorId="0" shapeId="0" xr:uid="{00000000-0006-0000-0300-00008B010000}">
      <text>
        <r>
          <rPr>
            <sz val="10"/>
            <color rgb="FF000000"/>
            <rFont val="Arial"/>
            <scheme val="minor"/>
          </rPr>
          <t>Responder updated this value.</t>
        </r>
      </text>
    </comment>
    <comment ref="AO23" authorId="0" shapeId="0" xr:uid="{00000000-0006-0000-0300-00008C010000}">
      <text>
        <r>
          <rPr>
            <sz val="10"/>
            <color rgb="FF000000"/>
            <rFont val="Arial"/>
            <scheme val="minor"/>
          </rPr>
          <t>Responder updated this value.</t>
        </r>
      </text>
    </comment>
    <comment ref="AP23" authorId="0" shapeId="0" xr:uid="{00000000-0006-0000-0300-00008D010000}">
      <text>
        <r>
          <rPr>
            <sz val="10"/>
            <color rgb="FF000000"/>
            <rFont val="Arial"/>
            <scheme val="minor"/>
          </rPr>
          <t>Responder updated this value.</t>
        </r>
      </text>
    </comment>
    <comment ref="AQ23" authorId="0" shapeId="0" xr:uid="{00000000-0006-0000-0300-00008E010000}">
      <text>
        <r>
          <rPr>
            <sz val="10"/>
            <color rgb="FF000000"/>
            <rFont val="Arial"/>
            <scheme val="minor"/>
          </rPr>
          <t>Responder updated this value.</t>
        </r>
      </text>
    </comment>
    <comment ref="AR23" authorId="0" shapeId="0" xr:uid="{00000000-0006-0000-0300-00008F010000}">
      <text>
        <r>
          <rPr>
            <sz val="10"/>
            <color rgb="FF000000"/>
            <rFont val="Arial"/>
            <scheme val="minor"/>
          </rPr>
          <t>Responder updated this value.</t>
        </r>
      </text>
    </comment>
    <comment ref="AS23" authorId="0" shapeId="0" xr:uid="{00000000-0006-0000-0300-000090010000}">
      <text>
        <r>
          <rPr>
            <sz val="10"/>
            <color rgb="FF000000"/>
            <rFont val="Arial"/>
            <scheme val="minor"/>
          </rPr>
          <t>Responder updated this value.</t>
        </r>
      </text>
    </comment>
    <comment ref="AT23" authorId="0" shapeId="0" xr:uid="{00000000-0006-0000-0300-000091010000}">
      <text>
        <r>
          <rPr>
            <sz val="10"/>
            <color rgb="FF000000"/>
            <rFont val="Arial"/>
            <scheme val="minor"/>
          </rPr>
          <t>Responder updated this value.</t>
        </r>
      </text>
    </comment>
    <comment ref="AU23" authorId="0" shapeId="0" xr:uid="{00000000-0006-0000-0300-000092010000}">
      <text>
        <r>
          <rPr>
            <sz val="10"/>
            <color rgb="FF000000"/>
            <rFont val="Arial"/>
            <scheme val="minor"/>
          </rPr>
          <t>Responder updated this value.</t>
        </r>
      </text>
    </comment>
    <comment ref="D24" authorId="0" shapeId="0" xr:uid="{00000000-0006-0000-0300-000093010000}">
      <text>
        <r>
          <rPr>
            <sz val="10"/>
            <color rgb="FF000000"/>
            <rFont val="Arial"/>
            <scheme val="minor"/>
          </rPr>
          <t>Responder updated this value.</t>
        </r>
      </text>
    </comment>
    <comment ref="N24" authorId="0" shapeId="0" xr:uid="{00000000-0006-0000-0300-000094010000}">
      <text>
        <r>
          <rPr>
            <sz val="10"/>
            <color rgb="FF000000"/>
            <rFont val="Arial"/>
            <scheme val="minor"/>
          </rPr>
          <t>Responder updated this value.</t>
        </r>
      </text>
    </comment>
    <comment ref="O24" authorId="0" shapeId="0" xr:uid="{00000000-0006-0000-0300-000095010000}">
      <text>
        <r>
          <rPr>
            <sz val="10"/>
            <color rgb="FF000000"/>
            <rFont val="Arial"/>
            <scheme val="minor"/>
          </rPr>
          <t>Responder updated this value.</t>
        </r>
      </text>
    </comment>
    <comment ref="P24" authorId="0" shapeId="0" xr:uid="{00000000-0006-0000-0300-000096010000}">
      <text>
        <r>
          <rPr>
            <sz val="10"/>
            <color rgb="FF000000"/>
            <rFont val="Arial"/>
            <scheme val="minor"/>
          </rPr>
          <t>Responder updated this value.</t>
        </r>
      </text>
    </comment>
    <comment ref="Q24" authorId="0" shapeId="0" xr:uid="{00000000-0006-0000-0300-000097010000}">
      <text>
        <r>
          <rPr>
            <sz val="10"/>
            <color rgb="FF000000"/>
            <rFont val="Arial"/>
            <scheme val="minor"/>
          </rPr>
          <t>Responder updated this value.</t>
        </r>
      </text>
    </comment>
    <comment ref="R24" authorId="0" shapeId="0" xr:uid="{00000000-0006-0000-0300-000098010000}">
      <text>
        <r>
          <rPr>
            <sz val="10"/>
            <color rgb="FF000000"/>
            <rFont val="Arial"/>
            <scheme val="minor"/>
          </rPr>
          <t>Responder updated this value.</t>
        </r>
      </text>
    </comment>
    <comment ref="S24" authorId="0" shapeId="0" xr:uid="{00000000-0006-0000-0300-000099010000}">
      <text>
        <r>
          <rPr>
            <sz val="10"/>
            <color rgb="FF000000"/>
            <rFont val="Arial"/>
            <scheme val="minor"/>
          </rPr>
          <t>Responder updated this value.</t>
        </r>
      </text>
    </comment>
    <comment ref="U24" authorId="0" shapeId="0" xr:uid="{00000000-0006-0000-0300-00009A010000}">
      <text>
        <r>
          <rPr>
            <sz val="10"/>
            <color rgb="FF000000"/>
            <rFont val="Arial"/>
            <scheme val="minor"/>
          </rPr>
          <t>Responder updated this value.</t>
        </r>
      </text>
    </comment>
    <comment ref="V24" authorId="0" shapeId="0" xr:uid="{00000000-0006-0000-0300-00009B010000}">
      <text>
        <r>
          <rPr>
            <sz val="10"/>
            <color rgb="FF000000"/>
            <rFont val="Arial"/>
            <scheme val="minor"/>
          </rPr>
          <t>Responder updated this value.</t>
        </r>
      </text>
    </comment>
    <comment ref="W24" authorId="0" shapeId="0" xr:uid="{00000000-0006-0000-0300-00009C010000}">
      <text>
        <r>
          <rPr>
            <sz val="10"/>
            <color rgb="FF000000"/>
            <rFont val="Arial"/>
            <scheme val="minor"/>
          </rPr>
          <t>Responder updated this value.</t>
        </r>
      </text>
    </comment>
    <comment ref="X24" authorId="0" shapeId="0" xr:uid="{00000000-0006-0000-0300-00009D010000}">
      <text>
        <r>
          <rPr>
            <sz val="10"/>
            <color rgb="FF000000"/>
            <rFont val="Arial"/>
            <scheme val="minor"/>
          </rPr>
          <t>Responder updated this value.</t>
        </r>
      </text>
    </comment>
    <comment ref="Y24" authorId="0" shapeId="0" xr:uid="{00000000-0006-0000-0300-00009E010000}">
      <text>
        <r>
          <rPr>
            <sz val="10"/>
            <color rgb="FF000000"/>
            <rFont val="Arial"/>
            <scheme val="minor"/>
          </rPr>
          <t>Responder updated this value.</t>
        </r>
      </text>
    </comment>
    <comment ref="AC24" authorId="0" shapeId="0" xr:uid="{00000000-0006-0000-0300-00009F010000}">
      <text>
        <r>
          <rPr>
            <sz val="10"/>
            <color rgb="FF000000"/>
            <rFont val="Arial"/>
            <scheme val="minor"/>
          </rPr>
          <t>Responder updated this value.</t>
        </r>
      </text>
    </comment>
    <comment ref="AD24" authorId="0" shapeId="0" xr:uid="{00000000-0006-0000-0300-0000A0010000}">
      <text>
        <r>
          <rPr>
            <sz val="10"/>
            <color rgb="FF000000"/>
            <rFont val="Arial"/>
            <scheme val="minor"/>
          </rPr>
          <t>Responder updated this value.</t>
        </r>
      </text>
    </comment>
    <comment ref="AE24" authorId="0" shapeId="0" xr:uid="{00000000-0006-0000-0300-0000A1010000}">
      <text>
        <r>
          <rPr>
            <sz val="10"/>
            <color rgb="FF000000"/>
            <rFont val="Arial"/>
            <scheme val="minor"/>
          </rPr>
          <t>Responder updated this value.</t>
        </r>
      </text>
    </comment>
    <comment ref="AL24" authorId="0" shapeId="0" xr:uid="{00000000-0006-0000-0300-0000A2010000}">
      <text>
        <r>
          <rPr>
            <sz val="10"/>
            <color rgb="FF000000"/>
            <rFont val="Arial"/>
            <scheme val="minor"/>
          </rPr>
          <t>Responder updated this value.</t>
        </r>
      </text>
    </comment>
    <comment ref="AM24" authorId="0" shapeId="0" xr:uid="{00000000-0006-0000-0300-0000A3010000}">
      <text>
        <r>
          <rPr>
            <sz val="10"/>
            <color rgb="FF000000"/>
            <rFont val="Arial"/>
            <scheme val="minor"/>
          </rPr>
          <t>Responder updated this value.</t>
        </r>
      </text>
    </comment>
    <comment ref="AN24" authorId="0" shapeId="0" xr:uid="{00000000-0006-0000-0300-0000A4010000}">
      <text>
        <r>
          <rPr>
            <sz val="10"/>
            <color rgb="FF000000"/>
            <rFont val="Arial"/>
            <scheme val="minor"/>
          </rPr>
          <t>Responder updated this value.</t>
        </r>
      </text>
    </comment>
    <comment ref="AO24" authorId="0" shapeId="0" xr:uid="{00000000-0006-0000-0300-0000A5010000}">
      <text>
        <r>
          <rPr>
            <sz val="10"/>
            <color rgb="FF000000"/>
            <rFont val="Arial"/>
            <scheme val="minor"/>
          </rPr>
          <t>Responder updated this value.</t>
        </r>
      </text>
    </comment>
    <comment ref="AP24" authorId="0" shapeId="0" xr:uid="{00000000-0006-0000-0300-0000A6010000}">
      <text>
        <r>
          <rPr>
            <sz val="10"/>
            <color rgb="FF000000"/>
            <rFont val="Arial"/>
            <scheme val="minor"/>
          </rPr>
          <t>Responder updated this value.</t>
        </r>
      </text>
    </comment>
    <comment ref="AQ24" authorId="0" shapeId="0" xr:uid="{00000000-0006-0000-0300-0000A7010000}">
      <text>
        <r>
          <rPr>
            <sz val="10"/>
            <color rgb="FF000000"/>
            <rFont val="Arial"/>
            <scheme val="minor"/>
          </rPr>
          <t>Responder updated this value.</t>
        </r>
      </text>
    </comment>
    <comment ref="AR24" authorId="0" shapeId="0" xr:uid="{00000000-0006-0000-0300-0000A8010000}">
      <text>
        <r>
          <rPr>
            <sz val="10"/>
            <color rgb="FF000000"/>
            <rFont val="Arial"/>
            <scheme val="minor"/>
          </rPr>
          <t>Responder updated this value.</t>
        </r>
      </text>
    </comment>
    <comment ref="AS24" authorId="0" shapeId="0" xr:uid="{00000000-0006-0000-0300-0000A9010000}">
      <text>
        <r>
          <rPr>
            <sz val="10"/>
            <color rgb="FF000000"/>
            <rFont val="Arial"/>
            <scheme val="minor"/>
          </rPr>
          <t>Responder updated this value.</t>
        </r>
      </text>
    </comment>
    <comment ref="AT24" authorId="0" shapeId="0" xr:uid="{00000000-0006-0000-0300-0000AA010000}">
      <text>
        <r>
          <rPr>
            <sz val="10"/>
            <color rgb="FF000000"/>
            <rFont val="Arial"/>
            <scheme val="minor"/>
          </rPr>
          <t>Responder updated this value.</t>
        </r>
      </text>
    </comment>
    <comment ref="AU24" authorId="0" shapeId="0" xr:uid="{00000000-0006-0000-0300-0000AB010000}">
      <text>
        <r>
          <rPr>
            <sz val="10"/>
            <color rgb="FF000000"/>
            <rFont val="Arial"/>
            <scheme val="minor"/>
          </rPr>
          <t>Responder updated this value.</t>
        </r>
      </text>
    </comment>
    <comment ref="D25" authorId="0" shapeId="0" xr:uid="{00000000-0006-0000-0300-0000AC010000}">
      <text>
        <r>
          <rPr>
            <sz val="10"/>
            <color rgb="FF000000"/>
            <rFont val="Arial"/>
            <scheme val="minor"/>
          </rPr>
          <t>Responder updated this value.</t>
        </r>
      </text>
    </comment>
    <comment ref="F25" authorId="0" shapeId="0" xr:uid="{00000000-0006-0000-0300-0000AD010000}">
      <text>
        <r>
          <rPr>
            <sz val="10"/>
            <color rgb="FF000000"/>
            <rFont val="Arial"/>
            <scheme val="minor"/>
          </rPr>
          <t>Responder updated this value.</t>
        </r>
      </text>
    </comment>
    <comment ref="N25" authorId="0" shapeId="0" xr:uid="{00000000-0006-0000-0300-0000AE010000}">
      <text>
        <r>
          <rPr>
            <sz val="10"/>
            <color rgb="FF000000"/>
            <rFont val="Arial"/>
            <scheme val="minor"/>
          </rPr>
          <t>Responder updated this value.</t>
        </r>
      </text>
    </comment>
    <comment ref="O25" authorId="0" shapeId="0" xr:uid="{00000000-0006-0000-0300-0000AF010000}">
      <text>
        <r>
          <rPr>
            <sz val="10"/>
            <color rgb="FF000000"/>
            <rFont val="Arial"/>
            <scheme val="minor"/>
          </rPr>
          <t>Responder updated this value.</t>
        </r>
      </text>
    </comment>
    <comment ref="P25" authorId="0" shapeId="0" xr:uid="{00000000-0006-0000-0300-0000B0010000}">
      <text>
        <r>
          <rPr>
            <sz val="10"/>
            <color rgb="FF000000"/>
            <rFont val="Arial"/>
            <scheme val="minor"/>
          </rPr>
          <t>Responder updated this value.</t>
        </r>
      </text>
    </comment>
    <comment ref="Q25" authorId="0" shapeId="0" xr:uid="{00000000-0006-0000-0300-0000B1010000}">
      <text>
        <r>
          <rPr>
            <sz val="10"/>
            <color rgb="FF000000"/>
            <rFont val="Arial"/>
            <scheme val="minor"/>
          </rPr>
          <t>Responder updated this value.</t>
        </r>
      </text>
    </comment>
    <comment ref="R25" authorId="0" shapeId="0" xr:uid="{00000000-0006-0000-0300-0000B2010000}">
      <text>
        <r>
          <rPr>
            <sz val="10"/>
            <color rgb="FF000000"/>
            <rFont val="Arial"/>
            <scheme val="minor"/>
          </rPr>
          <t>Responder updated this value.</t>
        </r>
      </text>
    </comment>
    <comment ref="S25" authorId="0" shapeId="0" xr:uid="{00000000-0006-0000-0300-0000B3010000}">
      <text>
        <r>
          <rPr>
            <sz val="10"/>
            <color rgb="FF000000"/>
            <rFont val="Arial"/>
            <scheme val="minor"/>
          </rPr>
          <t>Responder updated this value.</t>
        </r>
      </text>
    </comment>
    <comment ref="T25" authorId="0" shapeId="0" xr:uid="{00000000-0006-0000-0300-0000B4010000}">
      <text>
        <r>
          <rPr>
            <sz val="10"/>
            <color rgb="FF000000"/>
            <rFont val="Arial"/>
            <scheme val="minor"/>
          </rPr>
          <t>Responder updated this value.</t>
        </r>
      </text>
    </comment>
    <comment ref="U25" authorId="0" shapeId="0" xr:uid="{00000000-0006-0000-0300-0000B5010000}">
      <text>
        <r>
          <rPr>
            <sz val="10"/>
            <color rgb="FF000000"/>
            <rFont val="Arial"/>
            <scheme val="minor"/>
          </rPr>
          <t>Responder updated this value.</t>
        </r>
      </text>
    </comment>
    <comment ref="V25" authorId="0" shapeId="0" xr:uid="{00000000-0006-0000-0300-0000B6010000}">
      <text>
        <r>
          <rPr>
            <sz val="10"/>
            <color rgb="FF000000"/>
            <rFont val="Arial"/>
            <scheme val="minor"/>
          </rPr>
          <t>Responder updated this value.</t>
        </r>
      </text>
    </comment>
    <comment ref="W25" authorId="0" shapeId="0" xr:uid="{00000000-0006-0000-0300-0000B7010000}">
      <text>
        <r>
          <rPr>
            <sz val="10"/>
            <color rgb="FF000000"/>
            <rFont val="Arial"/>
            <scheme val="minor"/>
          </rPr>
          <t>Responder updated this value.</t>
        </r>
      </text>
    </comment>
    <comment ref="X25" authorId="0" shapeId="0" xr:uid="{00000000-0006-0000-0300-0000B8010000}">
      <text>
        <r>
          <rPr>
            <sz val="10"/>
            <color rgb="FF000000"/>
            <rFont val="Arial"/>
            <scheme val="minor"/>
          </rPr>
          <t>Responder updated this value.</t>
        </r>
      </text>
    </comment>
    <comment ref="Y25" authorId="0" shapeId="0" xr:uid="{00000000-0006-0000-0300-0000B9010000}">
      <text>
        <r>
          <rPr>
            <sz val="10"/>
            <color rgb="FF000000"/>
            <rFont val="Arial"/>
            <scheme val="minor"/>
          </rPr>
          <t>Responder updated this value.</t>
        </r>
      </text>
    </comment>
    <comment ref="AC25" authorId="0" shapeId="0" xr:uid="{00000000-0006-0000-0300-0000BA010000}">
      <text>
        <r>
          <rPr>
            <sz val="10"/>
            <color rgb="FF000000"/>
            <rFont val="Arial"/>
            <scheme val="minor"/>
          </rPr>
          <t>Responder updated this value.</t>
        </r>
      </text>
    </comment>
    <comment ref="AD25" authorId="0" shapeId="0" xr:uid="{00000000-0006-0000-0300-0000BB010000}">
      <text>
        <r>
          <rPr>
            <sz val="10"/>
            <color rgb="FF000000"/>
            <rFont val="Arial"/>
            <scheme val="minor"/>
          </rPr>
          <t>Responder updated this value.</t>
        </r>
      </text>
    </comment>
    <comment ref="AE25" authorId="0" shapeId="0" xr:uid="{00000000-0006-0000-0300-0000BC010000}">
      <text>
        <r>
          <rPr>
            <sz val="10"/>
            <color rgb="FF000000"/>
            <rFont val="Arial"/>
            <scheme val="minor"/>
          </rPr>
          <t>Responder updated this value.</t>
        </r>
      </text>
    </comment>
    <comment ref="AI25" authorId="0" shapeId="0" xr:uid="{00000000-0006-0000-0300-0000BD010000}">
      <text>
        <r>
          <rPr>
            <sz val="10"/>
            <color rgb="FF000000"/>
            <rFont val="Arial"/>
            <scheme val="minor"/>
          </rPr>
          <t>Responder updated this value.</t>
        </r>
      </text>
    </comment>
    <comment ref="AJ25" authorId="0" shapeId="0" xr:uid="{00000000-0006-0000-0300-0000BE010000}">
      <text>
        <r>
          <rPr>
            <sz val="10"/>
            <color rgb="FF000000"/>
            <rFont val="Arial"/>
            <scheme val="minor"/>
          </rPr>
          <t>Responder updated this value.</t>
        </r>
      </text>
    </comment>
    <comment ref="AK25" authorId="0" shapeId="0" xr:uid="{00000000-0006-0000-0300-0000BF010000}">
      <text>
        <r>
          <rPr>
            <sz val="10"/>
            <color rgb="FF000000"/>
            <rFont val="Arial"/>
            <scheme val="minor"/>
          </rPr>
          <t>Responder updated this value.</t>
        </r>
      </text>
    </comment>
    <comment ref="AL25" authorId="0" shapeId="0" xr:uid="{00000000-0006-0000-0300-0000C0010000}">
      <text>
        <r>
          <rPr>
            <sz val="10"/>
            <color rgb="FF000000"/>
            <rFont val="Arial"/>
            <scheme val="minor"/>
          </rPr>
          <t>Responder updated this value.</t>
        </r>
      </text>
    </comment>
    <comment ref="AM25" authorId="0" shapeId="0" xr:uid="{00000000-0006-0000-0300-0000C1010000}">
      <text>
        <r>
          <rPr>
            <sz val="10"/>
            <color rgb="FF000000"/>
            <rFont val="Arial"/>
            <scheme val="minor"/>
          </rPr>
          <t>Responder updated this value.</t>
        </r>
      </text>
    </comment>
    <comment ref="AN25" authorId="0" shapeId="0" xr:uid="{00000000-0006-0000-0300-0000C2010000}">
      <text>
        <r>
          <rPr>
            <sz val="10"/>
            <color rgb="FF000000"/>
            <rFont val="Arial"/>
            <scheme val="minor"/>
          </rPr>
          <t>Responder updated this value.</t>
        </r>
      </text>
    </comment>
    <comment ref="AO25" authorId="0" shapeId="0" xr:uid="{00000000-0006-0000-0300-0000C3010000}">
      <text>
        <r>
          <rPr>
            <sz val="10"/>
            <color rgb="FF000000"/>
            <rFont val="Arial"/>
            <scheme val="minor"/>
          </rPr>
          <t>Responder updated this value.</t>
        </r>
      </text>
    </comment>
    <comment ref="AP25" authorId="0" shapeId="0" xr:uid="{00000000-0006-0000-0300-0000C4010000}">
      <text>
        <r>
          <rPr>
            <sz val="10"/>
            <color rgb="FF000000"/>
            <rFont val="Arial"/>
            <scheme val="minor"/>
          </rPr>
          <t>Responder updated this value.</t>
        </r>
      </text>
    </comment>
    <comment ref="AQ25" authorId="0" shapeId="0" xr:uid="{00000000-0006-0000-0300-0000C5010000}">
      <text>
        <r>
          <rPr>
            <sz val="10"/>
            <color rgb="FF000000"/>
            <rFont val="Arial"/>
            <scheme val="minor"/>
          </rPr>
          <t>Responder updated this value.</t>
        </r>
      </text>
    </comment>
    <comment ref="AR25" authorId="0" shapeId="0" xr:uid="{00000000-0006-0000-0300-0000C6010000}">
      <text>
        <r>
          <rPr>
            <sz val="10"/>
            <color rgb="FF000000"/>
            <rFont val="Arial"/>
            <scheme val="minor"/>
          </rPr>
          <t>Responder updated this value.</t>
        </r>
      </text>
    </comment>
    <comment ref="AS25" authorId="0" shapeId="0" xr:uid="{00000000-0006-0000-0300-0000C7010000}">
      <text>
        <r>
          <rPr>
            <sz val="10"/>
            <color rgb="FF000000"/>
            <rFont val="Arial"/>
            <scheme val="minor"/>
          </rPr>
          <t>Responder updated this value.</t>
        </r>
      </text>
    </comment>
    <comment ref="AT25" authorId="0" shapeId="0" xr:uid="{00000000-0006-0000-0300-0000C8010000}">
      <text>
        <r>
          <rPr>
            <sz val="10"/>
            <color rgb="FF000000"/>
            <rFont val="Arial"/>
            <scheme val="minor"/>
          </rPr>
          <t>Responder updated this value.</t>
        </r>
      </text>
    </comment>
    <comment ref="AU25" authorId="0" shapeId="0" xr:uid="{00000000-0006-0000-0300-0000C9010000}">
      <text>
        <r>
          <rPr>
            <sz val="10"/>
            <color rgb="FF000000"/>
            <rFont val="Arial"/>
            <scheme val="minor"/>
          </rPr>
          <t>Responder updated this value.</t>
        </r>
      </text>
    </comment>
    <comment ref="D26" authorId="0" shapeId="0" xr:uid="{00000000-0006-0000-0300-0000CA010000}">
      <text>
        <r>
          <rPr>
            <sz val="10"/>
            <color rgb="FF000000"/>
            <rFont val="Arial"/>
            <scheme val="minor"/>
          </rPr>
          <t>Responder updated this value.</t>
        </r>
      </text>
    </comment>
    <comment ref="I26" authorId="0" shapeId="0" xr:uid="{00000000-0006-0000-0300-0000CB010000}">
      <text>
        <r>
          <rPr>
            <sz val="10"/>
            <color rgb="FF000000"/>
            <rFont val="Arial"/>
            <scheme val="minor"/>
          </rPr>
          <t>Responder updated this value.</t>
        </r>
      </text>
    </comment>
    <comment ref="N26" authorId="0" shapeId="0" xr:uid="{00000000-0006-0000-0300-0000CC010000}">
      <text>
        <r>
          <rPr>
            <sz val="10"/>
            <color rgb="FF000000"/>
            <rFont val="Arial"/>
            <scheme val="minor"/>
          </rPr>
          <t>Responder updated this value.</t>
        </r>
      </text>
    </comment>
    <comment ref="O26" authorId="0" shapeId="0" xr:uid="{00000000-0006-0000-0300-0000CD010000}">
      <text>
        <r>
          <rPr>
            <sz val="10"/>
            <color rgb="FF000000"/>
            <rFont val="Arial"/>
            <scheme val="minor"/>
          </rPr>
          <t>Responder updated this value.</t>
        </r>
      </text>
    </comment>
    <comment ref="P26" authorId="0" shapeId="0" xr:uid="{00000000-0006-0000-0300-0000CE010000}">
      <text>
        <r>
          <rPr>
            <sz val="10"/>
            <color rgb="FF000000"/>
            <rFont val="Arial"/>
            <scheme val="minor"/>
          </rPr>
          <t>Responder updated this value.</t>
        </r>
      </text>
    </comment>
    <comment ref="Q26" authorId="0" shapeId="0" xr:uid="{00000000-0006-0000-0300-0000CF010000}">
      <text>
        <r>
          <rPr>
            <sz val="10"/>
            <color rgb="FF000000"/>
            <rFont val="Arial"/>
            <scheme val="minor"/>
          </rPr>
          <t>Responder updated this value.</t>
        </r>
      </text>
    </comment>
    <comment ref="R26" authorId="0" shapeId="0" xr:uid="{00000000-0006-0000-0300-0000D0010000}">
      <text>
        <r>
          <rPr>
            <sz val="10"/>
            <color rgb="FF000000"/>
            <rFont val="Arial"/>
            <scheme val="minor"/>
          </rPr>
          <t>Responder updated this value.</t>
        </r>
      </text>
    </comment>
    <comment ref="S26" authorId="0" shapeId="0" xr:uid="{00000000-0006-0000-0300-0000D1010000}">
      <text>
        <r>
          <rPr>
            <sz val="10"/>
            <color rgb="FF000000"/>
            <rFont val="Arial"/>
            <scheme val="minor"/>
          </rPr>
          <t>Responder updated this value.</t>
        </r>
      </text>
    </comment>
    <comment ref="T26" authorId="0" shapeId="0" xr:uid="{00000000-0006-0000-0300-0000D2010000}">
      <text>
        <r>
          <rPr>
            <sz val="10"/>
            <color rgb="FF000000"/>
            <rFont val="Arial"/>
            <scheme val="minor"/>
          </rPr>
          <t>Responder updated this value.</t>
        </r>
      </text>
    </comment>
    <comment ref="U26" authorId="0" shapeId="0" xr:uid="{00000000-0006-0000-0300-0000D3010000}">
      <text>
        <r>
          <rPr>
            <sz val="10"/>
            <color rgb="FF000000"/>
            <rFont val="Arial"/>
            <scheme val="minor"/>
          </rPr>
          <t>Responder updated this value.</t>
        </r>
      </text>
    </comment>
    <comment ref="V26" authorId="0" shapeId="0" xr:uid="{00000000-0006-0000-0300-0000D4010000}">
      <text>
        <r>
          <rPr>
            <sz val="10"/>
            <color rgb="FF000000"/>
            <rFont val="Arial"/>
            <scheme val="minor"/>
          </rPr>
          <t>Responder updated this value.</t>
        </r>
      </text>
    </comment>
    <comment ref="W26" authorId="0" shapeId="0" xr:uid="{00000000-0006-0000-0300-0000D5010000}">
      <text>
        <r>
          <rPr>
            <sz val="10"/>
            <color rgb="FF000000"/>
            <rFont val="Arial"/>
            <scheme val="minor"/>
          </rPr>
          <t>Responder updated this value.</t>
        </r>
      </text>
    </comment>
    <comment ref="X26" authorId="0" shapeId="0" xr:uid="{00000000-0006-0000-0300-0000D6010000}">
      <text>
        <r>
          <rPr>
            <sz val="10"/>
            <color rgb="FF000000"/>
            <rFont val="Arial"/>
            <scheme val="minor"/>
          </rPr>
          <t>Responder updated this value.</t>
        </r>
      </text>
    </comment>
    <comment ref="Y26" authorId="0" shapeId="0" xr:uid="{00000000-0006-0000-0300-0000D7010000}">
      <text>
        <r>
          <rPr>
            <sz val="10"/>
            <color rgb="FF000000"/>
            <rFont val="Arial"/>
            <scheme val="minor"/>
          </rPr>
          <t>Responder updated this value.</t>
        </r>
      </text>
    </comment>
    <comment ref="AC26" authorId="0" shapeId="0" xr:uid="{00000000-0006-0000-0300-0000D8010000}">
      <text>
        <r>
          <rPr>
            <sz val="10"/>
            <color rgb="FF000000"/>
            <rFont val="Arial"/>
            <scheme val="minor"/>
          </rPr>
          <t>Responder updated this value.</t>
        </r>
      </text>
    </comment>
    <comment ref="AD26" authorId="0" shapeId="0" xr:uid="{00000000-0006-0000-0300-0000D9010000}">
      <text>
        <r>
          <rPr>
            <sz val="10"/>
            <color rgb="FF000000"/>
            <rFont val="Arial"/>
            <scheme val="minor"/>
          </rPr>
          <t>Responder updated this value.</t>
        </r>
      </text>
    </comment>
    <comment ref="AE26" authorId="0" shapeId="0" xr:uid="{00000000-0006-0000-0300-0000DA010000}">
      <text>
        <r>
          <rPr>
            <sz val="10"/>
            <color rgb="FF000000"/>
            <rFont val="Arial"/>
            <scheme val="minor"/>
          </rPr>
          <t>Responder updated this value.</t>
        </r>
      </text>
    </comment>
    <comment ref="AI26" authorId="0" shapeId="0" xr:uid="{00000000-0006-0000-0300-0000DB010000}">
      <text>
        <r>
          <rPr>
            <sz val="10"/>
            <color rgb="FF000000"/>
            <rFont val="Arial"/>
            <scheme val="minor"/>
          </rPr>
          <t>Responder updated this value.</t>
        </r>
      </text>
    </comment>
    <comment ref="AJ26" authorId="0" shapeId="0" xr:uid="{00000000-0006-0000-0300-0000DC010000}">
      <text>
        <r>
          <rPr>
            <sz val="10"/>
            <color rgb="FF000000"/>
            <rFont val="Arial"/>
            <scheme val="minor"/>
          </rPr>
          <t>Responder updated this value.</t>
        </r>
      </text>
    </comment>
    <comment ref="AK26" authorId="0" shapeId="0" xr:uid="{00000000-0006-0000-0300-0000DD010000}">
      <text>
        <r>
          <rPr>
            <sz val="10"/>
            <color rgb="FF000000"/>
            <rFont val="Arial"/>
            <scheme val="minor"/>
          </rPr>
          <t>Responder updated this value.</t>
        </r>
      </text>
    </comment>
    <comment ref="AL26" authorId="0" shapeId="0" xr:uid="{00000000-0006-0000-0300-0000DE010000}">
      <text>
        <r>
          <rPr>
            <sz val="10"/>
            <color rgb="FF000000"/>
            <rFont val="Arial"/>
            <scheme val="minor"/>
          </rPr>
          <t>Responder updated this value.</t>
        </r>
      </text>
    </comment>
    <comment ref="AM26" authorId="0" shapeId="0" xr:uid="{00000000-0006-0000-0300-0000DF010000}">
      <text>
        <r>
          <rPr>
            <sz val="10"/>
            <color rgb="FF000000"/>
            <rFont val="Arial"/>
            <scheme val="minor"/>
          </rPr>
          <t>Responder updated this value.</t>
        </r>
      </text>
    </comment>
    <comment ref="AN26" authorId="0" shapeId="0" xr:uid="{00000000-0006-0000-0300-0000E0010000}">
      <text>
        <r>
          <rPr>
            <sz val="10"/>
            <color rgb="FF000000"/>
            <rFont val="Arial"/>
            <scheme val="minor"/>
          </rPr>
          <t>Responder updated this value.</t>
        </r>
      </text>
    </comment>
    <comment ref="AO26" authorId="0" shapeId="0" xr:uid="{00000000-0006-0000-0300-0000E1010000}">
      <text>
        <r>
          <rPr>
            <sz val="10"/>
            <color rgb="FF000000"/>
            <rFont val="Arial"/>
            <scheme val="minor"/>
          </rPr>
          <t>Responder updated this value.</t>
        </r>
      </text>
    </comment>
    <comment ref="AP26" authorId="0" shapeId="0" xr:uid="{00000000-0006-0000-0300-0000E2010000}">
      <text>
        <r>
          <rPr>
            <sz val="10"/>
            <color rgb="FF000000"/>
            <rFont val="Arial"/>
            <scheme val="minor"/>
          </rPr>
          <t>Responder updated this value.</t>
        </r>
      </text>
    </comment>
    <comment ref="AQ26" authorId="0" shapeId="0" xr:uid="{00000000-0006-0000-0300-0000E3010000}">
      <text>
        <r>
          <rPr>
            <sz val="10"/>
            <color rgb="FF000000"/>
            <rFont val="Arial"/>
            <scheme val="minor"/>
          </rPr>
          <t>Responder updated this value.</t>
        </r>
      </text>
    </comment>
    <comment ref="AR26" authorId="0" shapeId="0" xr:uid="{00000000-0006-0000-0300-0000E4010000}">
      <text>
        <r>
          <rPr>
            <sz val="10"/>
            <color rgb="FF000000"/>
            <rFont val="Arial"/>
            <scheme val="minor"/>
          </rPr>
          <t>Responder updated this value.</t>
        </r>
      </text>
    </comment>
    <comment ref="AS26" authorId="0" shapeId="0" xr:uid="{00000000-0006-0000-0300-0000E5010000}">
      <text>
        <r>
          <rPr>
            <sz val="10"/>
            <color rgb="FF000000"/>
            <rFont val="Arial"/>
            <scheme val="minor"/>
          </rPr>
          <t>Responder updated this value.</t>
        </r>
      </text>
    </comment>
    <comment ref="AT26" authorId="0" shapeId="0" xr:uid="{00000000-0006-0000-0300-0000E6010000}">
      <text>
        <r>
          <rPr>
            <sz val="10"/>
            <color rgb="FF000000"/>
            <rFont val="Arial"/>
            <scheme val="minor"/>
          </rPr>
          <t>Responder updated this value.</t>
        </r>
      </text>
    </comment>
    <comment ref="AU26" authorId="0" shapeId="0" xr:uid="{00000000-0006-0000-0300-0000E7010000}">
      <text>
        <r>
          <rPr>
            <sz val="10"/>
            <color rgb="FF000000"/>
            <rFont val="Arial"/>
            <scheme val="minor"/>
          </rPr>
          <t>Responder updated this value.</t>
        </r>
      </text>
    </comment>
    <comment ref="D27" authorId="0" shapeId="0" xr:uid="{00000000-0006-0000-0300-0000E8010000}">
      <text>
        <r>
          <rPr>
            <sz val="10"/>
            <color rgb="FF000000"/>
            <rFont val="Arial"/>
            <scheme val="minor"/>
          </rPr>
          <t>Responder updated this value.</t>
        </r>
      </text>
    </comment>
    <comment ref="N27" authorId="0" shapeId="0" xr:uid="{00000000-0006-0000-0300-0000E9010000}">
      <text>
        <r>
          <rPr>
            <sz val="10"/>
            <color rgb="FF000000"/>
            <rFont val="Arial"/>
            <scheme val="minor"/>
          </rPr>
          <t>Responder updated this value.</t>
        </r>
      </text>
    </comment>
    <comment ref="O27" authorId="0" shapeId="0" xr:uid="{00000000-0006-0000-0300-0000EA010000}">
      <text>
        <r>
          <rPr>
            <sz val="10"/>
            <color rgb="FF000000"/>
            <rFont val="Arial"/>
            <scheme val="minor"/>
          </rPr>
          <t>Responder updated this value.</t>
        </r>
      </text>
    </comment>
    <comment ref="P27" authorId="0" shapeId="0" xr:uid="{00000000-0006-0000-0300-0000EB010000}">
      <text>
        <r>
          <rPr>
            <sz val="10"/>
            <color rgb="FF000000"/>
            <rFont val="Arial"/>
            <scheme val="minor"/>
          </rPr>
          <t>Responder updated this value.</t>
        </r>
      </text>
    </comment>
    <comment ref="Q27" authorId="0" shapeId="0" xr:uid="{00000000-0006-0000-0300-0000EC010000}">
      <text>
        <r>
          <rPr>
            <sz val="10"/>
            <color rgb="FF000000"/>
            <rFont val="Arial"/>
            <scheme val="minor"/>
          </rPr>
          <t>Responder updated this value.</t>
        </r>
      </text>
    </comment>
    <comment ref="R27" authorId="0" shapeId="0" xr:uid="{00000000-0006-0000-0300-0000ED010000}">
      <text>
        <r>
          <rPr>
            <sz val="10"/>
            <color rgb="FF000000"/>
            <rFont val="Arial"/>
            <scheme val="minor"/>
          </rPr>
          <t>Responder updated this value.</t>
        </r>
      </text>
    </comment>
    <comment ref="S27" authorId="0" shapeId="0" xr:uid="{00000000-0006-0000-0300-0000EE010000}">
      <text>
        <r>
          <rPr>
            <sz val="10"/>
            <color rgb="FF000000"/>
            <rFont val="Arial"/>
            <scheme val="minor"/>
          </rPr>
          <t>Responder updated this value.</t>
        </r>
      </text>
    </comment>
    <comment ref="U27" authorId="0" shapeId="0" xr:uid="{00000000-0006-0000-0300-0000EF010000}">
      <text>
        <r>
          <rPr>
            <sz val="10"/>
            <color rgb="FF000000"/>
            <rFont val="Arial"/>
            <scheme val="minor"/>
          </rPr>
          <t>Responder updated this value.</t>
        </r>
      </text>
    </comment>
    <comment ref="V27" authorId="0" shapeId="0" xr:uid="{00000000-0006-0000-0300-0000F0010000}">
      <text>
        <r>
          <rPr>
            <sz val="10"/>
            <color rgb="FF000000"/>
            <rFont val="Arial"/>
            <scheme val="minor"/>
          </rPr>
          <t>Responder updated this value.</t>
        </r>
      </text>
    </comment>
    <comment ref="W27" authorId="0" shapeId="0" xr:uid="{00000000-0006-0000-0300-0000F1010000}">
      <text>
        <r>
          <rPr>
            <sz val="10"/>
            <color rgb="FF000000"/>
            <rFont val="Arial"/>
            <scheme val="minor"/>
          </rPr>
          <t>Responder updated this value.</t>
        </r>
      </text>
    </comment>
    <comment ref="X27" authorId="0" shapeId="0" xr:uid="{00000000-0006-0000-0300-0000F2010000}">
      <text>
        <r>
          <rPr>
            <sz val="10"/>
            <color rgb="FF000000"/>
            <rFont val="Arial"/>
            <scheme val="minor"/>
          </rPr>
          <t>Responder updated this value.</t>
        </r>
      </text>
    </comment>
    <comment ref="Y27" authorId="0" shapeId="0" xr:uid="{00000000-0006-0000-0300-0000F3010000}">
      <text>
        <r>
          <rPr>
            <sz val="10"/>
            <color rgb="FF000000"/>
            <rFont val="Arial"/>
            <scheme val="minor"/>
          </rPr>
          <t>Responder updated this value.</t>
        </r>
      </text>
    </comment>
    <comment ref="AC27" authorId="0" shapeId="0" xr:uid="{00000000-0006-0000-0300-0000F4010000}">
      <text>
        <r>
          <rPr>
            <sz val="10"/>
            <color rgb="FF000000"/>
            <rFont val="Arial"/>
            <scheme val="minor"/>
          </rPr>
          <t>Responder updated this value.</t>
        </r>
      </text>
    </comment>
    <comment ref="AD27" authorId="0" shapeId="0" xr:uid="{00000000-0006-0000-0300-0000F5010000}">
      <text>
        <r>
          <rPr>
            <sz val="10"/>
            <color rgb="FF000000"/>
            <rFont val="Arial"/>
            <scheme val="minor"/>
          </rPr>
          <t>Responder updated this value.</t>
        </r>
      </text>
    </comment>
    <comment ref="AE27" authorId="0" shapeId="0" xr:uid="{00000000-0006-0000-0300-0000F6010000}">
      <text>
        <r>
          <rPr>
            <sz val="10"/>
            <color rgb="FF000000"/>
            <rFont val="Arial"/>
            <scheme val="minor"/>
          </rPr>
          <t>Responder updated this value.</t>
        </r>
      </text>
    </comment>
    <comment ref="AI27" authorId="0" shapeId="0" xr:uid="{00000000-0006-0000-0300-0000F7010000}">
      <text>
        <r>
          <rPr>
            <sz val="10"/>
            <color rgb="FF000000"/>
            <rFont val="Arial"/>
            <scheme val="minor"/>
          </rPr>
          <t>Responder updated this value.</t>
        </r>
      </text>
    </comment>
    <comment ref="AJ27" authorId="0" shapeId="0" xr:uid="{00000000-0006-0000-0300-0000F8010000}">
      <text>
        <r>
          <rPr>
            <sz val="10"/>
            <color rgb="FF000000"/>
            <rFont val="Arial"/>
            <scheme val="minor"/>
          </rPr>
          <t>Responder updated this value.</t>
        </r>
      </text>
    </comment>
    <comment ref="AK27" authorId="0" shapeId="0" xr:uid="{00000000-0006-0000-0300-0000F9010000}">
      <text>
        <r>
          <rPr>
            <sz val="10"/>
            <color rgb="FF000000"/>
            <rFont val="Arial"/>
            <scheme val="minor"/>
          </rPr>
          <t>Responder updated this value.</t>
        </r>
      </text>
    </comment>
    <comment ref="AL27" authorId="0" shapeId="0" xr:uid="{00000000-0006-0000-0300-0000FA010000}">
      <text>
        <r>
          <rPr>
            <sz val="10"/>
            <color rgb="FF000000"/>
            <rFont val="Arial"/>
            <scheme val="minor"/>
          </rPr>
          <t>Responder updated this value.</t>
        </r>
      </text>
    </comment>
    <comment ref="AM27" authorId="0" shapeId="0" xr:uid="{00000000-0006-0000-0300-0000FB010000}">
      <text>
        <r>
          <rPr>
            <sz val="10"/>
            <color rgb="FF000000"/>
            <rFont val="Arial"/>
            <scheme val="minor"/>
          </rPr>
          <t>Responder updated this value.</t>
        </r>
      </text>
    </comment>
    <comment ref="AN27" authorId="0" shapeId="0" xr:uid="{00000000-0006-0000-0300-0000FC010000}">
      <text>
        <r>
          <rPr>
            <sz val="10"/>
            <color rgb="FF000000"/>
            <rFont val="Arial"/>
            <scheme val="minor"/>
          </rPr>
          <t>Responder updated this value.</t>
        </r>
      </text>
    </comment>
    <comment ref="AO27" authorId="0" shapeId="0" xr:uid="{00000000-0006-0000-0300-0000FD010000}">
      <text>
        <r>
          <rPr>
            <sz val="10"/>
            <color rgb="FF000000"/>
            <rFont val="Arial"/>
            <scheme val="minor"/>
          </rPr>
          <t>Responder updated this value.</t>
        </r>
      </text>
    </comment>
    <comment ref="AP27" authorId="0" shapeId="0" xr:uid="{00000000-0006-0000-0300-0000FE010000}">
      <text>
        <r>
          <rPr>
            <sz val="10"/>
            <color rgb="FF000000"/>
            <rFont val="Arial"/>
            <scheme val="minor"/>
          </rPr>
          <t>Responder updated this value.</t>
        </r>
      </text>
    </comment>
    <comment ref="AQ27" authorId="0" shapeId="0" xr:uid="{00000000-0006-0000-0300-0000FF010000}">
      <text>
        <r>
          <rPr>
            <sz val="10"/>
            <color rgb="FF000000"/>
            <rFont val="Arial"/>
            <scheme val="minor"/>
          </rPr>
          <t>Responder updated this value.</t>
        </r>
      </text>
    </comment>
    <comment ref="AR27" authorId="0" shapeId="0" xr:uid="{00000000-0006-0000-0300-000000020000}">
      <text>
        <r>
          <rPr>
            <sz val="10"/>
            <color rgb="FF000000"/>
            <rFont val="Arial"/>
            <scheme val="minor"/>
          </rPr>
          <t>Responder updated this value.</t>
        </r>
      </text>
    </comment>
    <comment ref="AS27" authorId="0" shapeId="0" xr:uid="{00000000-0006-0000-0300-000001020000}">
      <text>
        <r>
          <rPr>
            <sz val="10"/>
            <color rgb="FF000000"/>
            <rFont val="Arial"/>
            <scheme val="minor"/>
          </rPr>
          <t>Responder updated this value.</t>
        </r>
      </text>
    </comment>
    <comment ref="AT27" authorId="0" shapeId="0" xr:uid="{00000000-0006-0000-0300-000002020000}">
      <text>
        <r>
          <rPr>
            <sz val="10"/>
            <color rgb="FF000000"/>
            <rFont val="Arial"/>
            <scheme val="minor"/>
          </rPr>
          <t>Responder updated this value.</t>
        </r>
      </text>
    </comment>
    <comment ref="AU27" authorId="0" shapeId="0" xr:uid="{00000000-0006-0000-0300-000003020000}">
      <text>
        <r>
          <rPr>
            <sz val="10"/>
            <color rgb="FF000000"/>
            <rFont val="Arial"/>
            <scheme val="minor"/>
          </rPr>
          <t>Responder updated this value.</t>
        </r>
      </text>
    </comment>
    <comment ref="D28" authorId="0" shapeId="0" xr:uid="{00000000-0006-0000-0300-000004020000}">
      <text>
        <r>
          <rPr>
            <sz val="10"/>
            <color rgb="FF000000"/>
            <rFont val="Arial"/>
            <scheme val="minor"/>
          </rPr>
          <t>Responder updated this value.</t>
        </r>
      </text>
    </comment>
    <comment ref="K28" authorId="0" shapeId="0" xr:uid="{00000000-0006-0000-0300-000005020000}">
      <text>
        <r>
          <rPr>
            <sz val="10"/>
            <color rgb="FF000000"/>
            <rFont val="Arial"/>
            <scheme val="minor"/>
          </rPr>
          <t>Responder updated this value.</t>
        </r>
      </text>
    </comment>
    <comment ref="N28" authorId="0" shapeId="0" xr:uid="{00000000-0006-0000-0300-000006020000}">
      <text>
        <r>
          <rPr>
            <sz val="10"/>
            <color rgb="FF000000"/>
            <rFont val="Arial"/>
            <scheme val="minor"/>
          </rPr>
          <t>Responder updated this value.</t>
        </r>
      </text>
    </comment>
    <comment ref="O28" authorId="0" shapeId="0" xr:uid="{00000000-0006-0000-0300-000007020000}">
      <text>
        <r>
          <rPr>
            <sz val="10"/>
            <color rgb="FF000000"/>
            <rFont val="Arial"/>
            <scheme val="minor"/>
          </rPr>
          <t>Responder updated this value.</t>
        </r>
      </text>
    </comment>
    <comment ref="P28" authorId="0" shapeId="0" xr:uid="{00000000-0006-0000-0300-000008020000}">
      <text>
        <r>
          <rPr>
            <sz val="10"/>
            <color rgb="FF000000"/>
            <rFont val="Arial"/>
            <scheme val="minor"/>
          </rPr>
          <t>Responder updated this value.</t>
        </r>
      </text>
    </comment>
    <comment ref="Q28" authorId="0" shapeId="0" xr:uid="{00000000-0006-0000-0300-000009020000}">
      <text>
        <r>
          <rPr>
            <sz val="10"/>
            <color rgb="FF000000"/>
            <rFont val="Arial"/>
            <scheme val="minor"/>
          </rPr>
          <t>Responder updated this value.</t>
        </r>
      </text>
    </comment>
    <comment ref="R28" authorId="0" shapeId="0" xr:uid="{00000000-0006-0000-0300-00000A020000}">
      <text>
        <r>
          <rPr>
            <sz val="10"/>
            <color rgb="FF000000"/>
            <rFont val="Arial"/>
            <scheme val="minor"/>
          </rPr>
          <t>Responder updated this value.</t>
        </r>
      </text>
    </comment>
    <comment ref="S28" authorId="0" shapeId="0" xr:uid="{00000000-0006-0000-0300-00000B020000}">
      <text>
        <r>
          <rPr>
            <sz val="10"/>
            <color rgb="FF000000"/>
            <rFont val="Arial"/>
            <scheme val="minor"/>
          </rPr>
          <t>Responder updated this value.</t>
        </r>
      </text>
    </comment>
    <comment ref="U28" authorId="0" shapeId="0" xr:uid="{00000000-0006-0000-0300-00000C020000}">
      <text>
        <r>
          <rPr>
            <sz val="10"/>
            <color rgb="FF000000"/>
            <rFont val="Arial"/>
            <scheme val="minor"/>
          </rPr>
          <t>Responder updated this value.</t>
        </r>
      </text>
    </comment>
    <comment ref="V28" authorId="0" shapeId="0" xr:uid="{00000000-0006-0000-0300-00000D020000}">
      <text>
        <r>
          <rPr>
            <sz val="10"/>
            <color rgb="FF000000"/>
            <rFont val="Arial"/>
            <scheme val="minor"/>
          </rPr>
          <t>Responder updated this value.</t>
        </r>
      </text>
    </comment>
    <comment ref="W28" authorId="0" shapeId="0" xr:uid="{00000000-0006-0000-0300-00000E020000}">
      <text>
        <r>
          <rPr>
            <sz val="10"/>
            <color rgb="FF000000"/>
            <rFont val="Arial"/>
            <scheme val="minor"/>
          </rPr>
          <t>Responder updated this value.</t>
        </r>
      </text>
    </comment>
    <comment ref="X28" authorId="0" shapeId="0" xr:uid="{00000000-0006-0000-0300-00000F020000}">
      <text>
        <r>
          <rPr>
            <sz val="10"/>
            <color rgb="FF000000"/>
            <rFont val="Arial"/>
            <scheme val="minor"/>
          </rPr>
          <t>Responder updated this value.</t>
        </r>
      </text>
    </comment>
    <comment ref="Y28" authorId="0" shapeId="0" xr:uid="{00000000-0006-0000-0300-000010020000}">
      <text>
        <r>
          <rPr>
            <sz val="10"/>
            <color rgb="FF000000"/>
            <rFont val="Arial"/>
            <scheme val="minor"/>
          </rPr>
          <t>Responder updated this value.</t>
        </r>
      </text>
    </comment>
    <comment ref="AC28" authorId="0" shapeId="0" xr:uid="{00000000-0006-0000-0300-000011020000}">
      <text>
        <r>
          <rPr>
            <sz val="10"/>
            <color rgb="FF000000"/>
            <rFont val="Arial"/>
            <scheme val="minor"/>
          </rPr>
          <t>Responder updated this value.</t>
        </r>
      </text>
    </comment>
    <comment ref="AD28" authorId="0" shapeId="0" xr:uid="{00000000-0006-0000-0300-000012020000}">
      <text>
        <r>
          <rPr>
            <sz val="10"/>
            <color rgb="FF000000"/>
            <rFont val="Arial"/>
            <scheme val="minor"/>
          </rPr>
          <t>Responder updated this value.</t>
        </r>
      </text>
    </comment>
    <comment ref="AE28" authorId="0" shapeId="0" xr:uid="{00000000-0006-0000-0300-000013020000}">
      <text>
        <r>
          <rPr>
            <sz val="10"/>
            <color rgb="FF000000"/>
            <rFont val="Arial"/>
            <scheme val="minor"/>
          </rPr>
          <t>Responder updated this value.</t>
        </r>
      </text>
    </comment>
    <comment ref="AS28" authorId="0" shapeId="0" xr:uid="{00000000-0006-0000-0300-000014020000}">
      <text>
        <r>
          <rPr>
            <sz val="10"/>
            <color rgb="FF000000"/>
            <rFont val="Arial"/>
            <scheme val="minor"/>
          </rPr>
          <t>Responder updated this value.</t>
        </r>
      </text>
    </comment>
    <comment ref="AT28" authorId="0" shapeId="0" xr:uid="{00000000-0006-0000-0300-000015020000}">
      <text>
        <r>
          <rPr>
            <sz val="10"/>
            <color rgb="FF000000"/>
            <rFont val="Arial"/>
            <scheme val="minor"/>
          </rPr>
          <t>Responder updated this value.</t>
        </r>
      </text>
    </comment>
    <comment ref="D29" authorId="0" shapeId="0" xr:uid="{00000000-0006-0000-0300-000016020000}">
      <text>
        <r>
          <rPr>
            <sz val="10"/>
            <color rgb="FF000000"/>
            <rFont val="Arial"/>
            <scheme val="minor"/>
          </rPr>
          <t>Responder updated this value.</t>
        </r>
      </text>
    </comment>
    <comment ref="N29" authorId="0" shapeId="0" xr:uid="{00000000-0006-0000-0300-000017020000}">
      <text>
        <r>
          <rPr>
            <sz val="10"/>
            <color rgb="FF000000"/>
            <rFont val="Arial"/>
            <scheme val="minor"/>
          </rPr>
          <t>Responder updated this value.</t>
        </r>
      </text>
    </comment>
    <comment ref="O29" authorId="0" shapeId="0" xr:uid="{00000000-0006-0000-0300-000018020000}">
      <text>
        <r>
          <rPr>
            <sz val="10"/>
            <color rgb="FF000000"/>
            <rFont val="Arial"/>
            <scheme val="minor"/>
          </rPr>
          <t>Responder updated this value.</t>
        </r>
      </text>
    </comment>
    <comment ref="Q29" authorId="0" shapeId="0" xr:uid="{00000000-0006-0000-0300-000019020000}">
      <text>
        <r>
          <rPr>
            <sz val="10"/>
            <color rgb="FF000000"/>
            <rFont val="Arial"/>
            <scheme val="minor"/>
          </rPr>
          <t>Responder updated this value.</t>
        </r>
      </text>
    </comment>
    <comment ref="R29" authorId="0" shapeId="0" xr:uid="{00000000-0006-0000-0300-00001A020000}">
      <text>
        <r>
          <rPr>
            <sz val="10"/>
            <color rgb="FF000000"/>
            <rFont val="Arial"/>
            <scheme val="minor"/>
          </rPr>
          <t>Responder updated this value.</t>
        </r>
      </text>
    </comment>
    <comment ref="S29" authorId="0" shapeId="0" xr:uid="{00000000-0006-0000-0300-00001B020000}">
      <text>
        <r>
          <rPr>
            <sz val="10"/>
            <color rgb="FF000000"/>
            <rFont val="Arial"/>
            <scheme val="minor"/>
          </rPr>
          <t>Responder updated this value.</t>
        </r>
      </text>
    </comment>
    <comment ref="U29" authorId="0" shapeId="0" xr:uid="{00000000-0006-0000-0300-00001C020000}">
      <text>
        <r>
          <rPr>
            <sz val="10"/>
            <color rgb="FF000000"/>
            <rFont val="Arial"/>
            <scheme val="minor"/>
          </rPr>
          <t>Responder updated this value.</t>
        </r>
      </text>
    </comment>
    <comment ref="V29" authorId="0" shapeId="0" xr:uid="{00000000-0006-0000-0300-00001D020000}">
      <text>
        <r>
          <rPr>
            <sz val="10"/>
            <color rgb="FF000000"/>
            <rFont val="Arial"/>
            <scheme val="minor"/>
          </rPr>
          <t>Responder updated this value.</t>
        </r>
      </text>
    </comment>
    <comment ref="W29" authorId="0" shapeId="0" xr:uid="{00000000-0006-0000-0300-00001E020000}">
      <text>
        <r>
          <rPr>
            <sz val="10"/>
            <color rgb="FF000000"/>
            <rFont val="Arial"/>
            <scheme val="minor"/>
          </rPr>
          <t>Responder updated this value.</t>
        </r>
      </text>
    </comment>
    <comment ref="X29" authorId="0" shapeId="0" xr:uid="{00000000-0006-0000-0300-00001F020000}">
      <text>
        <r>
          <rPr>
            <sz val="10"/>
            <color rgb="FF000000"/>
            <rFont val="Arial"/>
            <scheme val="minor"/>
          </rPr>
          <t>Responder updated this value.</t>
        </r>
      </text>
    </comment>
    <comment ref="AC29" authorId="0" shapeId="0" xr:uid="{00000000-0006-0000-0300-000020020000}">
      <text>
        <r>
          <rPr>
            <sz val="10"/>
            <color rgb="FF000000"/>
            <rFont val="Arial"/>
            <scheme val="minor"/>
          </rPr>
          <t>Responder updated this value.</t>
        </r>
      </text>
    </comment>
    <comment ref="AD29" authorId="0" shapeId="0" xr:uid="{00000000-0006-0000-0300-000021020000}">
      <text>
        <r>
          <rPr>
            <sz val="10"/>
            <color rgb="FF000000"/>
            <rFont val="Arial"/>
            <scheme val="minor"/>
          </rPr>
          <t>Responder updated this value.</t>
        </r>
      </text>
    </comment>
    <comment ref="AE29" authorId="0" shapeId="0" xr:uid="{00000000-0006-0000-0300-000022020000}">
      <text>
        <r>
          <rPr>
            <sz val="10"/>
            <color rgb="FF000000"/>
            <rFont val="Arial"/>
            <scheme val="minor"/>
          </rPr>
          <t>Responder updated this value.</t>
        </r>
      </text>
    </comment>
    <comment ref="AI29" authorId="0" shapeId="0" xr:uid="{00000000-0006-0000-0300-000023020000}">
      <text>
        <r>
          <rPr>
            <sz val="10"/>
            <color rgb="FF000000"/>
            <rFont val="Arial"/>
            <scheme val="minor"/>
          </rPr>
          <t>Responder updated this value.</t>
        </r>
      </text>
    </comment>
    <comment ref="AJ29" authorId="0" shapeId="0" xr:uid="{00000000-0006-0000-0300-000024020000}">
      <text>
        <r>
          <rPr>
            <sz val="10"/>
            <color rgb="FF000000"/>
            <rFont val="Arial"/>
            <scheme val="minor"/>
          </rPr>
          <t>Responder updated this value.</t>
        </r>
      </text>
    </comment>
    <comment ref="AK29" authorId="0" shapeId="0" xr:uid="{00000000-0006-0000-0300-000025020000}">
      <text>
        <r>
          <rPr>
            <sz val="10"/>
            <color rgb="FF000000"/>
            <rFont val="Arial"/>
            <scheme val="minor"/>
          </rPr>
          <t>Responder updated this value.</t>
        </r>
      </text>
    </comment>
    <comment ref="AL29" authorId="0" shapeId="0" xr:uid="{00000000-0006-0000-0300-000026020000}">
      <text>
        <r>
          <rPr>
            <sz val="10"/>
            <color rgb="FF000000"/>
            <rFont val="Arial"/>
            <scheme val="minor"/>
          </rPr>
          <t>Responder updated this value.</t>
        </r>
      </text>
    </comment>
    <comment ref="AM29" authorId="0" shapeId="0" xr:uid="{00000000-0006-0000-0300-000027020000}">
      <text>
        <r>
          <rPr>
            <sz val="10"/>
            <color rgb="FF000000"/>
            <rFont val="Arial"/>
            <scheme val="minor"/>
          </rPr>
          <t>Responder updated this value.</t>
        </r>
      </text>
    </comment>
    <comment ref="AP29" authorId="0" shapeId="0" xr:uid="{00000000-0006-0000-0300-000028020000}">
      <text>
        <r>
          <rPr>
            <sz val="10"/>
            <color rgb="FF000000"/>
            <rFont val="Arial"/>
            <scheme val="minor"/>
          </rPr>
          <t>Responder updated this value.</t>
        </r>
      </text>
    </comment>
    <comment ref="AQ29" authorId="0" shapeId="0" xr:uid="{00000000-0006-0000-0300-000029020000}">
      <text>
        <r>
          <rPr>
            <sz val="10"/>
            <color rgb="FF000000"/>
            <rFont val="Arial"/>
            <scheme val="minor"/>
          </rPr>
          <t>Responder updated this value.</t>
        </r>
      </text>
    </comment>
    <comment ref="AR29" authorId="0" shapeId="0" xr:uid="{00000000-0006-0000-0300-00002A020000}">
      <text>
        <r>
          <rPr>
            <sz val="10"/>
            <color rgb="FF000000"/>
            <rFont val="Arial"/>
            <scheme val="minor"/>
          </rPr>
          <t>Responder updated this value.</t>
        </r>
      </text>
    </comment>
    <comment ref="AS29" authorId="0" shapeId="0" xr:uid="{00000000-0006-0000-0300-00002B020000}">
      <text>
        <r>
          <rPr>
            <sz val="10"/>
            <color rgb="FF000000"/>
            <rFont val="Arial"/>
            <scheme val="minor"/>
          </rPr>
          <t>Responder updated this value.</t>
        </r>
      </text>
    </comment>
    <comment ref="AT29" authorId="0" shapeId="0" xr:uid="{00000000-0006-0000-0300-00002C020000}">
      <text>
        <r>
          <rPr>
            <sz val="10"/>
            <color rgb="FF000000"/>
            <rFont val="Arial"/>
            <scheme val="minor"/>
          </rPr>
          <t>Responder updated this value.</t>
        </r>
      </text>
    </comment>
    <comment ref="AU29" authorId="0" shapeId="0" xr:uid="{00000000-0006-0000-0300-00002D020000}">
      <text>
        <r>
          <rPr>
            <sz val="10"/>
            <color rgb="FF000000"/>
            <rFont val="Arial"/>
            <scheme val="minor"/>
          </rPr>
          <t>Responder updated this value.</t>
        </r>
      </text>
    </comment>
    <comment ref="D30" authorId="0" shapeId="0" xr:uid="{00000000-0006-0000-0300-00002E020000}">
      <text>
        <r>
          <rPr>
            <sz val="10"/>
            <color rgb="FF000000"/>
            <rFont val="Arial"/>
            <scheme val="minor"/>
          </rPr>
          <t>Responder updated this value.</t>
        </r>
      </text>
    </comment>
    <comment ref="N30" authorId="0" shapeId="0" xr:uid="{00000000-0006-0000-0300-00002F020000}">
      <text>
        <r>
          <rPr>
            <sz val="10"/>
            <color rgb="FF000000"/>
            <rFont val="Arial"/>
            <scheme val="minor"/>
          </rPr>
          <t>Responder updated this value.</t>
        </r>
      </text>
    </comment>
    <comment ref="O30" authorId="0" shapeId="0" xr:uid="{00000000-0006-0000-0300-000030020000}">
      <text>
        <r>
          <rPr>
            <sz val="10"/>
            <color rgb="FF000000"/>
            <rFont val="Arial"/>
            <scheme val="minor"/>
          </rPr>
          <t>Responder updated this value.</t>
        </r>
      </text>
    </comment>
    <comment ref="P30" authorId="0" shapeId="0" xr:uid="{00000000-0006-0000-0300-000031020000}">
      <text>
        <r>
          <rPr>
            <sz val="10"/>
            <color rgb="FF000000"/>
            <rFont val="Arial"/>
            <scheme val="minor"/>
          </rPr>
          <t>Responder updated this value.</t>
        </r>
      </text>
    </comment>
    <comment ref="Q30" authorId="0" shapeId="0" xr:uid="{00000000-0006-0000-0300-000032020000}">
      <text>
        <r>
          <rPr>
            <sz val="10"/>
            <color rgb="FF000000"/>
            <rFont val="Arial"/>
            <scheme val="minor"/>
          </rPr>
          <t>Responder updated this value.</t>
        </r>
      </text>
    </comment>
    <comment ref="R30" authorId="0" shapeId="0" xr:uid="{00000000-0006-0000-0300-000033020000}">
      <text>
        <r>
          <rPr>
            <sz val="10"/>
            <color rgb="FF000000"/>
            <rFont val="Arial"/>
            <scheme val="minor"/>
          </rPr>
          <t>Responder updated this value.</t>
        </r>
      </text>
    </comment>
    <comment ref="S30" authorId="0" shapeId="0" xr:uid="{00000000-0006-0000-0300-000034020000}">
      <text>
        <r>
          <rPr>
            <sz val="10"/>
            <color rgb="FF000000"/>
            <rFont val="Arial"/>
            <scheme val="minor"/>
          </rPr>
          <t>Responder updated this value.</t>
        </r>
      </text>
    </comment>
    <comment ref="T30" authorId="0" shapeId="0" xr:uid="{00000000-0006-0000-0300-000035020000}">
      <text>
        <r>
          <rPr>
            <sz val="10"/>
            <color rgb="FF000000"/>
            <rFont val="Arial"/>
            <scheme val="minor"/>
          </rPr>
          <t>Responder updated this value.</t>
        </r>
      </text>
    </comment>
    <comment ref="V30" authorId="0" shapeId="0" xr:uid="{00000000-0006-0000-0300-000036020000}">
      <text>
        <r>
          <rPr>
            <sz val="10"/>
            <color rgb="FF000000"/>
            <rFont val="Arial"/>
            <scheme val="minor"/>
          </rPr>
          <t>Responder updated this value.</t>
        </r>
      </text>
    </comment>
    <comment ref="W30" authorId="0" shapeId="0" xr:uid="{00000000-0006-0000-0300-000037020000}">
      <text>
        <r>
          <rPr>
            <sz val="10"/>
            <color rgb="FF000000"/>
            <rFont val="Arial"/>
            <scheme val="minor"/>
          </rPr>
          <t>Responder updated this value.</t>
        </r>
      </text>
    </comment>
    <comment ref="X30" authorId="0" shapeId="0" xr:uid="{00000000-0006-0000-0300-000038020000}">
      <text>
        <r>
          <rPr>
            <sz val="10"/>
            <color rgb="FF000000"/>
            <rFont val="Arial"/>
            <scheme val="minor"/>
          </rPr>
          <t>Responder updated this value.</t>
        </r>
      </text>
    </comment>
    <comment ref="Y30" authorId="0" shapeId="0" xr:uid="{00000000-0006-0000-0300-000039020000}">
      <text>
        <r>
          <rPr>
            <sz val="10"/>
            <color rgb="FF000000"/>
            <rFont val="Arial"/>
            <scheme val="minor"/>
          </rPr>
          <t>Responder updated this value.</t>
        </r>
      </text>
    </comment>
    <comment ref="AC30" authorId="0" shapeId="0" xr:uid="{00000000-0006-0000-0300-00003A020000}">
      <text>
        <r>
          <rPr>
            <sz val="10"/>
            <color rgb="FF000000"/>
            <rFont val="Arial"/>
            <scheme val="minor"/>
          </rPr>
          <t>Responder updated this value.</t>
        </r>
      </text>
    </comment>
    <comment ref="AD30" authorId="0" shapeId="0" xr:uid="{00000000-0006-0000-0300-00003B020000}">
      <text>
        <r>
          <rPr>
            <sz val="10"/>
            <color rgb="FF000000"/>
            <rFont val="Arial"/>
            <scheme val="minor"/>
          </rPr>
          <t>Responder updated this value.</t>
        </r>
      </text>
    </comment>
    <comment ref="AE30" authorId="0" shapeId="0" xr:uid="{00000000-0006-0000-0300-00003C020000}">
      <text>
        <r>
          <rPr>
            <sz val="10"/>
            <color rgb="FF000000"/>
            <rFont val="Arial"/>
            <scheme val="minor"/>
          </rPr>
          <t>Responder updated this value.</t>
        </r>
      </text>
    </comment>
    <comment ref="AK30" authorId="0" shapeId="0" xr:uid="{00000000-0006-0000-0300-00003D020000}">
      <text>
        <r>
          <rPr>
            <sz val="10"/>
            <color rgb="FF000000"/>
            <rFont val="Arial"/>
            <scheme val="minor"/>
          </rPr>
          <t>Responder updated this value.</t>
        </r>
      </text>
    </comment>
    <comment ref="AL30" authorId="0" shapeId="0" xr:uid="{00000000-0006-0000-0300-00003E020000}">
      <text>
        <r>
          <rPr>
            <sz val="10"/>
            <color rgb="FF000000"/>
            <rFont val="Arial"/>
            <scheme val="minor"/>
          </rPr>
          <t>Responder updated this value.</t>
        </r>
      </text>
    </comment>
    <comment ref="AM30" authorId="0" shapeId="0" xr:uid="{00000000-0006-0000-0300-00003F020000}">
      <text>
        <r>
          <rPr>
            <sz val="10"/>
            <color rgb="FF000000"/>
            <rFont val="Arial"/>
            <scheme val="minor"/>
          </rPr>
          <t>Responder updated this value.</t>
        </r>
      </text>
    </comment>
    <comment ref="AN30" authorId="0" shapeId="0" xr:uid="{00000000-0006-0000-0300-000040020000}">
      <text>
        <r>
          <rPr>
            <sz val="10"/>
            <color rgb="FF000000"/>
            <rFont val="Arial"/>
            <scheme val="minor"/>
          </rPr>
          <t>Responder updated this value.</t>
        </r>
      </text>
    </comment>
    <comment ref="AP30" authorId="0" shapeId="0" xr:uid="{00000000-0006-0000-0300-000041020000}">
      <text>
        <r>
          <rPr>
            <sz val="10"/>
            <color rgb="FF000000"/>
            <rFont val="Arial"/>
            <scheme val="minor"/>
          </rPr>
          <t>Responder updated this value.</t>
        </r>
      </text>
    </comment>
    <comment ref="AQ30" authorId="0" shapeId="0" xr:uid="{00000000-0006-0000-0300-000042020000}">
      <text>
        <r>
          <rPr>
            <sz val="10"/>
            <color rgb="FF000000"/>
            <rFont val="Arial"/>
            <scheme val="minor"/>
          </rPr>
          <t>Responder updated this value.</t>
        </r>
      </text>
    </comment>
    <comment ref="AR30" authorId="0" shapeId="0" xr:uid="{00000000-0006-0000-0300-000043020000}">
      <text>
        <r>
          <rPr>
            <sz val="10"/>
            <color rgb="FF000000"/>
            <rFont val="Arial"/>
            <scheme val="minor"/>
          </rPr>
          <t>Responder updated this value.</t>
        </r>
      </text>
    </comment>
    <comment ref="AS30" authorId="0" shapeId="0" xr:uid="{00000000-0006-0000-0300-000044020000}">
      <text>
        <r>
          <rPr>
            <sz val="10"/>
            <color rgb="FF000000"/>
            <rFont val="Arial"/>
            <scheme val="minor"/>
          </rPr>
          <t>Responder updated this value.</t>
        </r>
      </text>
    </comment>
    <comment ref="AT30" authorId="0" shapeId="0" xr:uid="{00000000-0006-0000-0300-000045020000}">
      <text>
        <r>
          <rPr>
            <sz val="10"/>
            <color rgb="FF000000"/>
            <rFont val="Arial"/>
            <scheme val="minor"/>
          </rPr>
          <t>Responder updated this value.</t>
        </r>
      </text>
    </comment>
    <comment ref="AU30" authorId="0" shapeId="0" xr:uid="{00000000-0006-0000-0300-000046020000}">
      <text>
        <r>
          <rPr>
            <sz val="10"/>
            <color rgb="FF000000"/>
            <rFont val="Arial"/>
            <scheme val="minor"/>
          </rPr>
          <t>Responder updated this value.</t>
        </r>
      </text>
    </comment>
    <comment ref="D31" authorId="0" shapeId="0" xr:uid="{00000000-0006-0000-0300-000047020000}">
      <text>
        <r>
          <rPr>
            <sz val="10"/>
            <color rgb="FF000000"/>
            <rFont val="Arial"/>
            <scheme val="minor"/>
          </rPr>
          <t>Responder updated this value.</t>
        </r>
      </text>
    </comment>
    <comment ref="E31" authorId="0" shapeId="0" xr:uid="{00000000-0006-0000-0300-000048020000}">
      <text>
        <r>
          <rPr>
            <sz val="10"/>
            <color rgb="FF000000"/>
            <rFont val="Arial"/>
            <scheme val="minor"/>
          </rPr>
          <t>Responder updated this value.</t>
        </r>
      </text>
    </comment>
    <comment ref="N31" authorId="0" shapeId="0" xr:uid="{00000000-0006-0000-0300-000049020000}">
      <text>
        <r>
          <rPr>
            <sz val="10"/>
            <color rgb="FF000000"/>
            <rFont val="Arial"/>
            <scheme val="minor"/>
          </rPr>
          <t>Responder updated this value.</t>
        </r>
      </text>
    </comment>
    <comment ref="O31" authorId="0" shapeId="0" xr:uid="{00000000-0006-0000-0300-00004A020000}">
      <text>
        <r>
          <rPr>
            <sz val="10"/>
            <color rgb="FF000000"/>
            <rFont val="Arial"/>
            <scheme val="minor"/>
          </rPr>
          <t>Responder updated this value.</t>
        </r>
      </text>
    </comment>
    <comment ref="P31" authorId="0" shapeId="0" xr:uid="{00000000-0006-0000-0300-00004B020000}">
      <text>
        <r>
          <rPr>
            <sz val="10"/>
            <color rgb="FF000000"/>
            <rFont val="Arial"/>
            <scheme val="minor"/>
          </rPr>
          <t>Responder updated this value.</t>
        </r>
      </text>
    </comment>
    <comment ref="Q31" authorId="0" shapeId="0" xr:uid="{00000000-0006-0000-0300-00004C020000}">
      <text>
        <r>
          <rPr>
            <sz val="10"/>
            <color rgb="FF000000"/>
            <rFont val="Arial"/>
            <scheme val="minor"/>
          </rPr>
          <t>Responder updated this value.</t>
        </r>
      </text>
    </comment>
    <comment ref="R31" authorId="0" shapeId="0" xr:uid="{00000000-0006-0000-0300-00004D020000}">
      <text>
        <r>
          <rPr>
            <sz val="10"/>
            <color rgb="FF000000"/>
            <rFont val="Arial"/>
            <scheme val="minor"/>
          </rPr>
          <t>Responder updated this value.</t>
        </r>
      </text>
    </comment>
    <comment ref="S31" authorId="0" shapeId="0" xr:uid="{00000000-0006-0000-0300-00004E020000}">
      <text>
        <r>
          <rPr>
            <sz val="10"/>
            <color rgb="FF000000"/>
            <rFont val="Arial"/>
            <scheme val="minor"/>
          </rPr>
          <t>Responder updated this value.</t>
        </r>
      </text>
    </comment>
    <comment ref="T31" authorId="0" shapeId="0" xr:uid="{00000000-0006-0000-0300-00004F020000}">
      <text>
        <r>
          <rPr>
            <sz val="10"/>
            <color rgb="FF000000"/>
            <rFont val="Arial"/>
            <scheme val="minor"/>
          </rPr>
          <t>Responder updated this value.</t>
        </r>
      </text>
    </comment>
    <comment ref="U31" authorId="0" shapeId="0" xr:uid="{00000000-0006-0000-0300-000050020000}">
      <text>
        <r>
          <rPr>
            <sz val="10"/>
            <color rgb="FF000000"/>
            <rFont val="Arial"/>
            <scheme val="minor"/>
          </rPr>
          <t>Responder updated this value.</t>
        </r>
      </text>
    </comment>
    <comment ref="V31" authorId="0" shapeId="0" xr:uid="{00000000-0006-0000-0300-000051020000}">
      <text>
        <r>
          <rPr>
            <sz val="10"/>
            <color rgb="FF000000"/>
            <rFont val="Arial"/>
            <scheme val="minor"/>
          </rPr>
          <t>Responder updated this value.</t>
        </r>
      </text>
    </comment>
    <comment ref="W31" authorId="0" shapeId="0" xr:uid="{00000000-0006-0000-0300-000052020000}">
      <text>
        <r>
          <rPr>
            <sz val="10"/>
            <color rgb="FF000000"/>
            <rFont val="Arial"/>
            <scheme val="minor"/>
          </rPr>
          <t>Responder updated this value.</t>
        </r>
      </text>
    </comment>
    <comment ref="X31" authorId="0" shapeId="0" xr:uid="{00000000-0006-0000-0300-000053020000}">
      <text>
        <r>
          <rPr>
            <sz val="10"/>
            <color rgb="FF000000"/>
            <rFont val="Arial"/>
            <scheme val="minor"/>
          </rPr>
          <t>Responder updated this value.</t>
        </r>
      </text>
    </comment>
    <comment ref="AC31" authorId="0" shapeId="0" xr:uid="{00000000-0006-0000-0300-000054020000}">
      <text>
        <r>
          <rPr>
            <sz val="10"/>
            <color rgb="FF000000"/>
            <rFont val="Arial"/>
            <scheme val="minor"/>
          </rPr>
          <t>Responder updated this value.</t>
        </r>
      </text>
    </comment>
    <comment ref="AD31" authorId="0" shapeId="0" xr:uid="{00000000-0006-0000-0300-000055020000}">
      <text>
        <r>
          <rPr>
            <sz val="10"/>
            <color rgb="FF000000"/>
            <rFont val="Arial"/>
            <scheme val="minor"/>
          </rPr>
          <t>Responder updated this value.</t>
        </r>
      </text>
    </comment>
    <comment ref="AE31" authorId="0" shapeId="0" xr:uid="{00000000-0006-0000-0300-000056020000}">
      <text>
        <r>
          <rPr>
            <sz val="10"/>
            <color rgb="FF000000"/>
            <rFont val="Arial"/>
            <scheme val="minor"/>
          </rPr>
          <t>Responder updated this value.</t>
        </r>
      </text>
    </comment>
    <comment ref="AF31" authorId="0" shapeId="0" xr:uid="{00000000-0006-0000-0300-000057020000}">
      <text>
        <r>
          <rPr>
            <sz val="10"/>
            <color rgb="FF000000"/>
            <rFont val="Arial"/>
            <scheme val="minor"/>
          </rPr>
          <t>Responder updated this value.</t>
        </r>
      </text>
    </comment>
    <comment ref="AG31" authorId="0" shapeId="0" xr:uid="{00000000-0006-0000-0300-000058020000}">
      <text>
        <r>
          <rPr>
            <sz val="10"/>
            <color rgb="FF000000"/>
            <rFont val="Arial"/>
            <scheme val="minor"/>
          </rPr>
          <t>Responder updated this value.</t>
        </r>
      </text>
    </comment>
    <comment ref="AH31" authorId="0" shapeId="0" xr:uid="{00000000-0006-0000-0300-000059020000}">
      <text>
        <r>
          <rPr>
            <sz val="10"/>
            <color rgb="FF000000"/>
            <rFont val="Arial"/>
            <scheme val="minor"/>
          </rPr>
          <t>Responder updated this value.</t>
        </r>
      </text>
    </comment>
    <comment ref="AI31" authorId="0" shapeId="0" xr:uid="{00000000-0006-0000-0300-00005A020000}">
      <text>
        <r>
          <rPr>
            <sz val="10"/>
            <color rgb="FF000000"/>
            <rFont val="Arial"/>
            <scheme val="minor"/>
          </rPr>
          <t>Responder updated this value.</t>
        </r>
      </text>
    </comment>
    <comment ref="AJ31" authorId="0" shapeId="0" xr:uid="{00000000-0006-0000-0300-00005B020000}">
      <text>
        <r>
          <rPr>
            <sz val="10"/>
            <color rgb="FF000000"/>
            <rFont val="Arial"/>
            <scheme val="minor"/>
          </rPr>
          <t>Responder updated this value.</t>
        </r>
      </text>
    </comment>
    <comment ref="AK31" authorId="0" shapeId="0" xr:uid="{00000000-0006-0000-0300-00005C020000}">
      <text>
        <r>
          <rPr>
            <sz val="10"/>
            <color rgb="FF000000"/>
            <rFont val="Arial"/>
            <scheme val="minor"/>
          </rPr>
          <t>Responder updated this value.</t>
        </r>
      </text>
    </comment>
    <comment ref="AL31" authorId="0" shapeId="0" xr:uid="{00000000-0006-0000-0300-00005D020000}">
      <text>
        <r>
          <rPr>
            <sz val="10"/>
            <color rgb="FF000000"/>
            <rFont val="Arial"/>
            <scheme val="minor"/>
          </rPr>
          <t>Responder updated this value.</t>
        </r>
      </text>
    </comment>
    <comment ref="AM31" authorId="0" shapeId="0" xr:uid="{00000000-0006-0000-0300-00005E020000}">
      <text>
        <r>
          <rPr>
            <sz val="10"/>
            <color rgb="FF000000"/>
            <rFont val="Arial"/>
            <scheme val="minor"/>
          </rPr>
          <t>Responder updated this value.</t>
        </r>
      </text>
    </comment>
    <comment ref="AN31" authorId="0" shapeId="0" xr:uid="{00000000-0006-0000-0300-00005F020000}">
      <text>
        <r>
          <rPr>
            <sz val="10"/>
            <color rgb="FF000000"/>
            <rFont val="Arial"/>
            <scheme val="minor"/>
          </rPr>
          <t>Responder updated this value.</t>
        </r>
      </text>
    </comment>
    <comment ref="AO31" authorId="0" shapeId="0" xr:uid="{00000000-0006-0000-0300-000060020000}">
      <text>
        <r>
          <rPr>
            <sz val="10"/>
            <color rgb="FF000000"/>
            <rFont val="Arial"/>
            <scheme val="minor"/>
          </rPr>
          <t>Responder updated this value.</t>
        </r>
      </text>
    </comment>
    <comment ref="AP31" authorId="0" shapeId="0" xr:uid="{00000000-0006-0000-0300-000061020000}">
      <text>
        <r>
          <rPr>
            <sz val="10"/>
            <color rgb="FF000000"/>
            <rFont val="Arial"/>
            <scheme val="minor"/>
          </rPr>
          <t>Responder updated this value.</t>
        </r>
      </text>
    </comment>
    <comment ref="AQ31" authorId="0" shapeId="0" xr:uid="{00000000-0006-0000-0300-000062020000}">
      <text>
        <r>
          <rPr>
            <sz val="10"/>
            <color rgb="FF000000"/>
            <rFont val="Arial"/>
            <scheme val="minor"/>
          </rPr>
          <t>Responder updated this value.</t>
        </r>
      </text>
    </comment>
    <comment ref="AR31" authorId="0" shapeId="0" xr:uid="{00000000-0006-0000-0300-000063020000}">
      <text>
        <r>
          <rPr>
            <sz val="10"/>
            <color rgb="FF000000"/>
            <rFont val="Arial"/>
            <scheme val="minor"/>
          </rPr>
          <t>Responder updated this value.</t>
        </r>
      </text>
    </comment>
    <comment ref="AS31" authorId="0" shapeId="0" xr:uid="{00000000-0006-0000-0300-000064020000}">
      <text>
        <r>
          <rPr>
            <sz val="10"/>
            <color rgb="FF000000"/>
            <rFont val="Arial"/>
            <scheme val="minor"/>
          </rPr>
          <t>Responder updated this value.</t>
        </r>
      </text>
    </comment>
    <comment ref="AT31" authorId="0" shapeId="0" xr:uid="{00000000-0006-0000-0300-000065020000}">
      <text>
        <r>
          <rPr>
            <sz val="10"/>
            <color rgb="FF000000"/>
            <rFont val="Arial"/>
            <scheme val="minor"/>
          </rPr>
          <t>Responder updated this value.</t>
        </r>
      </text>
    </comment>
    <comment ref="AU31" authorId="0" shapeId="0" xr:uid="{00000000-0006-0000-0300-000066020000}">
      <text>
        <r>
          <rPr>
            <sz val="10"/>
            <color rgb="FF000000"/>
            <rFont val="Arial"/>
            <scheme val="minor"/>
          </rPr>
          <t>Responder updated this value.</t>
        </r>
      </text>
    </comment>
    <comment ref="D32" authorId="0" shapeId="0" xr:uid="{00000000-0006-0000-0300-000067020000}">
      <text>
        <r>
          <rPr>
            <sz val="10"/>
            <color rgb="FF000000"/>
            <rFont val="Arial"/>
            <scheme val="minor"/>
          </rPr>
          <t>Responder updated this value.</t>
        </r>
      </text>
    </comment>
    <comment ref="N32" authorId="0" shapeId="0" xr:uid="{00000000-0006-0000-0300-000068020000}">
      <text>
        <r>
          <rPr>
            <sz val="10"/>
            <color rgb="FF000000"/>
            <rFont val="Arial"/>
            <scheme val="minor"/>
          </rPr>
          <t>Responder updated this value.</t>
        </r>
      </text>
    </comment>
    <comment ref="O32" authorId="0" shapeId="0" xr:uid="{00000000-0006-0000-0300-000069020000}">
      <text>
        <r>
          <rPr>
            <sz val="10"/>
            <color rgb="FF000000"/>
            <rFont val="Arial"/>
            <scheme val="minor"/>
          </rPr>
          <t>Responder updated this value.</t>
        </r>
      </text>
    </comment>
    <comment ref="P32" authorId="0" shapeId="0" xr:uid="{00000000-0006-0000-0300-00006A020000}">
      <text>
        <r>
          <rPr>
            <sz val="10"/>
            <color rgb="FF000000"/>
            <rFont val="Arial"/>
            <scheme val="minor"/>
          </rPr>
          <t>Responder updated this value.</t>
        </r>
      </text>
    </comment>
    <comment ref="Q32" authorId="0" shapeId="0" xr:uid="{00000000-0006-0000-0300-00006B020000}">
      <text>
        <r>
          <rPr>
            <sz val="10"/>
            <color rgb="FF000000"/>
            <rFont val="Arial"/>
            <scheme val="minor"/>
          </rPr>
          <t>Responder updated this value.</t>
        </r>
      </text>
    </comment>
    <comment ref="R32" authorId="0" shapeId="0" xr:uid="{00000000-0006-0000-0300-00006C020000}">
      <text>
        <r>
          <rPr>
            <sz val="10"/>
            <color rgb="FF000000"/>
            <rFont val="Arial"/>
            <scheme val="minor"/>
          </rPr>
          <t>Responder updated this value.</t>
        </r>
      </text>
    </comment>
    <comment ref="S32" authorId="0" shapeId="0" xr:uid="{00000000-0006-0000-0300-00006D020000}">
      <text>
        <r>
          <rPr>
            <sz val="10"/>
            <color rgb="FF000000"/>
            <rFont val="Arial"/>
            <scheme val="minor"/>
          </rPr>
          <t>Responder updated this value.</t>
        </r>
      </text>
    </comment>
    <comment ref="T32" authorId="0" shapeId="0" xr:uid="{00000000-0006-0000-0300-00006E020000}">
      <text>
        <r>
          <rPr>
            <sz val="10"/>
            <color rgb="FF000000"/>
            <rFont val="Arial"/>
            <scheme val="minor"/>
          </rPr>
          <t>Responder updated this value.</t>
        </r>
      </text>
    </comment>
    <comment ref="V32" authorId="0" shapeId="0" xr:uid="{00000000-0006-0000-0300-00006F020000}">
      <text>
        <r>
          <rPr>
            <sz val="10"/>
            <color rgb="FF000000"/>
            <rFont val="Arial"/>
            <scheme val="minor"/>
          </rPr>
          <t>Responder updated this value.</t>
        </r>
      </text>
    </comment>
    <comment ref="W32" authorId="0" shapeId="0" xr:uid="{00000000-0006-0000-0300-000070020000}">
      <text>
        <r>
          <rPr>
            <sz val="10"/>
            <color rgb="FF000000"/>
            <rFont val="Arial"/>
            <scheme val="minor"/>
          </rPr>
          <t>Responder updated this value.</t>
        </r>
      </text>
    </comment>
    <comment ref="X32" authorId="0" shapeId="0" xr:uid="{00000000-0006-0000-0300-000071020000}">
      <text>
        <r>
          <rPr>
            <sz val="10"/>
            <color rgb="FF000000"/>
            <rFont val="Arial"/>
            <scheme val="minor"/>
          </rPr>
          <t>Responder updated this value.</t>
        </r>
      </text>
    </comment>
    <comment ref="Y32" authorId="0" shapeId="0" xr:uid="{00000000-0006-0000-0300-000072020000}">
      <text>
        <r>
          <rPr>
            <sz val="10"/>
            <color rgb="FF000000"/>
            <rFont val="Arial"/>
            <scheme val="minor"/>
          </rPr>
          <t>Responder updated this value.</t>
        </r>
      </text>
    </comment>
    <comment ref="AC32" authorId="0" shapeId="0" xr:uid="{00000000-0006-0000-0300-000073020000}">
      <text>
        <r>
          <rPr>
            <sz val="10"/>
            <color rgb="FF000000"/>
            <rFont val="Arial"/>
            <scheme val="minor"/>
          </rPr>
          <t>Responder updated this value.</t>
        </r>
      </text>
    </comment>
    <comment ref="AD32" authorId="0" shapeId="0" xr:uid="{00000000-0006-0000-0300-000074020000}">
      <text>
        <r>
          <rPr>
            <sz val="10"/>
            <color rgb="FF000000"/>
            <rFont val="Arial"/>
            <scheme val="minor"/>
          </rPr>
          <t>Responder updated this value.</t>
        </r>
      </text>
    </comment>
    <comment ref="AE32" authorId="0" shapeId="0" xr:uid="{00000000-0006-0000-0300-000075020000}">
      <text>
        <r>
          <rPr>
            <sz val="10"/>
            <color rgb="FF000000"/>
            <rFont val="Arial"/>
            <scheme val="minor"/>
          </rPr>
          <t>Responder updated this value.</t>
        </r>
      </text>
    </comment>
    <comment ref="AI32" authorId="0" shapeId="0" xr:uid="{00000000-0006-0000-0300-000076020000}">
      <text>
        <r>
          <rPr>
            <sz val="10"/>
            <color rgb="FF000000"/>
            <rFont val="Arial"/>
            <scheme val="minor"/>
          </rPr>
          <t>Responder updated this value.</t>
        </r>
      </text>
    </comment>
    <comment ref="AJ32" authorId="0" shapeId="0" xr:uid="{00000000-0006-0000-0300-000077020000}">
      <text>
        <r>
          <rPr>
            <sz val="10"/>
            <color rgb="FF000000"/>
            <rFont val="Arial"/>
            <scheme val="minor"/>
          </rPr>
          <t>Responder updated this value.</t>
        </r>
      </text>
    </comment>
    <comment ref="AK32" authorId="0" shapeId="0" xr:uid="{00000000-0006-0000-0300-000078020000}">
      <text>
        <r>
          <rPr>
            <sz val="10"/>
            <color rgb="FF000000"/>
            <rFont val="Arial"/>
            <scheme val="minor"/>
          </rPr>
          <t>Responder updated this value.</t>
        </r>
      </text>
    </comment>
    <comment ref="AL32" authorId="0" shapeId="0" xr:uid="{00000000-0006-0000-0300-000079020000}">
      <text>
        <r>
          <rPr>
            <sz val="10"/>
            <color rgb="FF000000"/>
            <rFont val="Arial"/>
            <scheme val="minor"/>
          </rPr>
          <t>Responder updated this value.</t>
        </r>
      </text>
    </comment>
    <comment ref="AM32" authorId="0" shapeId="0" xr:uid="{00000000-0006-0000-0300-00007A020000}">
      <text>
        <r>
          <rPr>
            <sz val="10"/>
            <color rgb="FF000000"/>
            <rFont val="Arial"/>
            <scheme val="minor"/>
          </rPr>
          <t>Responder updated this value.</t>
        </r>
      </text>
    </comment>
    <comment ref="AN32" authorId="0" shapeId="0" xr:uid="{00000000-0006-0000-0300-00007B020000}">
      <text>
        <r>
          <rPr>
            <sz val="10"/>
            <color rgb="FF000000"/>
            <rFont val="Arial"/>
            <scheme val="minor"/>
          </rPr>
          <t>Responder updated this value.</t>
        </r>
      </text>
    </comment>
    <comment ref="AO32" authorId="0" shapeId="0" xr:uid="{00000000-0006-0000-0300-00007C020000}">
      <text>
        <r>
          <rPr>
            <sz val="10"/>
            <color rgb="FF000000"/>
            <rFont val="Arial"/>
            <scheme val="minor"/>
          </rPr>
          <t>Responder updated this value.</t>
        </r>
      </text>
    </comment>
    <comment ref="AP32" authorId="0" shapeId="0" xr:uid="{00000000-0006-0000-0300-00007D020000}">
      <text>
        <r>
          <rPr>
            <sz val="10"/>
            <color rgb="FF000000"/>
            <rFont val="Arial"/>
            <scheme val="minor"/>
          </rPr>
          <t>Responder updated this value.</t>
        </r>
      </text>
    </comment>
    <comment ref="AQ32" authorId="0" shapeId="0" xr:uid="{00000000-0006-0000-0300-00007E020000}">
      <text>
        <r>
          <rPr>
            <sz val="10"/>
            <color rgb="FF000000"/>
            <rFont val="Arial"/>
            <scheme val="minor"/>
          </rPr>
          <t>Responder updated this value.</t>
        </r>
      </text>
    </comment>
    <comment ref="AR32" authorId="0" shapeId="0" xr:uid="{00000000-0006-0000-0300-00007F020000}">
      <text>
        <r>
          <rPr>
            <sz val="10"/>
            <color rgb="FF000000"/>
            <rFont val="Arial"/>
            <scheme val="minor"/>
          </rPr>
          <t>Responder updated this value.</t>
        </r>
      </text>
    </comment>
    <comment ref="AS32" authorId="0" shapeId="0" xr:uid="{00000000-0006-0000-0300-000080020000}">
      <text>
        <r>
          <rPr>
            <sz val="10"/>
            <color rgb="FF000000"/>
            <rFont val="Arial"/>
            <scheme val="minor"/>
          </rPr>
          <t>Responder updated this value.</t>
        </r>
      </text>
    </comment>
    <comment ref="AT32" authorId="0" shapeId="0" xr:uid="{00000000-0006-0000-0300-000081020000}">
      <text>
        <r>
          <rPr>
            <sz val="10"/>
            <color rgb="FF000000"/>
            <rFont val="Arial"/>
            <scheme val="minor"/>
          </rPr>
          <t>Responder updated this value.</t>
        </r>
      </text>
    </comment>
    <comment ref="AU32" authorId="0" shapeId="0" xr:uid="{00000000-0006-0000-0300-000082020000}">
      <text>
        <r>
          <rPr>
            <sz val="10"/>
            <color rgb="FF000000"/>
            <rFont val="Arial"/>
            <scheme val="minor"/>
          </rPr>
          <t>Responder updated this value.</t>
        </r>
      </text>
    </comment>
    <comment ref="D33" authorId="0" shapeId="0" xr:uid="{00000000-0006-0000-0300-000083020000}">
      <text>
        <r>
          <rPr>
            <sz val="10"/>
            <color rgb="FF000000"/>
            <rFont val="Arial"/>
            <scheme val="minor"/>
          </rPr>
          <t>Responder updated this value.</t>
        </r>
      </text>
    </comment>
    <comment ref="H33" authorId="0" shapeId="0" xr:uid="{00000000-0006-0000-0300-000084020000}">
      <text>
        <r>
          <rPr>
            <sz val="10"/>
            <color rgb="FF000000"/>
            <rFont val="Arial"/>
            <scheme val="minor"/>
          </rPr>
          <t>Responder updated this value.</t>
        </r>
      </text>
    </comment>
    <comment ref="N33" authorId="0" shapeId="0" xr:uid="{00000000-0006-0000-0300-000085020000}">
      <text>
        <r>
          <rPr>
            <sz val="10"/>
            <color rgb="FF000000"/>
            <rFont val="Arial"/>
            <scheme val="minor"/>
          </rPr>
          <t>Responder updated this value.</t>
        </r>
      </text>
    </comment>
    <comment ref="O33" authorId="0" shapeId="0" xr:uid="{00000000-0006-0000-0300-000086020000}">
      <text>
        <r>
          <rPr>
            <sz val="10"/>
            <color rgb="FF000000"/>
            <rFont val="Arial"/>
            <scheme val="minor"/>
          </rPr>
          <t>Responder updated this value.</t>
        </r>
      </text>
    </comment>
    <comment ref="Q33" authorId="0" shapeId="0" xr:uid="{00000000-0006-0000-0300-000087020000}">
      <text>
        <r>
          <rPr>
            <sz val="10"/>
            <color rgb="FF000000"/>
            <rFont val="Arial"/>
            <scheme val="minor"/>
          </rPr>
          <t>Responder updated this value.</t>
        </r>
      </text>
    </comment>
    <comment ref="R33" authorId="0" shapeId="0" xr:uid="{00000000-0006-0000-0300-000088020000}">
      <text>
        <r>
          <rPr>
            <sz val="10"/>
            <color rgb="FF000000"/>
            <rFont val="Arial"/>
            <scheme val="minor"/>
          </rPr>
          <t>Responder updated this value.</t>
        </r>
      </text>
    </comment>
    <comment ref="S33" authorId="0" shapeId="0" xr:uid="{00000000-0006-0000-0300-000089020000}">
      <text>
        <r>
          <rPr>
            <sz val="10"/>
            <color rgb="FF000000"/>
            <rFont val="Arial"/>
            <scheme val="minor"/>
          </rPr>
          <t>Responder updated this value.</t>
        </r>
      </text>
    </comment>
    <comment ref="T33" authorId="0" shapeId="0" xr:uid="{00000000-0006-0000-0300-00008A020000}">
      <text>
        <r>
          <rPr>
            <sz val="10"/>
            <color rgb="FF000000"/>
            <rFont val="Arial"/>
            <scheme val="minor"/>
          </rPr>
          <t>Responder updated this value.</t>
        </r>
      </text>
    </comment>
    <comment ref="V33" authorId="0" shapeId="0" xr:uid="{00000000-0006-0000-0300-00008B020000}">
      <text>
        <r>
          <rPr>
            <sz val="10"/>
            <color rgb="FF000000"/>
            <rFont val="Arial"/>
            <scheme val="minor"/>
          </rPr>
          <t>Responder updated this value.</t>
        </r>
      </text>
    </comment>
    <comment ref="W33" authorId="0" shapeId="0" xr:uid="{00000000-0006-0000-0300-00008C020000}">
      <text>
        <r>
          <rPr>
            <sz val="10"/>
            <color rgb="FF000000"/>
            <rFont val="Arial"/>
            <scheme val="minor"/>
          </rPr>
          <t>Responder updated this value.</t>
        </r>
      </text>
    </comment>
    <comment ref="X33" authorId="0" shapeId="0" xr:uid="{00000000-0006-0000-0300-00008D020000}">
      <text>
        <r>
          <rPr>
            <sz val="10"/>
            <color rgb="FF000000"/>
            <rFont val="Arial"/>
            <scheme val="minor"/>
          </rPr>
          <t>Responder updated this value.</t>
        </r>
      </text>
    </comment>
    <comment ref="Y33" authorId="0" shapeId="0" xr:uid="{00000000-0006-0000-0300-00008E020000}">
      <text>
        <r>
          <rPr>
            <sz val="10"/>
            <color rgb="FF000000"/>
            <rFont val="Arial"/>
            <scheme val="minor"/>
          </rPr>
          <t>Responder updated this value.</t>
        </r>
      </text>
    </comment>
    <comment ref="AC33" authorId="0" shapeId="0" xr:uid="{00000000-0006-0000-0300-00008F020000}">
      <text>
        <r>
          <rPr>
            <sz val="10"/>
            <color rgb="FF000000"/>
            <rFont val="Arial"/>
            <scheme val="minor"/>
          </rPr>
          <t>Responder updated this value.</t>
        </r>
      </text>
    </comment>
    <comment ref="AD33" authorId="0" shapeId="0" xr:uid="{00000000-0006-0000-0300-000090020000}">
      <text>
        <r>
          <rPr>
            <sz val="10"/>
            <color rgb="FF000000"/>
            <rFont val="Arial"/>
            <scheme val="minor"/>
          </rPr>
          <t>Responder updated this value.</t>
        </r>
      </text>
    </comment>
    <comment ref="AE33" authorId="0" shapeId="0" xr:uid="{00000000-0006-0000-0300-000091020000}">
      <text>
        <r>
          <rPr>
            <sz val="10"/>
            <color rgb="FF000000"/>
            <rFont val="Arial"/>
            <scheme val="minor"/>
          </rPr>
          <t>Responder updated this value.</t>
        </r>
      </text>
    </comment>
    <comment ref="AF33" authorId="0" shapeId="0" xr:uid="{00000000-0006-0000-0300-000092020000}">
      <text>
        <r>
          <rPr>
            <sz val="10"/>
            <color rgb="FF000000"/>
            <rFont val="Arial"/>
            <scheme val="minor"/>
          </rPr>
          <t>Responder updated this value.</t>
        </r>
      </text>
    </comment>
    <comment ref="AG33" authorId="0" shapeId="0" xr:uid="{00000000-0006-0000-0300-000093020000}">
      <text>
        <r>
          <rPr>
            <sz val="10"/>
            <color rgb="FF000000"/>
            <rFont val="Arial"/>
            <scheme val="minor"/>
          </rPr>
          <t>Responder updated this value.</t>
        </r>
      </text>
    </comment>
    <comment ref="AH33" authorId="0" shapeId="0" xr:uid="{00000000-0006-0000-0300-000094020000}">
      <text>
        <r>
          <rPr>
            <sz val="10"/>
            <color rgb="FF000000"/>
            <rFont val="Arial"/>
            <scheme val="minor"/>
          </rPr>
          <t>Responder updated this value.</t>
        </r>
      </text>
    </comment>
    <comment ref="AI33" authorId="0" shapeId="0" xr:uid="{00000000-0006-0000-0300-000095020000}">
      <text>
        <r>
          <rPr>
            <sz val="10"/>
            <color rgb="FF000000"/>
            <rFont val="Arial"/>
            <scheme val="minor"/>
          </rPr>
          <t>Responder updated this value.</t>
        </r>
      </text>
    </comment>
    <comment ref="AJ33" authorId="0" shapeId="0" xr:uid="{00000000-0006-0000-0300-000096020000}">
      <text>
        <r>
          <rPr>
            <sz val="10"/>
            <color rgb="FF000000"/>
            <rFont val="Arial"/>
            <scheme val="minor"/>
          </rPr>
          <t>Responder updated this value.</t>
        </r>
      </text>
    </comment>
    <comment ref="AK33" authorId="0" shapeId="0" xr:uid="{00000000-0006-0000-0300-000097020000}">
      <text>
        <r>
          <rPr>
            <sz val="10"/>
            <color rgb="FF000000"/>
            <rFont val="Arial"/>
            <scheme val="minor"/>
          </rPr>
          <t>Responder updated this value.</t>
        </r>
      </text>
    </comment>
    <comment ref="AL33" authorId="0" shapeId="0" xr:uid="{00000000-0006-0000-0300-000098020000}">
      <text>
        <r>
          <rPr>
            <sz val="10"/>
            <color rgb="FF000000"/>
            <rFont val="Arial"/>
            <scheme val="minor"/>
          </rPr>
          <t>Responder updated this value.</t>
        </r>
      </text>
    </comment>
    <comment ref="AM33" authorId="0" shapeId="0" xr:uid="{00000000-0006-0000-0300-000099020000}">
      <text>
        <r>
          <rPr>
            <sz val="10"/>
            <color rgb="FF000000"/>
            <rFont val="Arial"/>
            <scheme val="minor"/>
          </rPr>
          <t>Responder updated this value.</t>
        </r>
      </text>
    </comment>
    <comment ref="AN33" authorId="0" shapeId="0" xr:uid="{00000000-0006-0000-0300-00009A020000}">
      <text>
        <r>
          <rPr>
            <sz val="10"/>
            <color rgb="FF000000"/>
            <rFont val="Arial"/>
            <scheme val="minor"/>
          </rPr>
          <t>Responder updated this value.</t>
        </r>
      </text>
    </comment>
    <comment ref="AO33" authorId="0" shapeId="0" xr:uid="{00000000-0006-0000-0300-00009B020000}">
      <text>
        <r>
          <rPr>
            <sz val="10"/>
            <color rgb="FF000000"/>
            <rFont val="Arial"/>
            <scheme val="minor"/>
          </rPr>
          <t>Responder updated this value.</t>
        </r>
      </text>
    </comment>
    <comment ref="AP33" authorId="0" shapeId="0" xr:uid="{00000000-0006-0000-0300-00009C020000}">
      <text>
        <r>
          <rPr>
            <sz val="10"/>
            <color rgb="FF000000"/>
            <rFont val="Arial"/>
            <scheme val="minor"/>
          </rPr>
          <t>Responder updated this value.</t>
        </r>
      </text>
    </comment>
    <comment ref="AQ33" authorId="0" shapeId="0" xr:uid="{00000000-0006-0000-0300-00009D020000}">
      <text>
        <r>
          <rPr>
            <sz val="10"/>
            <color rgb="FF000000"/>
            <rFont val="Arial"/>
            <scheme val="minor"/>
          </rPr>
          <t>Responder updated this value.</t>
        </r>
      </text>
    </comment>
    <comment ref="AR33" authorId="0" shapeId="0" xr:uid="{00000000-0006-0000-0300-00009E020000}">
      <text>
        <r>
          <rPr>
            <sz val="10"/>
            <color rgb="FF000000"/>
            <rFont val="Arial"/>
            <scheme val="minor"/>
          </rPr>
          <t>Responder updated this value.</t>
        </r>
      </text>
    </comment>
    <comment ref="AS33" authorId="0" shapeId="0" xr:uid="{00000000-0006-0000-0300-00009F020000}">
      <text>
        <r>
          <rPr>
            <sz val="10"/>
            <color rgb="FF000000"/>
            <rFont val="Arial"/>
            <scheme val="minor"/>
          </rPr>
          <t>Responder updated this value.</t>
        </r>
      </text>
    </comment>
    <comment ref="AT33" authorId="0" shapeId="0" xr:uid="{00000000-0006-0000-0300-0000A0020000}">
      <text>
        <r>
          <rPr>
            <sz val="10"/>
            <color rgb="FF000000"/>
            <rFont val="Arial"/>
            <scheme val="minor"/>
          </rPr>
          <t>Responder updated this value.</t>
        </r>
      </text>
    </comment>
    <comment ref="AU33" authorId="0" shapeId="0" xr:uid="{00000000-0006-0000-0300-0000A1020000}">
      <text>
        <r>
          <rPr>
            <sz val="10"/>
            <color rgb="FF000000"/>
            <rFont val="Arial"/>
            <scheme val="minor"/>
          </rPr>
          <t>Responder updated this value.</t>
        </r>
      </text>
    </comment>
    <comment ref="D34" authorId="0" shapeId="0" xr:uid="{00000000-0006-0000-0300-0000A2020000}">
      <text>
        <r>
          <rPr>
            <sz val="10"/>
            <color rgb="FF000000"/>
            <rFont val="Arial"/>
            <scheme val="minor"/>
          </rPr>
          <t>Responder updated this value.</t>
        </r>
      </text>
    </comment>
    <comment ref="N34" authorId="0" shapeId="0" xr:uid="{00000000-0006-0000-0300-0000A3020000}">
      <text>
        <r>
          <rPr>
            <sz val="10"/>
            <color rgb="FF000000"/>
            <rFont val="Arial"/>
            <scheme val="minor"/>
          </rPr>
          <t>Responder updated this value.</t>
        </r>
      </text>
    </comment>
    <comment ref="O34" authorId="0" shapeId="0" xr:uid="{00000000-0006-0000-0300-0000A4020000}">
      <text>
        <r>
          <rPr>
            <sz val="10"/>
            <color rgb="FF000000"/>
            <rFont val="Arial"/>
            <scheme val="minor"/>
          </rPr>
          <t>Responder updated this value.</t>
        </r>
      </text>
    </comment>
    <comment ref="P34" authorId="0" shapeId="0" xr:uid="{00000000-0006-0000-0300-0000A5020000}">
      <text>
        <r>
          <rPr>
            <sz val="10"/>
            <color rgb="FF000000"/>
            <rFont val="Arial"/>
            <scheme val="minor"/>
          </rPr>
          <t>Responder updated this value.</t>
        </r>
      </text>
    </comment>
    <comment ref="Q34" authorId="0" shapeId="0" xr:uid="{00000000-0006-0000-0300-0000A6020000}">
      <text>
        <r>
          <rPr>
            <sz val="10"/>
            <color rgb="FF000000"/>
            <rFont val="Arial"/>
            <scheme val="minor"/>
          </rPr>
          <t>Responder updated this value.</t>
        </r>
      </text>
    </comment>
    <comment ref="R34" authorId="0" shapeId="0" xr:uid="{00000000-0006-0000-0300-0000A7020000}">
      <text>
        <r>
          <rPr>
            <sz val="10"/>
            <color rgb="FF000000"/>
            <rFont val="Arial"/>
            <scheme val="minor"/>
          </rPr>
          <t>Responder updated this value.</t>
        </r>
      </text>
    </comment>
    <comment ref="S34" authorId="0" shapeId="0" xr:uid="{00000000-0006-0000-0300-0000A8020000}">
      <text>
        <r>
          <rPr>
            <sz val="10"/>
            <color rgb="FF000000"/>
            <rFont val="Arial"/>
            <scheme val="minor"/>
          </rPr>
          <t>Responder updated this value.</t>
        </r>
      </text>
    </comment>
    <comment ref="T34" authorId="0" shapeId="0" xr:uid="{00000000-0006-0000-0300-0000A9020000}">
      <text>
        <r>
          <rPr>
            <sz val="10"/>
            <color rgb="FF000000"/>
            <rFont val="Arial"/>
            <scheme val="minor"/>
          </rPr>
          <t>Responder updated this value.</t>
        </r>
      </text>
    </comment>
    <comment ref="V34" authorId="0" shapeId="0" xr:uid="{00000000-0006-0000-0300-0000AA020000}">
      <text>
        <r>
          <rPr>
            <sz val="10"/>
            <color rgb="FF000000"/>
            <rFont val="Arial"/>
            <scheme val="minor"/>
          </rPr>
          <t>Responder updated this value.</t>
        </r>
      </text>
    </comment>
    <comment ref="W34" authorId="0" shapeId="0" xr:uid="{00000000-0006-0000-0300-0000AB020000}">
      <text>
        <r>
          <rPr>
            <sz val="10"/>
            <color rgb="FF000000"/>
            <rFont val="Arial"/>
            <scheme val="minor"/>
          </rPr>
          <t>Responder updated this value.</t>
        </r>
      </text>
    </comment>
    <comment ref="X34" authorId="0" shapeId="0" xr:uid="{00000000-0006-0000-0300-0000AC020000}">
      <text>
        <r>
          <rPr>
            <sz val="10"/>
            <color rgb="FF000000"/>
            <rFont val="Arial"/>
            <scheme val="minor"/>
          </rPr>
          <t>Responder updated this value.</t>
        </r>
      </text>
    </comment>
    <comment ref="Y34" authorId="0" shapeId="0" xr:uid="{00000000-0006-0000-0300-0000AD020000}">
      <text>
        <r>
          <rPr>
            <sz val="10"/>
            <color rgb="FF000000"/>
            <rFont val="Arial"/>
            <scheme val="minor"/>
          </rPr>
          <t>Responder updated this value.</t>
        </r>
      </text>
    </comment>
    <comment ref="AC34" authorId="0" shapeId="0" xr:uid="{00000000-0006-0000-0300-0000AE020000}">
      <text>
        <r>
          <rPr>
            <sz val="10"/>
            <color rgb="FF000000"/>
            <rFont val="Arial"/>
            <scheme val="minor"/>
          </rPr>
          <t>Responder updated this value.</t>
        </r>
      </text>
    </comment>
    <comment ref="AD34" authorId="0" shapeId="0" xr:uid="{00000000-0006-0000-0300-0000AF020000}">
      <text>
        <r>
          <rPr>
            <sz val="10"/>
            <color rgb="FF000000"/>
            <rFont val="Arial"/>
            <scheme val="minor"/>
          </rPr>
          <t>Responder updated this value.</t>
        </r>
      </text>
    </comment>
    <comment ref="AE34" authorId="0" shapeId="0" xr:uid="{00000000-0006-0000-0300-0000B0020000}">
      <text>
        <r>
          <rPr>
            <sz val="10"/>
            <color rgb="FF000000"/>
            <rFont val="Arial"/>
            <scheme val="minor"/>
          </rPr>
          <t>Responder updated this value.</t>
        </r>
      </text>
    </comment>
    <comment ref="AF34" authorId="0" shapeId="0" xr:uid="{00000000-0006-0000-0300-0000B1020000}">
      <text>
        <r>
          <rPr>
            <sz val="10"/>
            <color rgb="FF000000"/>
            <rFont val="Arial"/>
            <scheme val="minor"/>
          </rPr>
          <t>Responder updated this value.</t>
        </r>
      </text>
    </comment>
    <comment ref="AG34" authorId="0" shapeId="0" xr:uid="{00000000-0006-0000-0300-0000B2020000}">
      <text>
        <r>
          <rPr>
            <sz val="10"/>
            <color rgb="FF000000"/>
            <rFont val="Arial"/>
            <scheme val="minor"/>
          </rPr>
          <t>Responder updated this value.</t>
        </r>
      </text>
    </comment>
    <comment ref="AH34" authorId="0" shapeId="0" xr:uid="{00000000-0006-0000-0300-0000B3020000}">
      <text>
        <r>
          <rPr>
            <sz val="10"/>
            <color rgb="FF000000"/>
            <rFont val="Arial"/>
            <scheme val="minor"/>
          </rPr>
          <t>Responder updated this value.</t>
        </r>
      </text>
    </comment>
    <comment ref="AI34" authorId="0" shapeId="0" xr:uid="{00000000-0006-0000-0300-0000B4020000}">
      <text>
        <r>
          <rPr>
            <sz val="10"/>
            <color rgb="FF000000"/>
            <rFont val="Arial"/>
            <scheme val="minor"/>
          </rPr>
          <t>Responder updated this value.</t>
        </r>
      </text>
    </comment>
    <comment ref="AJ34" authorId="0" shapeId="0" xr:uid="{00000000-0006-0000-0300-0000B5020000}">
      <text>
        <r>
          <rPr>
            <sz val="10"/>
            <color rgb="FF000000"/>
            <rFont val="Arial"/>
            <scheme val="minor"/>
          </rPr>
          <t>Responder updated this value.</t>
        </r>
      </text>
    </comment>
    <comment ref="AK34" authorId="0" shapeId="0" xr:uid="{00000000-0006-0000-0300-0000B6020000}">
      <text>
        <r>
          <rPr>
            <sz val="10"/>
            <color rgb="FF000000"/>
            <rFont val="Arial"/>
            <scheme val="minor"/>
          </rPr>
          <t>Responder updated this value.</t>
        </r>
      </text>
    </comment>
    <comment ref="AL34" authorId="0" shapeId="0" xr:uid="{00000000-0006-0000-0300-0000B7020000}">
      <text>
        <r>
          <rPr>
            <sz val="10"/>
            <color rgb="FF000000"/>
            <rFont val="Arial"/>
            <scheme val="minor"/>
          </rPr>
          <t>Responder updated this value.</t>
        </r>
      </text>
    </comment>
    <comment ref="AM34" authorId="0" shapeId="0" xr:uid="{00000000-0006-0000-0300-0000B8020000}">
      <text>
        <r>
          <rPr>
            <sz val="10"/>
            <color rgb="FF000000"/>
            <rFont val="Arial"/>
            <scheme val="minor"/>
          </rPr>
          <t>Responder updated this value.</t>
        </r>
      </text>
    </comment>
    <comment ref="AN34" authorId="0" shapeId="0" xr:uid="{00000000-0006-0000-0300-0000B9020000}">
      <text>
        <r>
          <rPr>
            <sz val="10"/>
            <color rgb="FF000000"/>
            <rFont val="Arial"/>
            <scheme val="minor"/>
          </rPr>
          <t>Responder updated this value.</t>
        </r>
      </text>
    </comment>
    <comment ref="AO34" authorId="0" shapeId="0" xr:uid="{00000000-0006-0000-0300-0000BA020000}">
      <text>
        <r>
          <rPr>
            <sz val="10"/>
            <color rgb="FF000000"/>
            <rFont val="Arial"/>
            <scheme val="minor"/>
          </rPr>
          <t>Responder updated this value.</t>
        </r>
      </text>
    </comment>
    <comment ref="AP34" authorId="0" shapeId="0" xr:uid="{00000000-0006-0000-0300-0000BB020000}">
      <text>
        <r>
          <rPr>
            <sz val="10"/>
            <color rgb="FF000000"/>
            <rFont val="Arial"/>
            <scheme val="minor"/>
          </rPr>
          <t>Responder updated this value.</t>
        </r>
      </text>
    </comment>
    <comment ref="AQ34" authorId="0" shapeId="0" xr:uid="{00000000-0006-0000-0300-0000BC020000}">
      <text>
        <r>
          <rPr>
            <sz val="10"/>
            <color rgb="FF000000"/>
            <rFont val="Arial"/>
            <scheme val="minor"/>
          </rPr>
          <t>Responder updated this value.</t>
        </r>
      </text>
    </comment>
    <comment ref="AR34" authorId="0" shapeId="0" xr:uid="{00000000-0006-0000-0300-0000BD020000}">
      <text>
        <r>
          <rPr>
            <sz val="10"/>
            <color rgb="FF000000"/>
            <rFont val="Arial"/>
            <scheme val="minor"/>
          </rPr>
          <t>Responder updated this value.</t>
        </r>
      </text>
    </comment>
    <comment ref="AS34" authorId="0" shapeId="0" xr:uid="{00000000-0006-0000-0300-0000BE020000}">
      <text>
        <r>
          <rPr>
            <sz val="10"/>
            <color rgb="FF000000"/>
            <rFont val="Arial"/>
            <scheme val="minor"/>
          </rPr>
          <t>Responder updated this value.</t>
        </r>
      </text>
    </comment>
    <comment ref="AT34" authorId="0" shapeId="0" xr:uid="{00000000-0006-0000-0300-0000BF020000}">
      <text>
        <r>
          <rPr>
            <sz val="10"/>
            <color rgb="FF000000"/>
            <rFont val="Arial"/>
            <scheme val="minor"/>
          </rPr>
          <t>Responder updated this value.</t>
        </r>
      </text>
    </comment>
    <comment ref="AU34" authorId="0" shapeId="0" xr:uid="{00000000-0006-0000-0300-0000C0020000}">
      <text>
        <r>
          <rPr>
            <sz val="10"/>
            <color rgb="FF000000"/>
            <rFont val="Arial"/>
            <scheme val="minor"/>
          </rPr>
          <t>Responder updated this value.</t>
        </r>
      </text>
    </comment>
    <comment ref="D35" authorId="0" shapeId="0" xr:uid="{00000000-0006-0000-0300-0000C1020000}">
      <text>
        <r>
          <rPr>
            <sz val="10"/>
            <color rgb="FF000000"/>
            <rFont val="Arial"/>
            <scheme val="minor"/>
          </rPr>
          <t>Responder updated this value.</t>
        </r>
      </text>
    </comment>
    <comment ref="N35" authorId="0" shapeId="0" xr:uid="{00000000-0006-0000-0300-0000C2020000}">
      <text>
        <r>
          <rPr>
            <sz val="10"/>
            <color rgb="FF000000"/>
            <rFont val="Arial"/>
            <scheme val="minor"/>
          </rPr>
          <t>Responder updated this value.</t>
        </r>
      </text>
    </comment>
    <comment ref="AC35" authorId="0" shapeId="0" xr:uid="{00000000-0006-0000-0300-0000C3020000}">
      <text>
        <r>
          <rPr>
            <sz val="10"/>
            <color rgb="FF000000"/>
            <rFont val="Arial"/>
            <scheme val="minor"/>
          </rPr>
          <t>Responder updated this value.</t>
        </r>
      </text>
    </comment>
    <comment ref="AD35" authorId="0" shapeId="0" xr:uid="{00000000-0006-0000-0300-0000C4020000}">
      <text>
        <r>
          <rPr>
            <sz val="10"/>
            <color rgb="FF000000"/>
            <rFont val="Arial"/>
            <scheme val="minor"/>
          </rPr>
          <t>Responder updated this value.</t>
        </r>
      </text>
    </comment>
    <comment ref="AE35" authorId="0" shapeId="0" xr:uid="{00000000-0006-0000-0300-0000C5020000}">
      <text>
        <r>
          <rPr>
            <sz val="10"/>
            <color rgb="FF000000"/>
            <rFont val="Arial"/>
            <scheme val="minor"/>
          </rPr>
          <t>Responder updated this value.</t>
        </r>
      </text>
    </comment>
    <comment ref="AI35" authorId="0" shapeId="0" xr:uid="{00000000-0006-0000-0300-0000C6020000}">
      <text>
        <r>
          <rPr>
            <sz val="10"/>
            <color rgb="FF000000"/>
            <rFont val="Arial"/>
            <scheme val="minor"/>
          </rPr>
          <t>Responder updated this value.</t>
        </r>
      </text>
    </comment>
    <comment ref="AJ35" authorId="0" shapeId="0" xr:uid="{00000000-0006-0000-0300-0000C7020000}">
      <text>
        <r>
          <rPr>
            <sz val="10"/>
            <color rgb="FF000000"/>
            <rFont val="Arial"/>
            <scheme val="minor"/>
          </rPr>
          <t>Responder updated this value.</t>
        </r>
      </text>
    </comment>
    <comment ref="AK35" authorId="0" shapeId="0" xr:uid="{00000000-0006-0000-0300-0000C8020000}">
      <text>
        <r>
          <rPr>
            <sz val="10"/>
            <color rgb="FF000000"/>
            <rFont val="Arial"/>
            <scheme val="minor"/>
          </rPr>
          <t>Responder updated this value.</t>
        </r>
      </text>
    </comment>
    <comment ref="AL35" authorId="0" shapeId="0" xr:uid="{00000000-0006-0000-0300-0000C9020000}">
      <text>
        <r>
          <rPr>
            <sz val="10"/>
            <color rgb="FF000000"/>
            <rFont val="Arial"/>
            <scheme val="minor"/>
          </rPr>
          <t>Responder updated this value.</t>
        </r>
      </text>
    </comment>
    <comment ref="AM35" authorId="0" shapeId="0" xr:uid="{00000000-0006-0000-0300-0000CA020000}">
      <text>
        <r>
          <rPr>
            <sz val="10"/>
            <color rgb="FF000000"/>
            <rFont val="Arial"/>
            <scheme val="minor"/>
          </rPr>
          <t>Responder updated this value.</t>
        </r>
      </text>
    </comment>
    <comment ref="AN35" authorId="0" shapeId="0" xr:uid="{00000000-0006-0000-0300-0000CB020000}">
      <text>
        <r>
          <rPr>
            <sz val="10"/>
            <color rgb="FF000000"/>
            <rFont val="Arial"/>
            <scheme val="minor"/>
          </rPr>
          <t>Responder updated this value.</t>
        </r>
      </text>
    </comment>
    <comment ref="AO35" authorId="0" shapeId="0" xr:uid="{00000000-0006-0000-0300-0000CC020000}">
      <text>
        <r>
          <rPr>
            <sz val="10"/>
            <color rgb="FF000000"/>
            <rFont val="Arial"/>
            <scheme val="minor"/>
          </rPr>
          <t>Responder updated this value.</t>
        </r>
      </text>
    </comment>
    <comment ref="AP35" authorId="0" shapeId="0" xr:uid="{00000000-0006-0000-0300-0000CD020000}">
      <text>
        <r>
          <rPr>
            <sz val="10"/>
            <color rgb="FF000000"/>
            <rFont val="Arial"/>
            <scheme val="minor"/>
          </rPr>
          <t>Responder updated this value.</t>
        </r>
      </text>
    </comment>
    <comment ref="AQ35" authorId="0" shapeId="0" xr:uid="{00000000-0006-0000-0300-0000CE020000}">
      <text>
        <r>
          <rPr>
            <sz val="10"/>
            <color rgb="FF000000"/>
            <rFont val="Arial"/>
            <scheme val="minor"/>
          </rPr>
          <t>Responder updated this value.</t>
        </r>
      </text>
    </comment>
    <comment ref="AR35" authorId="0" shapeId="0" xr:uid="{00000000-0006-0000-0300-0000CF020000}">
      <text>
        <r>
          <rPr>
            <sz val="10"/>
            <color rgb="FF000000"/>
            <rFont val="Arial"/>
            <scheme val="minor"/>
          </rPr>
          <t>Responder updated this value.</t>
        </r>
      </text>
    </comment>
    <comment ref="AS35" authorId="0" shapeId="0" xr:uid="{00000000-0006-0000-0300-0000D0020000}">
      <text>
        <r>
          <rPr>
            <sz val="10"/>
            <color rgb="FF000000"/>
            <rFont val="Arial"/>
            <scheme val="minor"/>
          </rPr>
          <t>Responder updated this value.</t>
        </r>
      </text>
    </comment>
    <comment ref="AT35" authorId="0" shapeId="0" xr:uid="{00000000-0006-0000-0300-0000D1020000}">
      <text>
        <r>
          <rPr>
            <sz val="10"/>
            <color rgb="FF000000"/>
            <rFont val="Arial"/>
            <scheme val="minor"/>
          </rPr>
          <t>Responder updated this value.</t>
        </r>
      </text>
    </comment>
    <comment ref="AU35" authorId="0" shapeId="0" xr:uid="{00000000-0006-0000-0300-0000D2020000}">
      <text>
        <r>
          <rPr>
            <sz val="10"/>
            <color rgb="FF000000"/>
            <rFont val="Arial"/>
            <scheme val="minor"/>
          </rPr>
          <t>Responder updated this value.</t>
        </r>
      </text>
    </comment>
    <comment ref="D36" authorId="0" shapeId="0" xr:uid="{00000000-0006-0000-0300-0000D3020000}">
      <text>
        <r>
          <rPr>
            <sz val="10"/>
            <color rgb="FF000000"/>
            <rFont val="Arial"/>
            <scheme val="minor"/>
          </rPr>
          <t>Responder updated this value.</t>
        </r>
      </text>
    </comment>
    <comment ref="N36" authorId="0" shapeId="0" xr:uid="{00000000-0006-0000-0300-0000D4020000}">
      <text>
        <r>
          <rPr>
            <sz val="10"/>
            <color rgb="FF000000"/>
            <rFont val="Arial"/>
            <scheme val="minor"/>
          </rPr>
          <t>Responder updated this value.</t>
        </r>
      </text>
    </comment>
    <comment ref="O36" authorId="0" shapeId="0" xr:uid="{00000000-0006-0000-0300-0000D5020000}">
      <text>
        <r>
          <rPr>
            <sz val="10"/>
            <color rgb="FF000000"/>
            <rFont val="Arial"/>
            <scheme val="minor"/>
          </rPr>
          <t>Responder updated this value.</t>
        </r>
      </text>
    </comment>
    <comment ref="P36" authorId="0" shapeId="0" xr:uid="{00000000-0006-0000-0300-0000D6020000}">
      <text>
        <r>
          <rPr>
            <sz val="10"/>
            <color rgb="FF000000"/>
            <rFont val="Arial"/>
            <scheme val="minor"/>
          </rPr>
          <t>Responder updated this value.</t>
        </r>
      </text>
    </comment>
    <comment ref="Q36" authorId="0" shapeId="0" xr:uid="{00000000-0006-0000-0300-0000D7020000}">
      <text>
        <r>
          <rPr>
            <sz val="10"/>
            <color rgb="FF000000"/>
            <rFont val="Arial"/>
            <scheme val="minor"/>
          </rPr>
          <t>Responder updated this value.</t>
        </r>
      </text>
    </comment>
    <comment ref="R36" authorId="0" shapeId="0" xr:uid="{00000000-0006-0000-0300-0000D8020000}">
      <text>
        <r>
          <rPr>
            <sz val="10"/>
            <color rgb="FF000000"/>
            <rFont val="Arial"/>
            <scheme val="minor"/>
          </rPr>
          <t>Responder updated this value.</t>
        </r>
      </text>
    </comment>
    <comment ref="S36" authorId="0" shapeId="0" xr:uid="{00000000-0006-0000-0300-0000D9020000}">
      <text>
        <r>
          <rPr>
            <sz val="10"/>
            <color rgb="FF000000"/>
            <rFont val="Arial"/>
            <scheme val="minor"/>
          </rPr>
          <t>Responder updated this value.</t>
        </r>
      </text>
    </comment>
    <comment ref="T36" authorId="0" shapeId="0" xr:uid="{00000000-0006-0000-0300-0000DA020000}">
      <text>
        <r>
          <rPr>
            <sz val="10"/>
            <color rgb="FF000000"/>
            <rFont val="Arial"/>
            <scheme val="minor"/>
          </rPr>
          <t>Responder updated this value.</t>
        </r>
      </text>
    </comment>
    <comment ref="U36" authorId="0" shapeId="0" xr:uid="{00000000-0006-0000-0300-0000DB020000}">
      <text>
        <r>
          <rPr>
            <sz val="10"/>
            <color rgb="FF000000"/>
            <rFont val="Arial"/>
            <scheme val="minor"/>
          </rPr>
          <t>Responder updated this value.</t>
        </r>
      </text>
    </comment>
    <comment ref="V36" authorId="0" shapeId="0" xr:uid="{00000000-0006-0000-0300-0000DC020000}">
      <text>
        <r>
          <rPr>
            <sz val="10"/>
            <color rgb="FF000000"/>
            <rFont val="Arial"/>
            <scheme val="minor"/>
          </rPr>
          <t>Responder updated this value.</t>
        </r>
      </text>
    </comment>
    <comment ref="W36" authorId="0" shapeId="0" xr:uid="{00000000-0006-0000-0300-0000DD020000}">
      <text>
        <r>
          <rPr>
            <sz val="10"/>
            <color rgb="FF000000"/>
            <rFont val="Arial"/>
            <scheme val="minor"/>
          </rPr>
          <t>Responder updated this value.</t>
        </r>
      </text>
    </comment>
    <comment ref="X36" authorId="0" shapeId="0" xr:uid="{00000000-0006-0000-0300-0000DE020000}">
      <text>
        <r>
          <rPr>
            <sz val="10"/>
            <color rgb="FF000000"/>
            <rFont val="Arial"/>
            <scheme val="minor"/>
          </rPr>
          <t>Responder updated this value.</t>
        </r>
      </text>
    </comment>
    <comment ref="AC36" authorId="0" shapeId="0" xr:uid="{00000000-0006-0000-0300-0000DF020000}">
      <text>
        <r>
          <rPr>
            <sz val="10"/>
            <color rgb="FF000000"/>
            <rFont val="Arial"/>
            <scheme val="minor"/>
          </rPr>
          <t>Responder updated this value.</t>
        </r>
      </text>
    </comment>
    <comment ref="AD36" authorId="0" shapeId="0" xr:uid="{00000000-0006-0000-0300-0000E0020000}">
      <text>
        <r>
          <rPr>
            <sz val="10"/>
            <color rgb="FF000000"/>
            <rFont val="Arial"/>
            <scheme val="minor"/>
          </rPr>
          <t>Responder updated this value.</t>
        </r>
      </text>
    </comment>
    <comment ref="AE36" authorId="0" shapeId="0" xr:uid="{00000000-0006-0000-0300-0000E1020000}">
      <text>
        <r>
          <rPr>
            <sz val="10"/>
            <color rgb="FF000000"/>
            <rFont val="Arial"/>
            <scheme val="minor"/>
          </rPr>
          <t>Responder updated this value.</t>
        </r>
      </text>
    </comment>
    <comment ref="AF36" authorId="0" shapeId="0" xr:uid="{00000000-0006-0000-0300-0000E2020000}">
      <text>
        <r>
          <rPr>
            <sz val="10"/>
            <color rgb="FF000000"/>
            <rFont val="Arial"/>
            <scheme val="minor"/>
          </rPr>
          <t>Responder updated this value.</t>
        </r>
      </text>
    </comment>
    <comment ref="AG36" authorId="0" shapeId="0" xr:uid="{00000000-0006-0000-0300-0000E3020000}">
      <text>
        <r>
          <rPr>
            <sz val="10"/>
            <color rgb="FF000000"/>
            <rFont val="Arial"/>
            <scheme val="minor"/>
          </rPr>
          <t>Responder updated this value.</t>
        </r>
      </text>
    </comment>
    <comment ref="AH36" authorId="0" shapeId="0" xr:uid="{00000000-0006-0000-0300-0000E4020000}">
      <text>
        <r>
          <rPr>
            <sz val="10"/>
            <color rgb="FF000000"/>
            <rFont val="Arial"/>
            <scheme val="minor"/>
          </rPr>
          <t>Responder updated this value.</t>
        </r>
      </text>
    </comment>
    <comment ref="AI36" authorId="0" shapeId="0" xr:uid="{00000000-0006-0000-0300-0000E5020000}">
      <text>
        <r>
          <rPr>
            <sz val="10"/>
            <color rgb="FF000000"/>
            <rFont val="Arial"/>
            <scheme val="minor"/>
          </rPr>
          <t>Responder updated this value.</t>
        </r>
      </text>
    </comment>
    <comment ref="AJ36" authorId="0" shapeId="0" xr:uid="{00000000-0006-0000-0300-0000E6020000}">
      <text>
        <r>
          <rPr>
            <sz val="10"/>
            <color rgb="FF000000"/>
            <rFont val="Arial"/>
            <scheme val="minor"/>
          </rPr>
          <t>Responder updated this value.</t>
        </r>
      </text>
    </comment>
    <comment ref="AK36" authorId="0" shapeId="0" xr:uid="{00000000-0006-0000-0300-0000E7020000}">
      <text>
        <r>
          <rPr>
            <sz val="10"/>
            <color rgb="FF000000"/>
            <rFont val="Arial"/>
            <scheme val="minor"/>
          </rPr>
          <t>Responder updated this value.</t>
        </r>
      </text>
    </comment>
    <comment ref="AL36" authorId="0" shapeId="0" xr:uid="{00000000-0006-0000-0300-0000E8020000}">
      <text>
        <r>
          <rPr>
            <sz val="10"/>
            <color rgb="FF000000"/>
            <rFont val="Arial"/>
            <scheme val="minor"/>
          </rPr>
          <t>Responder updated this value.</t>
        </r>
      </text>
    </comment>
    <comment ref="AM36" authorId="0" shapeId="0" xr:uid="{00000000-0006-0000-0300-0000E9020000}">
      <text>
        <r>
          <rPr>
            <sz val="10"/>
            <color rgb="FF000000"/>
            <rFont val="Arial"/>
            <scheme val="minor"/>
          </rPr>
          <t>Responder updated this value.</t>
        </r>
      </text>
    </comment>
    <comment ref="AN36" authorId="0" shapeId="0" xr:uid="{00000000-0006-0000-0300-0000EA020000}">
      <text>
        <r>
          <rPr>
            <sz val="10"/>
            <color rgb="FF000000"/>
            <rFont val="Arial"/>
            <scheme val="minor"/>
          </rPr>
          <t>Responder updated this value.</t>
        </r>
      </text>
    </comment>
    <comment ref="AO36" authorId="0" shapeId="0" xr:uid="{00000000-0006-0000-0300-0000EB020000}">
      <text>
        <r>
          <rPr>
            <sz val="10"/>
            <color rgb="FF000000"/>
            <rFont val="Arial"/>
            <scheme val="minor"/>
          </rPr>
          <t>Responder updated this value.</t>
        </r>
      </text>
    </comment>
    <comment ref="AP36" authorId="0" shapeId="0" xr:uid="{00000000-0006-0000-0300-0000EC020000}">
      <text>
        <r>
          <rPr>
            <sz val="10"/>
            <color rgb="FF000000"/>
            <rFont val="Arial"/>
            <scheme val="minor"/>
          </rPr>
          <t>Responder updated this value.</t>
        </r>
      </text>
    </comment>
    <comment ref="AQ36" authorId="0" shapeId="0" xr:uid="{00000000-0006-0000-0300-0000ED020000}">
      <text>
        <r>
          <rPr>
            <sz val="10"/>
            <color rgb="FF000000"/>
            <rFont val="Arial"/>
            <scheme val="minor"/>
          </rPr>
          <t>Responder updated this value.</t>
        </r>
      </text>
    </comment>
    <comment ref="AR36" authorId="0" shapeId="0" xr:uid="{00000000-0006-0000-0300-0000EE020000}">
      <text>
        <r>
          <rPr>
            <sz val="10"/>
            <color rgb="FF000000"/>
            <rFont val="Arial"/>
            <scheme val="minor"/>
          </rPr>
          <t>Responder updated this value.</t>
        </r>
      </text>
    </comment>
    <comment ref="AS36" authorId="0" shapeId="0" xr:uid="{00000000-0006-0000-0300-0000EF020000}">
      <text>
        <r>
          <rPr>
            <sz val="10"/>
            <color rgb="FF000000"/>
            <rFont val="Arial"/>
            <scheme val="minor"/>
          </rPr>
          <t>Responder updated this value.</t>
        </r>
      </text>
    </comment>
    <comment ref="AT36" authorId="0" shapeId="0" xr:uid="{00000000-0006-0000-0300-0000F0020000}">
      <text>
        <r>
          <rPr>
            <sz val="10"/>
            <color rgb="FF000000"/>
            <rFont val="Arial"/>
            <scheme val="minor"/>
          </rPr>
          <t>Responder updated this value.</t>
        </r>
      </text>
    </comment>
    <comment ref="AU36" authorId="0" shapeId="0" xr:uid="{00000000-0006-0000-0300-0000F1020000}">
      <text>
        <r>
          <rPr>
            <sz val="10"/>
            <color rgb="FF000000"/>
            <rFont val="Arial"/>
            <scheme val="minor"/>
          </rPr>
          <t>Responder updated this value.</t>
        </r>
      </text>
    </comment>
    <comment ref="D37" authorId="0" shapeId="0" xr:uid="{00000000-0006-0000-0300-0000F2020000}">
      <text>
        <r>
          <rPr>
            <sz val="10"/>
            <color rgb="FF000000"/>
            <rFont val="Arial"/>
            <scheme val="minor"/>
          </rPr>
          <t>Responder updated this value.</t>
        </r>
      </text>
    </comment>
    <comment ref="F37" authorId="0" shapeId="0" xr:uid="{00000000-0006-0000-0300-0000F3020000}">
      <text>
        <r>
          <rPr>
            <sz val="10"/>
            <color rgb="FF000000"/>
            <rFont val="Arial"/>
            <scheme val="minor"/>
          </rPr>
          <t>Responder updated this value.</t>
        </r>
      </text>
    </comment>
    <comment ref="N37" authorId="0" shapeId="0" xr:uid="{00000000-0006-0000-0300-0000F4020000}">
      <text>
        <r>
          <rPr>
            <sz val="10"/>
            <color rgb="FF000000"/>
            <rFont val="Arial"/>
            <scheme val="minor"/>
          </rPr>
          <t>Responder updated this value.</t>
        </r>
      </text>
    </comment>
    <comment ref="O37" authorId="0" shapeId="0" xr:uid="{00000000-0006-0000-0300-0000F5020000}">
      <text>
        <r>
          <rPr>
            <sz val="10"/>
            <color rgb="FF000000"/>
            <rFont val="Arial"/>
            <scheme val="minor"/>
          </rPr>
          <t>Responder updated this value.</t>
        </r>
      </text>
    </comment>
    <comment ref="P37" authorId="0" shapeId="0" xr:uid="{00000000-0006-0000-0300-0000F6020000}">
      <text>
        <r>
          <rPr>
            <sz val="10"/>
            <color rgb="FF000000"/>
            <rFont val="Arial"/>
            <scheme val="minor"/>
          </rPr>
          <t>Responder updated this value.</t>
        </r>
      </text>
    </comment>
    <comment ref="Q37" authorId="0" shapeId="0" xr:uid="{00000000-0006-0000-0300-0000F7020000}">
      <text>
        <r>
          <rPr>
            <sz val="10"/>
            <color rgb="FF000000"/>
            <rFont val="Arial"/>
            <scheme val="minor"/>
          </rPr>
          <t>Responder updated this value.</t>
        </r>
      </text>
    </comment>
    <comment ref="R37" authorId="0" shapeId="0" xr:uid="{00000000-0006-0000-0300-0000F8020000}">
      <text>
        <r>
          <rPr>
            <sz val="10"/>
            <color rgb="FF000000"/>
            <rFont val="Arial"/>
            <scheme val="minor"/>
          </rPr>
          <t>Responder updated this value.</t>
        </r>
      </text>
    </comment>
    <comment ref="S37" authorId="0" shapeId="0" xr:uid="{00000000-0006-0000-0300-0000F9020000}">
      <text>
        <r>
          <rPr>
            <sz val="10"/>
            <color rgb="FF000000"/>
            <rFont val="Arial"/>
            <scheme val="minor"/>
          </rPr>
          <t>Responder updated this value.</t>
        </r>
      </text>
    </comment>
    <comment ref="T37" authorId="0" shapeId="0" xr:uid="{00000000-0006-0000-0300-0000FA020000}">
      <text>
        <r>
          <rPr>
            <sz val="10"/>
            <color rgb="FF000000"/>
            <rFont val="Arial"/>
            <scheme val="minor"/>
          </rPr>
          <t>Responder updated this value.</t>
        </r>
      </text>
    </comment>
    <comment ref="U37" authorId="0" shapeId="0" xr:uid="{00000000-0006-0000-0300-0000FB020000}">
      <text>
        <r>
          <rPr>
            <sz val="10"/>
            <color rgb="FF000000"/>
            <rFont val="Arial"/>
            <scheme val="minor"/>
          </rPr>
          <t>Responder updated this value.</t>
        </r>
      </text>
    </comment>
    <comment ref="V37" authorId="0" shapeId="0" xr:uid="{00000000-0006-0000-0300-0000FC020000}">
      <text>
        <r>
          <rPr>
            <sz val="10"/>
            <color rgb="FF000000"/>
            <rFont val="Arial"/>
            <scheme val="minor"/>
          </rPr>
          <t>Responder updated this value.</t>
        </r>
      </text>
    </comment>
    <comment ref="W37" authorId="0" shapeId="0" xr:uid="{00000000-0006-0000-0300-0000FD020000}">
      <text>
        <r>
          <rPr>
            <sz val="10"/>
            <color rgb="FF000000"/>
            <rFont val="Arial"/>
            <scheme val="minor"/>
          </rPr>
          <t>Responder updated this value.</t>
        </r>
      </text>
    </comment>
    <comment ref="X37" authorId="0" shapeId="0" xr:uid="{00000000-0006-0000-0300-0000FE020000}">
      <text>
        <r>
          <rPr>
            <sz val="10"/>
            <color rgb="FF000000"/>
            <rFont val="Arial"/>
            <scheme val="minor"/>
          </rPr>
          <t>Responder updated this value.</t>
        </r>
      </text>
    </comment>
    <comment ref="AC37" authorId="0" shapeId="0" xr:uid="{00000000-0006-0000-0300-0000FF020000}">
      <text>
        <r>
          <rPr>
            <sz val="10"/>
            <color rgb="FF000000"/>
            <rFont val="Arial"/>
            <scheme val="minor"/>
          </rPr>
          <t>Responder updated this value.</t>
        </r>
      </text>
    </comment>
    <comment ref="AD37" authorId="0" shapeId="0" xr:uid="{00000000-0006-0000-0300-000000030000}">
      <text>
        <r>
          <rPr>
            <sz val="10"/>
            <color rgb="FF000000"/>
            <rFont val="Arial"/>
            <scheme val="minor"/>
          </rPr>
          <t>Responder updated this value.</t>
        </r>
      </text>
    </comment>
    <comment ref="AE37" authorId="0" shapeId="0" xr:uid="{00000000-0006-0000-0300-000001030000}">
      <text>
        <r>
          <rPr>
            <sz val="10"/>
            <color rgb="FF000000"/>
            <rFont val="Arial"/>
            <scheme val="minor"/>
          </rPr>
          <t>Responder updated this value.</t>
        </r>
      </text>
    </comment>
    <comment ref="AF37" authorId="0" shapeId="0" xr:uid="{00000000-0006-0000-0300-000002030000}">
      <text>
        <r>
          <rPr>
            <sz val="10"/>
            <color rgb="FF000000"/>
            <rFont val="Arial"/>
            <scheme val="minor"/>
          </rPr>
          <t>Responder updated this value.</t>
        </r>
      </text>
    </comment>
    <comment ref="AG37" authorId="0" shapeId="0" xr:uid="{00000000-0006-0000-0300-000003030000}">
      <text>
        <r>
          <rPr>
            <sz val="10"/>
            <color rgb="FF000000"/>
            <rFont val="Arial"/>
            <scheme val="minor"/>
          </rPr>
          <t>Responder updated this value.</t>
        </r>
      </text>
    </comment>
    <comment ref="AH37" authorId="0" shapeId="0" xr:uid="{00000000-0006-0000-0300-000004030000}">
      <text>
        <r>
          <rPr>
            <sz val="10"/>
            <color rgb="FF000000"/>
            <rFont val="Arial"/>
            <scheme val="minor"/>
          </rPr>
          <t>Responder updated this value.</t>
        </r>
      </text>
    </comment>
    <comment ref="AI37" authorId="0" shapeId="0" xr:uid="{00000000-0006-0000-0300-000005030000}">
      <text>
        <r>
          <rPr>
            <sz val="10"/>
            <color rgb="FF000000"/>
            <rFont val="Arial"/>
            <scheme val="minor"/>
          </rPr>
          <t>Responder updated this value.</t>
        </r>
      </text>
    </comment>
    <comment ref="AJ37" authorId="0" shapeId="0" xr:uid="{00000000-0006-0000-0300-000006030000}">
      <text>
        <r>
          <rPr>
            <sz val="10"/>
            <color rgb="FF000000"/>
            <rFont val="Arial"/>
            <scheme val="minor"/>
          </rPr>
          <t>Responder updated this value.</t>
        </r>
      </text>
    </comment>
    <comment ref="AK37" authorId="0" shapeId="0" xr:uid="{00000000-0006-0000-0300-000007030000}">
      <text>
        <r>
          <rPr>
            <sz val="10"/>
            <color rgb="FF000000"/>
            <rFont val="Arial"/>
            <scheme val="minor"/>
          </rPr>
          <t>Responder updated this value.</t>
        </r>
      </text>
    </comment>
    <comment ref="AL37" authorId="0" shapeId="0" xr:uid="{00000000-0006-0000-0300-000008030000}">
      <text>
        <r>
          <rPr>
            <sz val="10"/>
            <color rgb="FF000000"/>
            <rFont val="Arial"/>
            <scheme val="minor"/>
          </rPr>
          <t>Responder updated this value.</t>
        </r>
      </text>
    </comment>
    <comment ref="AM37" authorId="0" shapeId="0" xr:uid="{00000000-0006-0000-0300-000009030000}">
      <text>
        <r>
          <rPr>
            <sz val="10"/>
            <color rgb="FF000000"/>
            <rFont val="Arial"/>
            <scheme val="minor"/>
          </rPr>
          <t>Responder updated this value.</t>
        </r>
      </text>
    </comment>
    <comment ref="AN37" authorId="0" shapeId="0" xr:uid="{00000000-0006-0000-0300-00000A030000}">
      <text>
        <r>
          <rPr>
            <sz val="10"/>
            <color rgb="FF000000"/>
            <rFont val="Arial"/>
            <scheme val="minor"/>
          </rPr>
          <t>Responder updated this value.</t>
        </r>
      </text>
    </comment>
    <comment ref="AO37" authorId="0" shapeId="0" xr:uid="{00000000-0006-0000-0300-00000B030000}">
      <text>
        <r>
          <rPr>
            <sz val="10"/>
            <color rgb="FF000000"/>
            <rFont val="Arial"/>
            <scheme val="minor"/>
          </rPr>
          <t>Responder updated this value.</t>
        </r>
      </text>
    </comment>
    <comment ref="AP37" authorId="0" shapeId="0" xr:uid="{00000000-0006-0000-0300-00000C030000}">
      <text>
        <r>
          <rPr>
            <sz val="10"/>
            <color rgb="FF000000"/>
            <rFont val="Arial"/>
            <scheme val="minor"/>
          </rPr>
          <t>Responder updated this value.</t>
        </r>
      </text>
    </comment>
    <comment ref="AQ37" authorId="0" shapeId="0" xr:uid="{00000000-0006-0000-0300-00000D030000}">
      <text>
        <r>
          <rPr>
            <sz val="10"/>
            <color rgb="FF000000"/>
            <rFont val="Arial"/>
            <scheme val="minor"/>
          </rPr>
          <t>Responder updated this value.</t>
        </r>
      </text>
    </comment>
    <comment ref="AR37" authorId="0" shapeId="0" xr:uid="{00000000-0006-0000-0300-00000E030000}">
      <text>
        <r>
          <rPr>
            <sz val="10"/>
            <color rgb="FF000000"/>
            <rFont val="Arial"/>
            <scheme val="minor"/>
          </rPr>
          <t>Responder updated this value.</t>
        </r>
      </text>
    </comment>
    <comment ref="AS37" authorId="0" shapeId="0" xr:uid="{00000000-0006-0000-0300-00000F030000}">
      <text>
        <r>
          <rPr>
            <sz val="10"/>
            <color rgb="FF000000"/>
            <rFont val="Arial"/>
            <scheme val="minor"/>
          </rPr>
          <t>Responder updated this value.</t>
        </r>
      </text>
    </comment>
    <comment ref="AT37" authorId="0" shapeId="0" xr:uid="{00000000-0006-0000-0300-000010030000}">
      <text>
        <r>
          <rPr>
            <sz val="10"/>
            <color rgb="FF000000"/>
            <rFont val="Arial"/>
            <scheme val="minor"/>
          </rPr>
          <t>Responder updated this value.</t>
        </r>
      </text>
    </comment>
    <comment ref="AU37" authorId="0" shapeId="0" xr:uid="{00000000-0006-0000-0300-000011030000}">
      <text>
        <r>
          <rPr>
            <sz val="10"/>
            <color rgb="FF000000"/>
            <rFont val="Arial"/>
            <scheme val="minor"/>
          </rPr>
          <t>Responder updated this value.</t>
        </r>
      </text>
    </comment>
    <comment ref="D38" authorId="0" shapeId="0" xr:uid="{00000000-0006-0000-0300-000012030000}">
      <text>
        <r>
          <rPr>
            <sz val="10"/>
            <color rgb="FF000000"/>
            <rFont val="Arial"/>
            <scheme val="minor"/>
          </rPr>
          <t>Responder updated this value.</t>
        </r>
      </text>
    </comment>
    <comment ref="I38" authorId="0" shapeId="0" xr:uid="{00000000-0006-0000-0300-000013030000}">
      <text>
        <r>
          <rPr>
            <sz val="10"/>
            <color rgb="FF000000"/>
            <rFont val="Arial"/>
            <scheme val="minor"/>
          </rPr>
          <t>Responder updated this value.</t>
        </r>
      </text>
    </comment>
    <comment ref="K38" authorId="0" shapeId="0" xr:uid="{00000000-0006-0000-0300-000014030000}">
      <text>
        <r>
          <rPr>
            <sz val="10"/>
            <color rgb="FF000000"/>
            <rFont val="Arial"/>
            <scheme val="minor"/>
          </rPr>
          <t>Responder updated this value.</t>
        </r>
      </text>
    </comment>
    <comment ref="N38" authorId="0" shapeId="0" xr:uid="{00000000-0006-0000-0300-000015030000}">
      <text>
        <r>
          <rPr>
            <sz val="10"/>
            <color rgb="FF000000"/>
            <rFont val="Arial"/>
            <scheme val="minor"/>
          </rPr>
          <t>Responder updated this value.</t>
        </r>
      </text>
    </comment>
    <comment ref="O38" authorId="0" shapeId="0" xr:uid="{00000000-0006-0000-0300-000016030000}">
      <text>
        <r>
          <rPr>
            <sz val="10"/>
            <color rgb="FF000000"/>
            <rFont val="Arial"/>
            <scheme val="minor"/>
          </rPr>
          <t>Responder updated this value.</t>
        </r>
      </text>
    </comment>
    <comment ref="P38" authorId="0" shapeId="0" xr:uid="{00000000-0006-0000-0300-000017030000}">
      <text>
        <r>
          <rPr>
            <sz val="10"/>
            <color rgb="FF000000"/>
            <rFont val="Arial"/>
            <scheme val="minor"/>
          </rPr>
          <t>Responder updated this value.</t>
        </r>
      </text>
    </comment>
    <comment ref="Q38" authorId="0" shapeId="0" xr:uid="{00000000-0006-0000-0300-000018030000}">
      <text>
        <r>
          <rPr>
            <sz val="10"/>
            <color rgb="FF000000"/>
            <rFont val="Arial"/>
            <scheme val="minor"/>
          </rPr>
          <t>Responder updated this value.</t>
        </r>
      </text>
    </comment>
    <comment ref="R38" authorId="0" shapeId="0" xr:uid="{00000000-0006-0000-0300-000019030000}">
      <text>
        <r>
          <rPr>
            <sz val="10"/>
            <color rgb="FF000000"/>
            <rFont val="Arial"/>
            <scheme val="minor"/>
          </rPr>
          <t>Responder updated this value.</t>
        </r>
      </text>
    </comment>
    <comment ref="S38" authorId="0" shapeId="0" xr:uid="{00000000-0006-0000-0300-00001A030000}">
      <text>
        <r>
          <rPr>
            <sz val="10"/>
            <color rgb="FF000000"/>
            <rFont val="Arial"/>
            <scheme val="minor"/>
          </rPr>
          <t>Responder updated this value.</t>
        </r>
      </text>
    </comment>
    <comment ref="T38" authorId="0" shapeId="0" xr:uid="{00000000-0006-0000-0300-00001B030000}">
      <text>
        <r>
          <rPr>
            <sz val="10"/>
            <color rgb="FF000000"/>
            <rFont val="Arial"/>
            <scheme val="minor"/>
          </rPr>
          <t>Responder updated this value.</t>
        </r>
      </text>
    </comment>
    <comment ref="U38" authorId="0" shapeId="0" xr:uid="{00000000-0006-0000-0300-00001C030000}">
      <text>
        <r>
          <rPr>
            <sz val="10"/>
            <color rgb="FF000000"/>
            <rFont val="Arial"/>
            <scheme val="minor"/>
          </rPr>
          <t>Responder updated this value.</t>
        </r>
      </text>
    </comment>
    <comment ref="V38" authorId="0" shapeId="0" xr:uid="{00000000-0006-0000-0300-00001D030000}">
      <text>
        <r>
          <rPr>
            <sz val="10"/>
            <color rgb="FF000000"/>
            <rFont val="Arial"/>
            <scheme val="minor"/>
          </rPr>
          <t>Responder updated this value.</t>
        </r>
      </text>
    </comment>
    <comment ref="W38" authorId="0" shapeId="0" xr:uid="{00000000-0006-0000-0300-00001E030000}">
      <text>
        <r>
          <rPr>
            <sz val="10"/>
            <color rgb="FF000000"/>
            <rFont val="Arial"/>
            <scheme val="minor"/>
          </rPr>
          <t>Responder updated this value.</t>
        </r>
      </text>
    </comment>
    <comment ref="AC38" authorId="0" shapeId="0" xr:uid="{00000000-0006-0000-0300-00001F030000}">
      <text>
        <r>
          <rPr>
            <sz val="10"/>
            <color rgb="FF000000"/>
            <rFont val="Arial"/>
            <scheme val="minor"/>
          </rPr>
          <t>Responder updated this value.</t>
        </r>
      </text>
    </comment>
    <comment ref="AD38" authorId="0" shapeId="0" xr:uid="{00000000-0006-0000-0300-000020030000}">
      <text>
        <r>
          <rPr>
            <sz val="10"/>
            <color rgb="FF000000"/>
            <rFont val="Arial"/>
            <scheme val="minor"/>
          </rPr>
          <t>Responder updated this value.</t>
        </r>
      </text>
    </comment>
    <comment ref="AE38" authorId="0" shapeId="0" xr:uid="{00000000-0006-0000-0300-000021030000}">
      <text>
        <r>
          <rPr>
            <sz val="10"/>
            <color rgb="FF000000"/>
            <rFont val="Arial"/>
            <scheme val="minor"/>
          </rPr>
          <t>Responder updated this value.</t>
        </r>
      </text>
    </comment>
    <comment ref="AF38" authorId="0" shapeId="0" xr:uid="{00000000-0006-0000-0300-000022030000}">
      <text>
        <r>
          <rPr>
            <sz val="10"/>
            <color rgb="FF000000"/>
            <rFont val="Arial"/>
            <scheme val="minor"/>
          </rPr>
          <t>Responder updated this value.</t>
        </r>
      </text>
    </comment>
    <comment ref="AG38" authorId="0" shapeId="0" xr:uid="{00000000-0006-0000-0300-000023030000}">
      <text>
        <r>
          <rPr>
            <sz val="10"/>
            <color rgb="FF000000"/>
            <rFont val="Arial"/>
            <scheme val="minor"/>
          </rPr>
          <t>Responder updated this value.</t>
        </r>
      </text>
    </comment>
    <comment ref="AH38" authorId="0" shapeId="0" xr:uid="{00000000-0006-0000-0300-000024030000}">
      <text>
        <r>
          <rPr>
            <sz val="10"/>
            <color rgb="FF000000"/>
            <rFont val="Arial"/>
            <scheme val="minor"/>
          </rPr>
          <t>Responder updated this value.</t>
        </r>
      </text>
    </comment>
    <comment ref="AI38" authorId="0" shapeId="0" xr:uid="{00000000-0006-0000-0300-000025030000}">
      <text>
        <r>
          <rPr>
            <sz val="10"/>
            <color rgb="FF000000"/>
            <rFont val="Arial"/>
            <scheme val="minor"/>
          </rPr>
          <t>Responder updated this value.</t>
        </r>
      </text>
    </comment>
    <comment ref="AJ38" authorId="0" shapeId="0" xr:uid="{00000000-0006-0000-0300-000026030000}">
      <text>
        <r>
          <rPr>
            <sz val="10"/>
            <color rgb="FF000000"/>
            <rFont val="Arial"/>
            <scheme val="minor"/>
          </rPr>
          <t>Responder updated this value.</t>
        </r>
      </text>
    </comment>
    <comment ref="AK38" authorId="0" shapeId="0" xr:uid="{00000000-0006-0000-0300-000027030000}">
      <text>
        <r>
          <rPr>
            <sz val="10"/>
            <color rgb="FF000000"/>
            <rFont val="Arial"/>
            <scheme val="minor"/>
          </rPr>
          <t>Responder updated this value.</t>
        </r>
      </text>
    </comment>
    <comment ref="AL38" authorId="0" shapeId="0" xr:uid="{00000000-0006-0000-0300-000028030000}">
      <text>
        <r>
          <rPr>
            <sz val="10"/>
            <color rgb="FF000000"/>
            <rFont val="Arial"/>
            <scheme val="minor"/>
          </rPr>
          <t>Responder updated this value.</t>
        </r>
      </text>
    </comment>
    <comment ref="AM38" authorId="0" shapeId="0" xr:uid="{00000000-0006-0000-0300-000029030000}">
      <text>
        <r>
          <rPr>
            <sz val="10"/>
            <color rgb="FF000000"/>
            <rFont val="Arial"/>
            <scheme val="minor"/>
          </rPr>
          <t>Responder updated this value.</t>
        </r>
      </text>
    </comment>
    <comment ref="AN38" authorId="0" shapeId="0" xr:uid="{00000000-0006-0000-0300-00002A030000}">
      <text>
        <r>
          <rPr>
            <sz val="10"/>
            <color rgb="FF000000"/>
            <rFont val="Arial"/>
            <scheme val="minor"/>
          </rPr>
          <t>Responder updated this value.</t>
        </r>
      </text>
    </comment>
    <comment ref="AO38" authorId="0" shapeId="0" xr:uid="{00000000-0006-0000-0300-00002B030000}">
      <text>
        <r>
          <rPr>
            <sz val="10"/>
            <color rgb="FF000000"/>
            <rFont val="Arial"/>
            <scheme val="minor"/>
          </rPr>
          <t>Responder updated this value.</t>
        </r>
      </text>
    </comment>
    <comment ref="AP38" authorId="0" shapeId="0" xr:uid="{00000000-0006-0000-0300-00002C030000}">
      <text>
        <r>
          <rPr>
            <sz val="10"/>
            <color rgb="FF000000"/>
            <rFont val="Arial"/>
            <scheme val="minor"/>
          </rPr>
          <t>Responder updated this value.</t>
        </r>
      </text>
    </comment>
    <comment ref="AQ38" authorId="0" shapeId="0" xr:uid="{00000000-0006-0000-0300-00002D030000}">
      <text>
        <r>
          <rPr>
            <sz val="10"/>
            <color rgb="FF000000"/>
            <rFont val="Arial"/>
            <scheme val="minor"/>
          </rPr>
          <t>Responder updated this value.</t>
        </r>
      </text>
    </comment>
    <comment ref="AR38" authorId="0" shapeId="0" xr:uid="{00000000-0006-0000-0300-00002E030000}">
      <text>
        <r>
          <rPr>
            <sz val="10"/>
            <color rgb="FF000000"/>
            <rFont val="Arial"/>
            <scheme val="minor"/>
          </rPr>
          <t>Responder updated this value.</t>
        </r>
      </text>
    </comment>
    <comment ref="AS38" authorId="0" shapeId="0" xr:uid="{00000000-0006-0000-0300-00002F030000}">
      <text>
        <r>
          <rPr>
            <sz val="10"/>
            <color rgb="FF000000"/>
            <rFont val="Arial"/>
            <scheme val="minor"/>
          </rPr>
          <t>Responder updated this value.</t>
        </r>
      </text>
    </comment>
    <comment ref="AT38" authorId="0" shapeId="0" xr:uid="{00000000-0006-0000-0300-000030030000}">
      <text>
        <r>
          <rPr>
            <sz val="10"/>
            <color rgb="FF000000"/>
            <rFont val="Arial"/>
            <scheme val="minor"/>
          </rPr>
          <t>Responder updated this value.</t>
        </r>
      </text>
    </comment>
    <comment ref="AU38" authorId="0" shapeId="0" xr:uid="{00000000-0006-0000-0300-000031030000}">
      <text>
        <r>
          <rPr>
            <sz val="10"/>
            <color rgb="FF000000"/>
            <rFont val="Arial"/>
            <scheme val="minor"/>
          </rPr>
          <t>Responder updated this value.</t>
        </r>
      </text>
    </comment>
    <comment ref="D39" authorId="0" shapeId="0" xr:uid="{00000000-0006-0000-0300-000032030000}">
      <text>
        <r>
          <rPr>
            <sz val="10"/>
            <color rgb="FF000000"/>
            <rFont val="Arial"/>
            <scheme val="minor"/>
          </rPr>
          <t>Responder updated this value.</t>
        </r>
      </text>
    </comment>
    <comment ref="K39" authorId="0" shapeId="0" xr:uid="{00000000-0006-0000-0300-000033030000}">
      <text>
        <r>
          <rPr>
            <sz val="10"/>
            <color rgb="FF000000"/>
            <rFont val="Arial"/>
            <scheme val="minor"/>
          </rPr>
          <t>Responder updated this value.</t>
        </r>
      </text>
    </comment>
    <comment ref="N39" authorId="0" shapeId="0" xr:uid="{00000000-0006-0000-0300-000034030000}">
      <text>
        <r>
          <rPr>
            <sz val="10"/>
            <color rgb="FF000000"/>
            <rFont val="Arial"/>
            <scheme val="minor"/>
          </rPr>
          <t>Responder updated this value.</t>
        </r>
      </text>
    </comment>
    <comment ref="O39" authorId="0" shapeId="0" xr:uid="{00000000-0006-0000-0300-000035030000}">
      <text>
        <r>
          <rPr>
            <sz val="10"/>
            <color rgb="FF000000"/>
            <rFont val="Arial"/>
            <scheme val="minor"/>
          </rPr>
          <t>Responder updated this value.</t>
        </r>
      </text>
    </comment>
    <comment ref="P39" authorId="0" shapeId="0" xr:uid="{00000000-0006-0000-0300-000036030000}">
      <text>
        <r>
          <rPr>
            <sz val="10"/>
            <color rgb="FF000000"/>
            <rFont val="Arial"/>
            <scheme val="minor"/>
          </rPr>
          <t>Responder updated this value.</t>
        </r>
      </text>
    </comment>
    <comment ref="Q39" authorId="0" shapeId="0" xr:uid="{00000000-0006-0000-0300-000037030000}">
      <text>
        <r>
          <rPr>
            <sz val="10"/>
            <color rgb="FF000000"/>
            <rFont val="Arial"/>
            <scheme val="minor"/>
          </rPr>
          <t>Responder updated this value.</t>
        </r>
      </text>
    </comment>
    <comment ref="R39" authorId="0" shapeId="0" xr:uid="{00000000-0006-0000-0300-000038030000}">
      <text>
        <r>
          <rPr>
            <sz val="10"/>
            <color rgb="FF000000"/>
            <rFont val="Arial"/>
            <scheme val="minor"/>
          </rPr>
          <t>Responder updated this value.</t>
        </r>
      </text>
    </comment>
    <comment ref="S39" authorId="0" shapeId="0" xr:uid="{00000000-0006-0000-0300-000039030000}">
      <text>
        <r>
          <rPr>
            <sz val="10"/>
            <color rgb="FF000000"/>
            <rFont val="Arial"/>
            <scheme val="minor"/>
          </rPr>
          <t>Responder updated this value.</t>
        </r>
      </text>
    </comment>
    <comment ref="T39" authorId="0" shapeId="0" xr:uid="{00000000-0006-0000-0300-00003A030000}">
      <text>
        <r>
          <rPr>
            <sz val="10"/>
            <color rgb="FF000000"/>
            <rFont val="Arial"/>
            <scheme val="minor"/>
          </rPr>
          <t>Responder updated this value.</t>
        </r>
      </text>
    </comment>
    <comment ref="U39" authorId="0" shapeId="0" xr:uid="{00000000-0006-0000-0300-00003B030000}">
      <text>
        <r>
          <rPr>
            <sz val="10"/>
            <color rgb="FF000000"/>
            <rFont val="Arial"/>
            <scheme val="minor"/>
          </rPr>
          <t>Responder updated this value.</t>
        </r>
      </text>
    </comment>
    <comment ref="V39" authorId="0" shapeId="0" xr:uid="{00000000-0006-0000-0300-00003C030000}">
      <text>
        <r>
          <rPr>
            <sz val="10"/>
            <color rgb="FF000000"/>
            <rFont val="Arial"/>
            <scheme val="minor"/>
          </rPr>
          <t>Responder updated this value.</t>
        </r>
      </text>
    </comment>
    <comment ref="W39" authorId="0" shapeId="0" xr:uid="{00000000-0006-0000-0300-00003D030000}">
      <text>
        <r>
          <rPr>
            <sz val="10"/>
            <color rgb="FF000000"/>
            <rFont val="Arial"/>
            <scheme val="minor"/>
          </rPr>
          <t>Responder updated this value.</t>
        </r>
      </text>
    </comment>
    <comment ref="AC39" authorId="0" shapeId="0" xr:uid="{00000000-0006-0000-0300-00003E030000}">
      <text>
        <r>
          <rPr>
            <sz val="10"/>
            <color rgb="FF000000"/>
            <rFont val="Arial"/>
            <scheme val="minor"/>
          </rPr>
          <t>Responder updated this value.</t>
        </r>
      </text>
    </comment>
    <comment ref="AD39" authorId="0" shapeId="0" xr:uid="{00000000-0006-0000-0300-00003F030000}">
      <text>
        <r>
          <rPr>
            <sz val="10"/>
            <color rgb="FF000000"/>
            <rFont val="Arial"/>
            <scheme val="minor"/>
          </rPr>
          <t>Responder updated this value.</t>
        </r>
      </text>
    </comment>
    <comment ref="AE39" authorId="0" shapeId="0" xr:uid="{00000000-0006-0000-0300-000040030000}">
      <text>
        <r>
          <rPr>
            <sz val="10"/>
            <color rgb="FF000000"/>
            <rFont val="Arial"/>
            <scheme val="minor"/>
          </rPr>
          <t>Responder updated this value.</t>
        </r>
      </text>
    </comment>
    <comment ref="AF39" authorId="0" shapeId="0" xr:uid="{00000000-0006-0000-0300-000041030000}">
      <text>
        <r>
          <rPr>
            <sz val="10"/>
            <color rgb="FF000000"/>
            <rFont val="Arial"/>
            <scheme val="minor"/>
          </rPr>
          <t>Responder updated this value.</t>
        </r>
      </text>
    </comment>
    <comment ref="AG39" authorId="0" shapeId="0" xr:uid="{00000000-0006-0000-0300-000042030000}">
      <text>
        <r>
          <rPr>
            <sz val="10"/>
            <color rgb="FF000000"/>
            <rFont val="Arial"/>
            <scheme val="minor"/>
          </rPr>
          <t>Responder updated this value.</t>
        </r>
      </text>
    </comment>
    <comment ref="AH39" authorId="0" shapeId="0" xr:uid="{00000000-0006-0000-0300-000043030000}">
      <text>
        <r>
          <rPr>
            <sz val="10"/>
            <color rgb="FF000000"/>
            <rFont val="Arial"/>
            <scheme val="minor"/>
          </rPr>
          <t>Responder updated this value.</t>
        </r>
      </text>
    </comment>
    <comment ref="AI39" authorId="0" shapeId="0" xr:uid="{00000000-0006-0000-0300-000044030000}">
      <text>
        <r>
          <rPr>
            <sz val="10"/>
            <color rgb="FF000000"/>
            <rFont val="Arial"/>
            <scheme val="minor"/>
          </rPr>
          <t>Responder updated this value.</t>
        </r>
      </text>
    </comment>
    <comment ref="AJ39" authorId="0" shapeId="0" xr:uid="{00000000-0006-0000-0300-000045030000}">
      <text>
        <r>
          <rPr>
            <sz val="10"/>
            <color rgb="FF000000"/>
            <rFont val="Arial"/>
            <scheme val="minor"/>
          </rPr>
          <t>Responder updated this value.</t>
        </r>
      </text>
    </comment>
    <comment ref="AK39" authorId="0" shapeId="0" xr:uid="{00000000-0006-0000-0300-000046030000}">
      <text>
        <r>
          <rPr>
            <sz val="10"/>
            <color rgb="FF000000"/>
            <rFont val="Arial"/>
            <scheme val="minor"/>
          </rPr>
          <t>Responder updated this value.</t>
        </r>
      </text>
    </comment>
    <comment ref="AL39" authorId="0" shapeId="0" xr:uid="{00000000-0006-0000-0300-000047030000}">
      <text>
        <r>
          <rPr>
            <sz val="10"/>
            <color rgb="FF000000"/>
            <rFont val="Arial"/>
            <scheme val="minor"/>
          </rPr>
          <t>Responder updated this value.</t>
        </r>
      </text>
    </comment>
    <comment ref="AM39" authorId="0" shapeId="0" xr:uid="{00000000-0006-0000-0300-000048030000}">
      <text>
        <r>
          <rPr>
            <sz val="10"/>
            <color rgb="FF000000"/>
            <rFont val="Arial"/>
            <scheme val="minor"/>
          </rPr>
          <t>Responder updated this value.</t>
        </r>
      </text>
    </comment>
    <comment ref="AN39" authorId="0" shapeId="0" xr:uid="{00000000-0006-0000-0300-000049030000}">
      <text>
        <r>
          <rPr>
            <sz val="10"/>
            <color rgb="FF000000"/>
            <rFont val="Arial"/>
            <scheme val="minor"/>
          </rPr>
          <t>Responder updated this value.</t>
        </r>
      </text>
    </comment>
    <comment ref="AO39" authorId="0" shapeId="0" xr:uid="{00000000-0006-0000-0300-00004A030000}">
      <text>
        <r>
          <rPr>
            <sz val="10"/>
            <color rgb="FF000000"/>
            <rFont val="Arial"/>
            <scheme val="minor"/>
          </rPr>
          <t>Responder updated this value.</t>
        </r>
      </text>
    </comment>
    <comment ref="AP39" authorId="0" shapeId="0" xr:uid="{00000000-0006-0000-0300-00004B030000}">
      <text>
        <r>
          <rPr>
            <sz val="10"/>
            <color rgb="FF000000"/>
            <rFont val="Arial"/>
            <scheme val="minor"/>
          </rPr>
          <t>Responder updated this value.</t>
        </r>
      </text>
    </comment>
    <comment ref="AQ39" authorId="0" shapeId="0" xr:uid="{00000000-0006-0000-0300-00004C030000}">
      <text>
        <r>
          <rPr>
            <sz val="10"/>
            <color rgb="FF000000"/>
            <rFont val="Arial"/>
            <scheme val="minor"/>
          </rPr>
          <t>Responder updated this value.</t>
        </r>
      </text>
    </comment>
    <comment ref="AR39" authorId="0" shapeId="0" xr:uid="{00000000-0006-0000-0300-00004D030000}">
      <text>
        <r>
          <rPr>
            <sz val="10"/>
            <color rgb="FF000000"/>
            <rFont val="Arial"/>
            <scheme val="minor"/>
          </rPr>
          <t>Responder updated this value.</t>
        </r>
      </text>
    </comment>
    <comment ref="AS39" authorId="0" shapeId="0" xr:uid="{00000000-0006-0000-0300-00004E030000}">
      <text>
        <r>
          <rPr>
            <sz val="10"/>
            <color rgb="FF000000"/>
            <rFont val="Arial"/>
            <scheme val="minor"/>
          </rPr>
          <t>Responder updated this value.</t>
        </r>
      </text>
    </comment>
    <comment ref="AT39" authorId="0" shapeId="0" xr:uid="{00000000-0006-0000-0300-00004F030000}">
      <text>
        <r>
          <rPr>
            <sz val="10"/>
            <color rgb="FF000000"/>
            <rFont val="Arial"/>
            <scheme val="minor"/>
          </rPr>
          <t>Responder updated this value.</t>
        </r>
      </text>
    </comment>
    <comment ref="AU39" authorId="0" shapeId="0" xr:uid="{00000000-0006-0000-0300-000050030000}">
      <text>
        <r>
          <rPr>
            <sz val="10"/>
            <color rgb="FF000000"/>
            <rFont val="Arial"/>
            <scheme val="minor"/>
          </rPr>
          <t>Responder updated this value.</t>
        </r>
      </text>
    </comment>
    <comment ref="D40" authorId="0" shapeId="0" xr:uid="{00000000-0006-0000-0300-000051030000}">
      <text>
        <r>
          <rPr>
            <sz val="10"/>
            <color rgb="FF000000"/>
            <rFont val="Arial"/>
            <scheme val="minor"/>
          </rPr>
          <t>Responder updated this value.</t>
        </r>
      </text>
    </comment>
    <comment ref="N40" authorId="0" shapeId="0" xr:uid="{00000000-0006-0000-0300-000052030000}">
      <text>
        <r>
          <rPr>
            <sz val="10"/>
            <color rgb="FF000000"/>
            <rFont val="Arial"/>
            <scheme val="minor"/>
          </rPr>
          <t>Responder updated this value.</t>
        </r>
      </text>
    </comment>
    <comment ref="AC40" authorId="0" shapeId="0" xr:uid="{00000000-0006-0000-0300-000053030000}">
      <text>
        <r>
          <rPr>
            <sz val="10"/>
            <color rgb="FF000000"/>
            <rFont val="Arial"/>
            <scheme val="minor"/>
          </rPr>
          <t>Responder updated this value.</t>
        </r>
      </text>
    </comment>
    <comment ref="AD40" authorId="0" shapeId="0" xr:uid="{00000000-0006-0000-0300-000054030000}">
      <text>
        <r>
          <rPr>
            <sz val="10"/>
            <color rgb="FF000000"/>
            <rFont val="Arial"/>
            <scheme val="minor"/>
          </rPr>
          <t>Responder updated this value.</t>
        </r>
      </text>
    </comment>
    <comment ref="AE40" authorId="0" shapeId="0" xr:uid="{00000000-0006-0000-0300-000055030000}">
      <text>
        <r>
          <rPr>
            <sz val="10"/>
            <color rgb="FF000000"/>
            <rFont val="Arial"/>
            <scheme val="minor"/>
          </rPr>
          <t>Responder updated this value.</t>
        </r>
      </text>
    </comment>
    <comment ref="AF40" authorId="0" shapeId="0" xr:uid="{00000000-0006-0000-0300-000056030000}">
      <text>
        <r>
          <rPr>
            <sz val="10"/>
            <color rgb="FF000000"/>
            <rFont val="Arial"/>
            <scheme val="minor"/>
          </rPr>
          <t>Responder updated this value.</t>
        </r>
      </text>
    </comment>
    <comment ref="AG40" authorId="0" shapeId="0" xr:uid="{00000000-0006-0000-0300-000057030000}">
      <text>
        <r>
          <rPr>
            <sz val="10"/>
            <color rgb="FF000000"/>
            <rFont val="Arial"/>
            <scheme val="minor"/>
          </rPr>
          <t>Responder updated this value.</t>
        </r>
      </text>
    </comment>
    <comment ref="AH40" authorId="0" shapeId="0" xr:uid="{00000000-0006-0000-0300-000058030000}">
      <text>
        <r>
          <rPr>
            <sz val="10"/>
            <color rgb="FF000000"/>
            <rFont val="Arial"/>
            <scheme val="minor"/>
          </rPr>
          <t>Responder updated this value.</t>
        </r>
      </text>
    </comment>
    <comment ref="AI40" authorId="0" shapeId="0" xr:uid="{00000000-0006-0000-0300-000059030000}">
      <text>
        <r>
          <rPr>
            <sz val="10"/>
            <color rgb="FF000000"/>
            <rFont val="Arial"/>
            <scheme val="minor"/>
          </rPr>
          <t>Responder updated this value.</t>
        </r>
      </text>
    </comment>
    <comment ref="AJ40" authorId="0" shapeId="0" xr:uid="{00000000-0006-0000-0300-00005A030000}">
      <text>
        <r>
          <rPr>
            <sz val="10"/>
            <color rgb="FF000000"/>
            <rFont val="Arial"/>
            <scheme val="minor"/>
          </rPr>
          <t>Responder updated this value.</t>
        </r>
      </text>
    </comment>
    <comment ref="AK40" authorId="0" shapeId="0" xr:uid="{00000000-0006-0000-0300-00005B030000}">
      <text>
        <r>
          <rPr>
            <sz val="10"/>
            <color rgb="FF000000"/>
            <rFont val="Arial"/>
            <scheme val="minor"/>
          </rPr>
          <t>Responder updated this value.</t>
        </r>
      </text>
    </comment>
    <comment ref="AL40" authorId="0" shapeId="0" xr:uid="{00000000-0006-0000-0300-00005C030000}">
      <text>
        <r>
          <rPr>
            <sz val="10"/>
            <color rgb="FF000000"/>
            <rFont val="Arial"/>
            <scheme val="minor"/>
          </rPr>
          <t>Responder updated this value.</t>
        </r>
      </text>
    </comment>
    <comment ref="AM40" authorId="0" shapeId="0" xr:uid="{00000000-0006-0000-0300-00005D030000}">
      <text>
        <r>
          <rPr>
            <sz val="10"/>
            <color rgb="FF000000"/>
            <rFont val="Arial"/>
            <scheme val="minor"/>
          </rPr>
          <t>Responder updated this value.</t>
        </r>
      </text>
    </comment>
    <comment ref="AN40" authorId="0" shapeId="0" xr:uid="{00000000-0006-0000-0300-00005E030000}">
      <text>
        <r>
          <rPr>
            <sz val="10"/>
            <color rgb="FF000000"/>
            <rFont val="Arial"/>
            <scheme val="minor"/>
          </rPr>
          <t>Responder updated this value.</t>
        </r>
      </text>
    </comment>
    <comment ref="AO40" authorId="0" shapeId="0" xr:uid="{00000000-0006-0000-0300-00005F030000}">
      <text>
        <r>
          <rPr>
            <sz val="10"/>
            <color rgb="FF000000"/>
            <rFont val="Arial"/>
            <scheme val="minor"/>
          </rPr>
          <t>Responder updated this value.</t>
        </r>
      </text>
    </comment>
    <comment ref="AP40" authorId="0" shapeId="0" xr:uid="{00000000-0006-0000-0300-000060030000}">
      <text>
        <r>
          <rPr>
            <sz val="10"/>
            <color rgb="FF000000"/>
            <rFont val="Arial"/>
            <scheme val="minor"/>
          </rPr>
          <t>Responder updated this value.</t>
        </r>
      </text>
    </comment>
    <comment ref="AQ40" authorId="0" shapeId="0" xr:uid="{00000000-0006-0000-0300-000061030000}">
      <text>
        <r>
          <rPr>
            <sz val="10"/>
            <color rgb="FF000000"/>
            <rFont val="Arial"/>
            <scheme val="minor"/>
          </rPr>
          <t>Responder updated this value.</t>
        </r>
      </text>
    </comment>
    <comment ref="AR40" authorId="0" shapeId="0" xr:uid="{00000000-0006-0000-0300-000062030000}">
      <text>
        <r>
          <rPr>
            <sz val="10"/>
            <color rgb="FF000000"/>
            <rFont val="Arial"/>
            <scheme val="minor"/>
          </rPr>
          <t>Responder updated this value.</t>
        </r>
      </text>
    </comment>
    <comment ref="AS40" authorId="0" shapeId="0" xr:uid="{00000000-0006-0000-0300-000063030000}">
      <text>
        <r>
          <rPr>
            <sz val="10"/>
            <color rgb="FF000000"/>
            <rFont val="Arial"/>
            <scheme val="minor"/>
          </rPr>
          <t>Responder updated this value.</t>
        </r>
      </text>
    </comment>
    <comment ref="AT40" authorId="0" shapeId="0" xr:uid="{00000000-0006-0000-0300-000064030000}">
      <text>
        <r>
          <rPr>
            <sz val="10"/>
            <color rgb="FF000000"/>
            <rFont val="Arial"/>
            <scheme val="minor"/>
          </rPr>
          <t>Responder updated this value.</t>
        </r>
      </text>
    </comment>
    <comment ref="AU40" authorId="0" shapeId="0" xr:uid="{00000000-0006-0000-0300-000065030000}">
      <text>
        <r>
          <rPr>
            <sz val="10"/>
            <color rgb="FF000000"/>
            <rFont val="Arial"/>
            <scheme val="minor"/>
          </rPr>
          <t>Responder updated this value.</t>
        </r>
      </text>
    </comment>
    <comment ref="D41" authorId="0" shapeId="0" xr:uid="{00000000-0006-0000-0300-000066030000}">
      <text>
        <r>
          <rPr>
            <sz val="10"/>
            <color rgb="FF000000"/>
            <rFont val="Arial"/>
            <scheme val="minor"/>
          </rPr>
          <t>Responder updated this value.</t>
        </r>
      </text>
    </comment>
    <comment ref="U41" authorId="0" shapeId="0" xr:uid="{00000000-0006-0000-0300-000067030000}">
      <text>
        <r>
          <rPr>
            <sz val="10"/>
            <color rgb="FF000000"/>
            <rFont val="Arial"/>
            <scheme val="minor"/>
          </rPr>
          <t>Responder updated this value.</t>
        </r>
      </text>
    </comment>
    <comment ref="AE41" authorId="0" shapeId="0" xr:uid="{00000000-0006-0000-0300-000068030000}">
      <text>
        <r>
          <rPr>
            <sz val="10"/>
            <color rgb="FF000000"/>
            <rFont val="Arial"/>
            <scheme val="minor"/>
          </rPr>
          <t>Responder updated this value.</t>
        </r>
      </text>
    </comment>
    <comment ref="AH41" authorId="0" shapeId="0" xr:uid="{00000000-0006-0000-0300-000069030000}">
      <text>
        <r>
          <rPr>
            <sz val="10"/>
            <color rgb="FF000000"/>
            <rFont val="Arial"/>
            <scheme val="minor"/>
          </rPr>
          <t>Responder updated this value.</t>
        </r>
      </text>
    </comment>
    <comment ref="AI41" authorId="0" shapeId="0" xr:uid="{00000000-0006-0000-0300-00006A030000}">
      <text>
        <r>
          <rPr>
            <sz val="10"/>
            <color rgb="FF000000"/>
            <rFont val="Arial"/>
            <scheme val="minor"/>
          </rPr>
          <t>Responder updated this value.</t>
        </r>
      </text>
    </comment>
    <comment ref="AK41" authorId="0" shapeId="0" xr:uid="{00000000-0006-0000-0300-00006B030000}">
      <text>
        <r>
          <rPr>
            <sz val="10"/>
            <color rgb="FF000000"/>
            <rFont val="Arial"/>
            <scheme val="minor"/>
          </rPr>
          <t>Responder updated this value.</t>
        </r>
      </text>
    </comment>
    <comment ref="AM41" authorId="0" shapeId="0" xr:uid="{00000000-0006-0000-0300-00006C030000}">
      <text>
        <r>
          <rPr>
            <sz val="10"/>
            <color rgb="FF000000"/>
            <rFont val="Arial"/>
            <scheme val="minor"/>
          </rPr>
          <t>Responder updated this value.</t>
        </r>
      </text>
    </comment>
    <comment ref="AN41" authorId="0" shapeId="0" xr:uid="{00000000-0006-0000-0300-00006D030000}">
      <text>
        <r>
          <rPr>
            <sz val="10"/>
            <color rgb="FF000000"/>
            <rFont val="Arial"/>
            <scheme val="minor"/>
          </rPr>
          <t>Responder updated this value.</t>
        </r>
      </text>
    </comment>
    <comment ref="AO41" authorId="0" shapeId="0" xr:uid="{00000000-0006-0000-0300-00006E030000}">
      <text>
        <r>
          <rPr>
            <sz val="10"/>
            <color rgb="FF000000"/>
            <rFont val="Arial"/>
            <scheme val="minor"/>
          </rPr>
          <t>Responder updated this value.</t>
        </r>
      </text>
    </comment>
    <comment ref="AP41" authorId="0" shapeId="0" xr:uid="{00000000-0006-0000-0300-00006F030000}">
      <text>
        <r>
          <rPr>
            <sz val="10"/>
            <color rgb="FF000000"/>
            <rFont val="Arial"/>
            <scheme val="minor"/>
          </rPr>
          <t>Responder updated this value.</t>
        </r>
      </text>
    </comment>
    <comment ref="AT41" authorId="0" shapeId="0" xr:uid="{00000000-0006-0000-0300-000070030000}">
      <text>
        <r>
          <rPr>
            <sz val="10"/>
            <color rgb="FF000000"/>
            <rFont val="Arial"/>
            <scheme val="minor"/>
          </rPr>
          <t>Responder updated this value.</t>
        </r>
      </text>
    </comment>
    <comment ref="D42" authorId="0" shapeId="0" xr:uid="{00000000-0006-0000-0300-000071030000}">
      <text>
        <r>
          <rPr>
            <sz val="10"/>
            <color rgb="FF000000"/>
            <rFont val="Arial"/>
            <scheme val="minor"/>
          </rPr>
          <t>Responder updated this value.</t>
        </r>
      </text>
    </comment>
    <comment ref="K42" authorId="0" shapeId="0" xr:uid="{00000000-0006-0000-0300-000072030000}">
      <text>
        <r>
          <rPr>
            <sz val="10"/>
            <color rgb="FF000000"/>
            <rFont val="Arial"/>
            <scheme val="minor"/>
          </rPr>
          <t>Responder updated this value.</t>
        </r>
      </text>
    </comment>
    <comment ref="N42" authorId="0" shapeId="0" xr:uid="{00000000-0006-0000-0300-000073030000}">
      <text>
        <r>
          <rPr>
            <sz val="10"/>
            <color rgb="FF000000"/>
            <rFont val="Arial"/>
            <scheme val="minor"/>
          </rPr>
          <t>Responder updated this value.</t>
        </r>
      </text>
    </comment>
    <comment ref="AC42" authorId="0" shapeId="0" xr:uid="{00000000-0006-0000-0300-000074030000}">
      <text>
        <r>
          <rPr>
            <sz val="10"/>
            <color rgb="FF000000"/>
            <rFont val="Arial"/>
            <scheme val="minor"/>
          </rPr>
          <t>Responder updated this value.</t>
        </r>
      </text>
    </comment>
    <comment ref="AD42" authorId="0" shapeId="0" xr:uid="{00000000-0006-0000-0300-000075030000}">
      <text>
        <r>
          <rPr>
            <sz val="10"/>
            <color rgb="FF000000"/>
            <rFont val="Arial"/>
            <scheme val="minor"/>
          </rPr>
          <t>Responder updated this value.</t>
        </r>
      </text>
    </comment>
    <comment ref="AE42" authorId="0" shapeId="0" xr:uid="{00000000-0006-0000-0300-000076030000}">
      <text>
        <r>
          <rPr>
            <sz val="10"/>
            <color rgb="FF000000"/>
            <rFont val="Arial"/>
            <scheme val="minor"/>
          </rPr>
          <t>Responder updated this value.</t>
        </r>
      </text>
    </comment>
    <comment ref="AF42" authorId="0" shapeId="0" xr:uid="{00000000-0006-0000-0300-000077030000}">
      <text>
        <r>
          <rPr>
            <sz val="10"/>
            <color rgb="FF000000"/>
            <rFont val="Arial"/>
            <scheme val="minor"/>
          </rPr>
          <t>Responder updated this value.</t>
        </r>
      </text>
    </comment>
    <comment ref="AG42" authorId="0" shapeId="0" xr:uid="{00000000-0006-0000-0300-000078030000}">
      <text>
        <r>
          <rPr>
            <sz val="10"/>
            <color rgb="FF000000"/>
            <rFont val="Arial"/>
            <scheme val="minor"/>
          </rPr>
          <t>Responder updated this value.</t>
        </r>
      </text>
    </comment>
    <comment ref="AH42" authorId="0" shapeId="0" xr:uid="{00000000-0006-0000-0300-000079030000}">
      <text>
        <r>
          <rPr>
            <sz val="10"/>
            <color rgb="FF000000"/>
            <rFont val="Arial"/>
            <scheme val="minor"/>
          </rPr>
          <t>Responder updated this value.</t>
        </r>
      </text>
    </comment>
    <comment ref="AI42" authorId="0" shapeId="0" xr:uid="{00000000-0006-0000-0300-00007A030000}">
      <text>
        <r>
          <rPr>
            <sz val="10"/>
            <color rgb="FF000000"/>
            <rFont val="Arial"/>
            <scheme val="minor"/>
          </rPr>
          <t>Responder updated this value.</t>
        </r>
      </text>
    </comment>
    <comment ref="AJ42" authorId="0" shapeId="0" xr:uid="{00000000-0006-0000-0300-00007B030000}">
      <text>
        <r>
          <rPr>
            <sz val="10"/>
            <color rgb="FF000000"/>
            <rFont val="Arial"/>
            <scheme val="minor"/>
          </rPr>
          <t>Responder updated this value.</t>
        </r>
      </text>
    </comment>
    <comment ref="AK42" authorId="0" shapeId="0" xr:uid="{00000000-0006-0000-0300-00007C030000}">
      <text>
        <r>
          <rPr>
            <sz val="10"/>
            <color rgb="FF000000"/>
            <rFont val="Arial"/>
            <scheme val="minor"/>
          </rPr>
          <t>Responder updated this value.</t>
        </r>
      </text>
    </comment>
    <comment ref="AL42" authorId="0" shapeId="0" xr:uid="{00000000-0006-0000-0300-00007D030000}">
      <text>
        <r>
          <rPr>
            <sz val="10"/>
            <color rgb="FF000000"/>
            <rFont val="Arial"/>
            <scheme val="minor"/>
          </rPr>
          <t>Responder updated this value.</t>
        </r>
      </text>
    </comment>
    <comment ref="AM42" authorId="0" shapeId="0" xr:uid="{00000000-0006-0000-0300-00007E030000}">
      <text>
        <r>
          <rPr>
            <sz val="10"/>
            <color rgb="FF000000"/>
            <rFont val="Arial"/>
            <scheme val="minor"/>
          </rPr>
          <t>Responder updated this value.</t>
        </r>
      </text>
    </comment>
    <comment ref="AN42" authorId="0" shapeId="0" xr:uid="{00000000-0006-0000-0300-00007F030000}">
      <text>
        <r>
          <rPr>
            <sz val="10"/>
            <color rgb="FF000000"/>
            <rFont val="Arial"/>
            <scheme val="minor"/>
          </rPr>
          <t>Responder updated this value.</t>
        </r>
      </text>
    </comment>
    <comment ref="AO42" authorId="0" shapeId="0" xr:uid="{00000000-0006-0000-0300-000080030000}">
      <text>
        <r>
          <rPr>
            <sz val="10"/>
            <color rgb="FF000000"/>
            <rFont val="Arial"/>
            <scheme val="minor"/>
          </rPr>
          <t>Responder updated this value.</t>
        </r>
      </text>
    </comment>
    <comment ref="AP42" authorId="0" shapeId="0" xr:uid="{00000000-0006-0000-0300-000081030000}">
      <text>
        <r>
          <rPr>
            <sz val="10"/>
            <color rgb="FF000000"/>
            <rFont val="Arial"/>
            <scheme val="minor"/>
          </rPr>
          <t>Responder updated this value.</t>
        </r>
      </text>
    </comment>
    <comment ref="AQ42" authorId="0" shapeId="0" xr:uid="{00000000-0006-0000-0300-000082030000}">
      <text>
        <r>
          <rPr>
            <sz val="10"/>
            <color rgb="FF000000"/>
            <rFont val="Arial"/>
            <scheme val="minor"/>
          </rPr>
          <t>Responder updated this value.</t>
        </r>
      </text>
    </comment>
    <comment ref="AR42" authorId="0" shapeId="0" xr:uid="{00000000-0006-0000-0300-000083030000}">
      <text>
        <r>
          <rPr>
            <sz val="10"/>
            <color rgb="FF000000"/>
            <rFont val="Arial"/>
            <scheme val="minor"/>
          </rPr>
          <t>Responder updated this value.</t>
        </r>
      </text>
    </comment>
    <comment ref="AS42" authorId="0" shapeId="0" xr:uid="{00000000-0006-0000-0300-000084030000}">
      <text>
        <r>
          <rPr>
            <sz val="10"/>
            <color rgb="FF000000"/>
            <rFont val="Arial"/>
            <scheme val="minor"/>
          </rPr>
          <t>Responder updated this value.</t>
        </r>
      </text>
    </comment>
    <comment ref="AT42" authorId="0" shapeId="0" xr:uid="{00000000-0006-0000-0300-000085030000}">
      <text>
        <r>
          <rPr>
            <sz val="10"/>
            <color rgb="FF000000"/>
            <rFont val="Arial"/>
            <scheme val="minor"/>
          </rPr>
          <t>Responder updated this value.</t>
        </r>
      </text>
    </comment>
    <comment ref="AU42" authorId="0" shapeId="0" xr:uid="{00000000-0006-0000-0300-000086030000}">
      <text>
        <r>
          <rPr>
            <sz val="10"/>
            <color rgb="FF000000"/>
            <rFont val="Arial"/>
            <scheme val="minor"/>
          </rPr>
          <t>Responder updated this value.</t>
        </r>
      </text>
    </comment>
    <comment ref="D43" authorId="0" shapeId="0" xr:uid="{00000000-0006-0000-0300-000087030000}">
      <text>
        <r>
          <rPr>
            <sz val="10"/>
            <color rgb="FF000000"/>
            <rFont val="Arial"/>
            <scheme val="minor"/>
          </rPr>
          <t>Responder updated this value.</t>
        </r>
      </text>
    </comment>
    <comment ref="K43" authorId="0" shapeId="0" xr:uid="{00000000-0006-0000-0300-000088030000}">
      <text>
        <r>
          <rPr>
            <sz val="10"/>
            <color rgb="FF000000"/>
            <rFont val="Arial"/>
            <scheme val="minor"/>
          </rPr>
          <t>Responder updated this value.</t>
        </r>
      </text>
    </comment>
    <comment ref="N43" authorId="0" shapeId="0" xr:uid="{00000000-0006-0000-0300-000089030000}">
      <text>
        <r>
          <rPr>
            <sz val="10"/>
            <color rgb="FF000000"/>
            <rFont val="Arial"/>
            <scheme val="minor"/>
          </rPr>
          <t>Responder updated this value.</t>
        </r>
      </text>
    </comment>
    <comment ref="AC43" authorId="0" shapeId="0" xr:uid="{00000000-0006-0000-0300-00008A030000}">
      <text>
        <r>
          <rPr>
            <sz val="10"/>
            <color rgb="FF000000"/>
            <rFont val="Arial"/>
            <scheme val="minor"/>
          </rPr>
          <t>Responder updated this value.</t>
        </r>
      </text>
    </comment>
    <comment ref="AD43" authorId="0" shapeId="0" xr:uid="{00000000-0006-0000-0300-00008B030000}">
      <text>
        <r>
          <rPr>
            <sz val="10"/>
            <color rgb="FF000000"/>
            <rFont val="Arial"/>
            <scheme val="minor"/>
          </rPr>
          <t>Responder updated this value.</t>
        </r>
      </text>
    </comment>
    <comment ref="AE43" authorId="0" shapeId="0" xr:uid="{00000000-0006-0000-0300-00008C030000}">
      <text>
        <r>
          <rPr>
            <sz val="10"/>
            <color rgb="FF000000"/>
            <rFont val="Arial"/>
            <scheme val="minor"/>
          </rPr>
          <t>Responder updated this value.</t>
        </r>
      </text>
    </comment>
    <comment ref="AJ43" authorId="0" shapeId="0" xr:uid="{00000000-0006-0000-0300-00008D030000}">
      <text>
        <r>
          <rPr>
            <sz val="10"/>
            <color rgb="FF000000"/>
            <rFont val="Arial"/>
            <scheme val="minor"/>
          </rPr>
          <t>Responder updated this value.</t>
        </r>
      </text>
    </comment>
    <comment ref="AK43" authorId="0" shapeId="0" xr:uid="{00000000-0006-0000-0300-00008E030000}">
      <text>
        <r>
          <rPr>
            <sz val="10"/>
            <color rgb="FF000000"/>
            <rFont val="Arial"/>
            <scheme val="minor"/>
          </rPr>
          <t>Responder updated this value.</t>
        </r>
      </text>
    </comment>
    <comment ref="AL43" authorId="0" shapeId="0" xr:uid="{00000000-0006-0000-0300-00008F030000}">
      <text>
        <r>
          <rPr>
            <sz val="10"/>
            <color rgb="FF000000"/>
            <rFont val="Arial"/>
            <scheme val="minor"/>
          </rPr>
          <t>Responder updated this value.</t>
        </r>
      </text>
    </comment>
    <comment ref="AM43" authorId="0" shapeId="0" xr:uid="{00000000-0006-0000-0300-000090030000}">
      <text>
        <r>
          <rPr>
            <sz val="10"/>
            <color rgb="FF000000"/>
            <rFont val="Arial"/>
            <scheme val="minor"/>
          </rPr>
          <t>Responder updated this value.</t>
        </r>
      </text>
    </comment>
    <comment ref="AN43" authorId="0" shapeId="0" xr:uid="{00000000-0006-0000-0300-000091030000}">
      <text>
        <r>
          <rPr>
            <sz val="10"/>
            <color rgb="FF000000"/>
            <rFont val="Arial"/>
            <scheme val="minor"/>
          </rPr>
          <t>Responder updated this value.</t>
        </r>
      </text>
    </comment>
    <comment ref="AO43" authorId="0" shapeId="0" xr:uid="{00000000-0006-0000-0300-000092030000}">
      <text>
        <r>
          <rPr>
            <sz val="10"/>
            <color rgb="FF000000"/>
            <rFont val="Arial"/>
            <scheme val="minor"/>
          </rPr>
          <t>Responder updated this value.</t>
        </r>
      </text>
    </comment>
    <comment ref="AP43" authorId="0" shapeId="0" xr:uid="{00000000-0006-0000-0300-000093030000}">
      <text>
        <r>
          <rPr>
            <sz val="10"/>
            <color rgb="FF000000"/>
            <rFont val="Arial"/>
            <scheme val="minor"/>
          </rPr>
          <t>Responder updated this value.</t>
        </r>
      </text>
    </comment>
    <comment ref="AQ43" authorId="0" shapeId="0" xr:uid="{00000000-0006-0000-0300-000094030000}">
      <text>
        <r>
          <rPr>
            <sz val="10"/>
            <color rgb="FF000000"/>
            <rFont val="Arial"/>
            <scheme val="minor"/>
          </rPr>
          <t>Responder updated this value.</t>
        </r>
      </text>
    </comment>
    <comment ref="AR43" authorId="0" shapeId="0" xr:uid="{00000000-0006-0000-0300-000095030000}">
      <text>
        <r>
          <rPr>
            <sz val="10"/>
            <color rgb="FF000000"/>
            <rFont val="Arial"/>
            <scheme val="minor"/>
          </rPr>
          <t>Responder updated this value.</t>
        </r>
      </text>
    </comment>
    <comment ref="AS43" authorId="0" shapeId="0" xr:uid="{00000000-0006-0000-0300-000096030000}">
      <text>
        <r>
          <rPr>
            <sz val="10"/>
            <color rgb="FF000000"/>
            <rFont val="Arial"/>
            <scheme val="minor"/>
          </rPr>
          <t>Responder updated this value.</t>
        </r>
      </text>
    </comment>
    <comment ref="AT43" authorId="0" shapeId="0" xr:uid="{00000000-0006-0000-0300-000097030000}">
      <text>
        <r>
          <rPr>
            <sz val="10"/>
            <color rgb="FF000000"/>
            <rFont val="Arial"/>
            <scheme val="minor"/>
          </rPr>
          <t>Responder updated this value.</t>
        </r>
      </text>
    </comment>
    <comment ref="AU43" authorId="0" shapeId="0" xr:uid="{00000000-0006-0000-0300-000098030000}">
      <text>
        <r>
          <rPr>
            <sz val="10"/>
            <color rgb="FF000000"/>
            <rFont val="Arial"/>
            <scheme val="minor"/>
          </rPr>
          <t>Responder updated this value.</t>
        </r>
      </text>
    </comment>
    <comment ref="D44" authorId="0" shapeId="0" xr:uid="{00000000-0006-0000-0300-000099030000}">
      <text>
        <r>
          <rPr>
            <sz val="10"/>
            <color rgb="FF000000"/>
            <rFont val="Arial"/>
            <scheme val="minor"/>
          </rPr>
          <t>Responder updated this value.</t>
        </r>
      </text>
    </comment>
    <comment ref="N44" authorId="0" shapeId="0" xr:uid="{00000000-0006-0000-0300-00009A030000}">
      <text>
        <r>
          <rPr>
            <sz val="10"/>
            <color rgb="FF000000"/>
            <rFont val="Arial"/>
            <scheme val="minor"/>
          </rPr>
          <t>Responder updated this value.</t>
        </r>
      </text>
    </comment>
    <comment ref="O44" authorId="0" shapeId="0" xr:uid="{00000000-0006-0000-0300-00009B030000}">
      <text>
        <r>
          <rPr>
            <sz val="10"/>
            <color rgb="FF000000"/>
            <rFont val="Arial"/>
            <scheme val="minor"/>
          </rPr>
          <t>Responder updated this value.</t>
        </r>
      </text>
    </comment>
    <comment ref="P44" authorId="0" shapeId="0" xr:uid="{00000000-0006-0000-0300-00009C030000}">
      <text>
        <r>
          <rPr>
            <sz val="10"/>
            <color rgb="FF000000"/>
            <rFont val="Arial"/>
            <scheme val="minor"/>
          </rPr>
          <t>Responder updated this value.</t>
        </r>
      </text>
    </comment>
    <comment ref="Q44" authorId="0" shapeId="0" xr:uid="{00000000-0006-0000-0300-00009D030000}">
      <text>
        <r>
          <rPr>
            <sz val="10"/>
            <color rgb="FF000000"/>
            <rFont val="Arial"/>
            <scheme val="minor"/>
          </rPr>
          <t>Responder updated this value.</t>
        </r>
      </text>
    </comment>
    <comment ref="R44" authorId="0" shapeId="0" xr:uid="{00000000-0006-0000-0300-00009E030000}">
      <text>
        <r>
          <rPr>
            <sz val="10"/>
            <color rgb="FF000000"/>
            <rFont val="Arial"/>
            <scheme val="minor"/>
          </rPr>
          <t>Responder updated this value.</t>
        </r>
      </text>
    </comment>
    <comment ref="S44" authorId="0" shapeId="0" xr:uid="{00000000-0006-0000-0300-00009F030000}">
      <text>
        <r>
          <rPr>
            <sz val="10"/>
            <color rgb="FF000000"/>
            <rFont val="Arial"/>
            <scheme val="minor"/>
          </rPr>
          <t>Responder updated this value.</t>
        </r>
      </text>
    </comment>
    <comment ref="T44" authorId="0" shapeId="0" xr:uid="{00000000-0006-0000-0300-0000A0030000}">
      <text>
        <r>
          <rPr>
            <sz val="10"/>
            <color rgb="FF000000"/>
            <rFont val="Arial"/>
            <scheme val="minor"/>
          </rPr>
          <t>Responder updated this value.</t>
        </r>
      </text>
    </comment>
    <comment ref="U44" authorId="0" shapeId="0" xr:uid="{00000000-0006-0000-0300-0000A1030000}">
      <text>
        <r>
          <rPr>
            <sz val="10"/>
            <color rgb="FF000000"/>
            <rFont val="Arial"/>
            <scheme val="minor"/>
          </rPr>
          <t>Responder updated this value.</t>
        </r>
      </text>
    </comment>
    <comment ref="V44" authorId="0" shapeId="0" xr:uid="{00000000-0006-0000-0300-0000A2030000}">
      <text>
        <r>
          <rPr>
            <sz val="10"/>
            <color rgb="FF000000"/>
            <rFont val="Arial"/>
            <scheme val="minor"/>
          </rPr>
          <t>Responder updated this value.</t>
        </r>
      </text>
    </comment>
    <comment ref="W44" authorId="0" shapeId="0" xr:uid="{00000000-0006-0000-0300-0000A3030000}">
      <text>
        <r>
          <rPr>
            <sz val="10"/>
            <color rgb="FF000000"/>
            <rFont val="Arial"/>
            <scheme val="minor"/>
          </rPr>
          <t>Responder updated this value.</t>
        </r>
      </text>
    </comment>
    <comment ref="X44" authorId="0" shapeId="0" xr:uid="{00000000-0006-0000-0300-0000A4030000}">
      <text>
        <r>
          <rPr>
            <sz val="10"/>
            <color rgb="FF000000"/>
            <rFont val="Arial"/>
            <scheme val="minor"/>
          </rPr>
          <t>Responder updated this value.</t>
        </r>
      </text>
    </comment>
    <comment ref="AC44" authorId="0" shapeId="0" xr:uid="{00000000-0006-0000-0300-0000A5030000}">
      <text>
        <r>
          <rPr>
            <sz val="10"/>
            <color rgb="FF000000"/>
            <rFont val="Arial"/>
            <scheme val="minor"/>
          </rPr>
          <t>Responder updated this value.</t>
        </r>
      </text>
    </comment>
    <comment ref="AD44" authorId="0" shapeId="0" xr:uid="{00000000-0006-0000-0300-0000A6030000}">
      <text>
        <r>
          <rPr>
            <sz val="10"/>
            <color rgb="FF000000"/>
            <rFont val="Arial"/>
            <scheme val="minor"/>
          </rPr>
          <t>Responder updated this value.</t>
        </r>
      </text>
    </comment>
    <comment ref="AE44" authorId="0" shapeId="0" xr:uid="{00000000-0006-0000-0300-0000A7030000}">
      <text>
        <r>
          <rPr>
            <sz val="10"/>
            <color rgb="FF000000"/>
            <rFont val="Arial"/>
            <scheme val="minor"/>
          </rPr>
          <t>Responder updated this value.</t>
        </r>
      </text>
    </comment>
    <comment ref="AF44" authorId="0" shapeId="0" xr:uid="{00000000-0006-0000-0300-0000A8030000}">
      <text>
        <r>
          <rPr>
            <sz val="10"/>
            <color rgb="FF000000"/>
            <rFont val="Arial"/>
            <scheme val="minor"/>
          </rPr>
          <t>Responder updated this value.</t>
        </r>
      </text>
    </comment>
    <comment ref="AG44" authorId="0" shapeId="0" xr:uid="{00000000-0006-0000-0300-0000A9030000}">
      <text>
        <r>
          <rPr>
            <sz val="10"/>
            <color rgb="FF000000"/>
            <rFont val="Arial"/>
            <scheme val="minor"/>
          </rPr>
          <t>Responder updated this value.</t>
        </r>
      </text>
    </comment>
    <comment ref="AH44" authorId="0" shapeId="0" xr:uid="{00000000-0006-0000-0300-0000AA030000}">
      <text>
        <r>
          <rPr>
            <sz val="10"/>
            <color rgb="FF000000"/>
            <rFont val="Arial"/>
            <scheme val="minor"/>
          </rPr>
          <t>Responder updated this value.</t>
        </r>
      </text>
    </comment>
    <comment ref="AI44" authorId="0" shapeId="0" xr:uid="{00000000-0006-0000-0300-0000AB030000}">
      <text>
        <r>
          <rPr>
            <sz val="10"/>
            <color rgb="FF000000"/>
            <rFont val="Arial"/>
            <scheme val="minor"/>
          </rPr>
          <t>Responder updated this value.</t>
        </r>
      </text>
    </comment>
    <comment ref="AJ44" authorId="0" shapeId="0" xr:uid="{00000000-0006-0000-0300-0000AC030000}">
      <text>
        <r>
          <rPr>
            <sz val="10"/>
            <color rgb="FF000000"/>
            <rFont val="Arial"/>
            <scheme val="minor"/>
          </rPr>
          <t>Responder updated this value.</t>
        </r>
      </text>
    </comment>
    <comment ref="AK44" authorId="0" shapeId="0" xr:uid="{00000000-0006-0000-0300-0000AD030000}">
      <text>
        <r>
          <rPr>
            <sz val="10"/>
            <color rgb="FF000000"/>
            <rFont val="Arial"/>
            <scheme val="minor"/>
          </rPr>
          <t>Responder updated this value.</t>
        </r>
      </text>
    </comment>
    <comment ref="AL44" authorId="0" shapeId="0" xr:uid="{00000000-0006-0000-0300-0000AE030000}">
      <text>
        <r>
          <rPr>
            <sz val="10"/>
            <color rgb="FF000000"/>
            <rFont val="Arial"/>
            <scheme val="minor"/>
          </rPr>
          <t>Responder updated this value.</t>
        </r>
      </text>
    </comment>
    <comment ref="AM44" authorId="0" shapeId="0" xr:uid="{00000000-0006-0000-0300-0000AF030000}">
      <text>
        <r>
          <rPr>
            <sz val="10"/>
            <color rgb="FF000000"/>
            <rFont val="Arial"/>
            <scheme val="minor"/>
          </rPr>
          <t>Responder updated this value.</t>
        </r>
      </text>
    </comment>
    <comment ref="AN44" authorId="0" shapeId="0" xr:uid="{00000000-0006-0000-0300-0000B0030000}">
      <text>
        <r>
          <rPr>
            <sz val="10"/>
            <color rgb="FF000000"/>
            <rFont val="Arial"/>
            <scheme val="minor"/>
          </rPr>
          <t>Responder updated this value.</t>
        </r>
      </text>
    </comment>
    <comment ref="AO44" authorId="0" shapeId="0" xr:uid="{00000000-0006-0000-0300-0000B1030000}">
      <text>
        <r>
          <rPr>
            <sz val="10"/>
            <color rgb="FF000000"/>
            <rFont val="Arial"/>
            <scheme val="minor"/>
          </rPr>
          <t>Responder updated this value.</t>
        </r>
      </text>
    </comment>
    <comment ref="AP44" authorId="0" shapeId="0" xr:uid="{00000000-0006-0000-0300-0000B2030000}">
      <text>
        <r>
          <rPr>
            <sz val="10"/>
            <color rgb="FF000000"/>
            <rFont val="Arial"/>
            <scheme val="minor"/>
          </rPr>
          <t>Responder updated this value.</t>
        </r>
      </text>
    </comment>
    <comment ref="AQ44" authorId="0" shapeId="0" xr:uid="{00000000-0006-0000-0300-0000B3030000}">
      <text>
        <r>
          <rPr>
            <sz val="10"/>
            <color rgb="FF000000"/>
            <rFont val="Arial"/>
            <scheme val="minor"/>
          </rPr>
          <t>Responder updated this value.</t>
        </r>
      </text>
    </comment>
    <comment ref="AR44" authorId="0" shapeId="0" xr:uid="{00000000-0006-0000-0300-0000B4030000}">
      <text>
        <r>
          <rPr>
            <sz val="10"/>
            <color rgb="FF000000"/>
            <rFont val="Arial"/>
            <scheme val="minor"/>
          </rPr>
          <t>Responder updated this value.</t>
        </r>
      </text>
    </comment>
    <comment ref="AS44" authorId="0" shapeId="0" xr:uid="{00000000-0006-0000-0300-0000B5030000}">
      <text>
        <r>
          <rPr>
            <sz val="10"/>
            <color rgb="FF000000"/>
            <rFont val="Arial"/>
            <scheme val="minor"/>
          </rPr>
          <t>Responder updated this value.</t>
        </r>
      </text>
    </comment>
    <comment ref="AT44" authorId="0" shapeId="0" xr:uid="{00000000-0006-0000-0300-0000B6030000}">
      <text>
        <r>
          <rPr>
            <sz val="10"/>
            <color rgb="FF000000"/>
            <rFont val="Arial"/>
            <scheme val="minor"/>
          </rPr>
          <t>Responder updated this value.</t>
        </r>
      </text>
    </comment>
    <comment ref="AU44" authorId="0" shapeId="0" xr:uid="{00000000-0006-0000-0300-0000B7030000}">
      <text>
        <r>
          <rPr>
            <sz val="10"/>
            <color rgb="FF000000"/>
            <rFont val="Arial"/>
            <scheme val="minor"/>
          </rPr>
          <t>Responder updated this value.</t>
        </r>
      </text>
    </comment>
    <comment ref="D45" authorId="0" shapeId="0" xr:uid="{00000000-0006-0000-0300-0000B8030000}">
      <text>
        <r>
          <rPr>
            <sz val="10"/>
            <color rgb="FF000000"/>
            <rFont val="Arial"/>
            <scheme val="minor"/>
          </rPr>
          <t>Responder updated this value.</t>
        </r>
      </text>
    </comment>
    <comment ref="N45" authorId="0" shapeId="0" xr:uid="{00000000-0006-0000-0300-0000B9030000}">
      <text>
        <r>
          <rPr>
            <sz val="10"/>
            <color rgb="FF000000"/>
            <rFont val="Arial"/>
            <scheme val="minor"/>
          </rPr>
          <t>Responder updated this value.</t>
        </r>
      </text>
    </comment>
    <comment ref="O45" authorId="0" shapeId="0" xr:uid="{00000000-0006-0000-0300-0000BA030000}">
      <text>
        <r>
          <rPr>
            <sz val="10"/>
            <color rgb="FF000000"/>
            <rFont val="Arial"/>
            <scheme val="minor"/>
          </rPr>
          <t>Responder updated this value.</t>
        </r>
      </text>
    </comment>
    <comment ref="P45" authorId="0" shapeId="0" xr:uid="{00000000-0006-0000-0300-0000BB030000}">
      <text>
        <r>
          <rPr>
            <sz val="10"/>
            <color rgb="FF000000"/>
            <rFont val="Arial"/>
            <scheme val="minor"/>
          </rPr>
          <t>Responder updated this value.</t>
        </r>
      </text>
    </comment>
    <comment ref="Q45" authorId="0" shapeId="0" xr:uid="{00000000-0006-0000-0300-0000BC030000}">
      <text>
        <r>
          <rPr>
            <sz val="10"/>
            <color rgb="FF000000"/>
            <rFont val="Arial"/>
            <scheme val="minor"/>
          </rPr>
          <t>Responder updated this value.</t>
        </r>
      </text>
    </comment>
    <comment ref="R45" authorId="0" shapeId="0" xr:uid="{00000000-0006-0000-0300-0000BD030000}">
      <text>
        <r>
          <rPr>
            <sz val="10"/>
            <color rgb="FF000000"/>
            <rFont val="Arial"/>
            <scheme val="minor"/>
          </rPr>
          <t>Responder updated this value.</t>
        </r>
      </text>
    </comment>
    <comment ref="S45" authorId="0" shapeId="0" xr:uid="{00000000-0006-0000-0300-0000BE030000}">
      <text>
        <r>
          <rPr>
            <sz val="10"/>
            <color rgb="FF000000"/>
            <rFont val="Arial"/>
            <scheme val="minor"/>
          </rPr>
          <t>Responder updated this value.</t>
        </r>
      </text>
    </comment>
    <comment ref="T45" authorId="0" shapeId="0" xr:uid="{00000000-0006-0000-0300-0000BF030000}">
      <text>
        <r>
          <rPr>
            <sz val="10"/>
            <color rgb="FF000000"/>
            <rFont val="Arial"/>
            <scheme val="minor"/>
          </rPr>
          <t>Responder updated this value.</t>
        </r>
      </text>
    </comment>
    <comment ref="U45" authorId="0" shapeId="0" xr:uid="{00000000-0006-0000-0300-0000C0030000}">
      <text>
        <r>
          <rPr>
            <sz val="10"/>
            <color rgb="FF000000"/>
            <rFont val="Arial"/>
            <scheme val="minor"/>
          </rPr>
          <t>Responder updated this value.</t>
        </r>
      </text>
    </comment>
    <comment ref="V45" authorId="0" shapeId="0" xr:uid="{00000000-0006-0000-0300-0000C1030000}">
      <text>
        <r>
          <rPr>
            <sz val="10"/>
            <color rgb="FF000000"/>
            <rFont val="Arial"/>
            <scheme val="minor"/>
          </rPr>
          <t>Responder updated this value.</t>
        </r>
      </text>
    </comment>
    <comment ref="W45" authorId="0" shapeId="0" xr:uid="{00000000-0006-0000-0300-0000C2030000}">
      <text>
        <r>
          <rPr>
            <sz val="10"/>
            <color rgb="FF000000"/>
            <rFont val="Arial"/>
            <scheme val="minor"/>
          </rPr>
          <t>Responder updated this value.</t>
        </r>
      </text>
    </comment>
    <comment ref="X45" authorId="0" shapeId="0" xr:uid="{00000000-0006-0000-0300-0000C3030000}">
      <text>
        <r>
          <rPr>
            <sz val="10"/>
            <color rgb="FF000000"/>
            <rFont val="Arial"/>
            <scheme val="minor"/>
          </rPr>
          <t>Responder updated this value.</t>
        </r>
      </text>
    </comment>
    <comment ref="AC45" authorId="0" shapeId="0" xr:uid="{00000000-0006-0000-0300-0000C4030000}">
      <text>
        <r>
          <rPr>
            <sz val="10"/>
            <color rgb="FF000000"/>
            <rFont val="Arial"/>
            <scheme val="minor"/>
          </rPr>
          <t>Responder updated this value.</t>
        </r>
      </text>
    </comment>
    <comment ref="AD45" authorId="0" shapeId="0" xr:uid="{00000000-0006-0000-0300-0000C5030000}">
      <text>
        <r>
          <rPr>
            <sz val="10"/>
            <color rgb="FF000000"/>
            <rFont val="Arial"/>
            <scheme val="minor"/>
          </rPr>
          <t>Responder updated this value.</t>
        </r>
      </text>
    </comment>
    <comment ref="AE45" authorId="0" shapeId="0" xr:uid="{00000000-0006-0000-0300-0000C6030000}">
      <text>
        <r>
          <rPr>
            <sz val="10"/>
            <color rgb="FF000000"/>
            <rFont val="Arial"/>
            <scheme val="minor"/>
          </rPr>
          <t>Responder updated this value.</t>
        </r>
      </text>
    </comment>
    <comment ref="AF45" authorId="0" shapeId="0" xr:uid="{00000000-0006-0000-0300-0000C7030000}">
      <text>
        <r>
          <rPr>
            <sz val="10"/>
            <color rgb="FF000000"/>
            <rFont val="Arial"/>
            <scheme val="minor"/>
          </rPr>
          <t>Responder updated this value.</t>
        </r>
      </text>
    </comment>
    <comment ref="AG45" authorId="0" shapeId="0" xr:uid="{00000000-0006-0000-0300-0000C8030000}">
      <text>
        <r>
          <rPr>
            <sz val="10"/>
            <color rgb="FF000000"/>
            <rFont val="Arial"/>
            <scheme val="minor"/>
          </rPr>
          <t>Responder updated this value.</t>
        </r>
      </text>
    </comment>
    <comment ref="AH45" authorId="0" shapeId="0" xr:uid="{00000000-0006-0000-0300-0000C9030000}">
      <text>
        <r>
          <rPr>
            <sz val="10"/>
            <color rgb="FF000000"/>
            <rFont val="Arial"/>
            <scheme val="minor"/>
          </rPr>
          <t>Responder updated this value.</t>
        </r>
      </text>
    </comment>
    <comment ref="AI45" authorId="0" shapeId="0" xr:uid="{00000000-0006-0000-0300-0000CA030000}">
      <text>
        <r>
          <rPr>
            <sz val="10"/>
            <color rgb="FF000000"/>
            <rFont val="Arial"/>
            <scheme val="minor"/>
          </rPr>
          <t>Responder updated this value.</t>
        </r>
      </text>
    </comment>
    <comment ref="AJ45" authorId="0" shapeId="0" xr:uid="{00000000-0006-0000-0300-0000CB030000}">
      <text>
        <r>
          <rPr>
            <sz val="10"/>
            <color rgb="FF000000"/>
            <rFont val="Arial"/>
            <scheme val="minor"/>
          </rPr>
          <t>Responder updated this value.</t>
        </r>
      </text>
    </comment>
    <comment ref="AK45" authorId="0" shapeId="0" xr:uid="{00000000-0006-0000-0300-0000CC030000}">
      <text>
        <r>
          <rPr>
            <sz val="10"/>
            <color rgb="FF000000"/>
            <rFont val="Arial"/>
            <scheme val="minor"/>
          </rPr>
          <t>Responder updated this value.</t>
        </r>
      </text>
    </comment>
    <comment ref="AL45" authorId="0" shapeId="0" xr:uid="{00000000-0006-0000-0300-0000CD030000}">
      <text>
        <r>
          <rPr>
            <sz val="10"/>
            <color rgb="FF000000"/>
            <rFont val="Arial"/>
            <scheme val="minor"/>
          </rPr>
          <t>Responder updated this value.</t>
        </r>
      </text>
    </comment>
    <comment ref="AM45" authorId="0" shapeId="0" xr:uid="{00000000-0006-0000-0300-0000CE030000}">
      <text>
        <r>
          <rPr>
            <sz val="10"/>
            <color rgb="FF000000"/>
            <rFont val="Arial"/>
            <scheme val="minor"/>
          </rPr>
          <t>Responder updated this value.</t>
        </r>
      </text>
    </comment>
    <comment ref="AN45" authorId="0" shapeId="0" xr:uid="{00000000-0006-0000-0300-0000CF030000}">
      <text>
        <r>
          <rPr>
            <sz val="10"/>
            <color rgb="FF000000"/>
            <rFont val="Arial"/>
            <scheme val="minor"/>
          </rPr>
          <t>Responder updated this value.</t>
        </r>
      </text>
    </comment>
    <comment ref="AO45" authorId="0" shapeId="0" xr:uid="{00000000-0006-0000-0300-0000D0030000}">
      <text>
        <r>
          <rPr>
            <sz val="10"/>
            <color rgb="FF000000"/>
            <rFont val="Arial"/>
            <scheme val="minor"/>
          </rPr>
          <t>Responder updated this value.</t>
        </r>
      </text>
    </comment>
    <comment ref="AP45" authorId="0" shapeId="0" xr:uid="{00000000-0006-0000-0300-0000D1030000}">
      <text>
        <r>
          <rPr>
            <sz val="10"/>
            <color rgb="FF000000"/>
            <rFont val="Arial"/>
            <scheme val="minor"/>
          </rPr>
          <t>Responder updated this value.</t>
        </r>
      </text>
    </comment>
    <comment ref="AQ45" authorId="0" shapeId="0" xr:uid="{00000000-0006-0000-0300-0000D2030000}">
      <text>
        <r>
          <rPr>
            <sz val="10"/>
            <color rgb="FF000000"/>
            <rFont val="Arial"/>
            <scheme val="minor"/>
          </rPr>
          <t>Responder updated this value.</t>
        </r>
      </text>
    </comment>
    <comment ref="AR45" authorId="0" shapeId="0" xr:uid="{00000000-0006-0000-0300-0000D3030000}">
      <text>
        <r>
          <rPr>
            <sz val="10"/>
            <color rgb="FF000000"/>
            <rFont val="Arial"/>
            <scheme val="minor"/>
          </rPr>
          <t>Responder updated this value.</t>
        </r>
      </text>
    </comment>
    <comment ref="AS45" authorId="0" shapeId="0" xr:uid="{00000000-0006-0000-0300-0000D4030000}">
      <text>
        <r>
          <rPr>
            <sz val="10"/>
            <color rgb="FF000000"/>
            <rFont val="Arial"/>
            <scheme val="minor"/>
          </rPr>
          <t>Responder updated this value.</t>
        </r>
      </text>
    </comment>
    <comment ref="AT45" authorId="0" shapeId="0" xr:uid="{00000000-0006-0000-0300-0000D5030000}">
      <text>
        <r>
          <rPr>
            <sz val="10"/>
            <color rgb="FF000000"/>
            <rFont val="Arial"/>
            <scheme val="minor"/>
          </rPr>
          <t>Responder updated this value.</t>
        </r>
      </text>
    </comment>
    <comment ref="AU45" authorId="0" shapeId="0" xr:uid="{00000000-0006-0000-0300-0000D6030000}">
      <text>
        <r>
          <rPr>
            <sz val="10"/>
            <color rgb="FF000000"/>
            <rFont val="Arial"/>
            <scheme val="minor"/>
          </rPr>
          <t>Responder updated this value.</t>
        </r>
      </text>
    </comment>
    <comment ref="D46" authorId="0" shapeId="0" xr:uid="{00000000-0006-0000-0300-0000D7030000}">
      <text>
        <r>
          <rPr>
            <sz val="10"/>
            <color rgb="FF000000"/>
            <rFont val="Arial"/>
            <scheme val="minor"/>
          </rPr>
          <t>Responder updated this value.</t>
        </r>
      </text>
    </comment>
    <comment ref="I46" authorId="0" shapeId="0" xr:uid="{00000000-0006-0000-0300-0000D8030000}">
      <text>
        <r>
          <rPr>
            <sz val="10"/>
            <color rgb="FF000000"/>
            <rFont val="Arial"/>
            <scheme val="minor"/>
          </rPr>
          <t>Responder updated this value.</t>
        </r>
      </text>
    </comment>
    <comment ref="L46" authorId="0" shapeId="0" xr:uid="{00000000-0006-0000-0300-0000D9030000}">
      <text>
        <r>
          <rPr>
            <sz val="10"/>
            <color rgb="FF000000"/>
            <rFont val="Arial"/>
            <scheme val="minor"/>
          </rPr>
          <t>Responder updated this value.</t>
        </r>
      </text>
    </comment>
    <comment ref="M46" authorId="0" shapeId="0" xr:uid="{00000000-0006-0000-0300-0000DA030000}">
      <text>
        <r>
          <rPr>
            <sz val="10"/>
            <color rgb="FF000000"/>
            <rFont val="Arial"/>
            <scheme val="minor"/>
          </rPr>
          <t>Responder updated this value.</t>
        </r>
      </text>
    </comment>
    <comment ref="N46" authorId="0" shapeId="0" xr:uid="{00000000-0006-0000-0300-0000DB030000}">
      <text>
        <r>
          <rPr>
            <sz val="10"/>
            <color rgb="FF000000"/>
            <rFont val="Arial"/>
            <scheme val="minor"/>
          </rPr>
          <t>Responder updated this value.</t>
        </r>
      </text>
    </comment>
    <comment ref="AE46" authorId="0" shapeId="0" xr:uid="{00000000-0006-0000-0300-0000DC030000}">
      <text>
        <r>
          <rPr>
            <sz val="10"/>
            <color rgb="FF000000"/>
            <rFont val="Arial"/>
            <scheme val="minor"/>
          </rPr>
          <t>Responder updated this value.</t>
        </r>
      </text>
    </comment>
    <comment ref="AF46" authorId="0" shapeId="0" xr:uid="{00000000-0006-0000-0300-0000DD030000}">
      <text>
        <r>
          <rPr>
            <sz val="10"/>
            <color rgb="FF000000"/>
            <rFont val="Arial"/>
            <scheme val="minor"/>
          </rPr>
          <t>Responder updated this value.</t>
        </r>
      </text>
    </comment>
    <comment ref="AJ46" authorId="0" shapeId="0" xr:uid="{00000000-0006-0000-0300-0000DE030000}">
      <text>
        <r>
          <rPr>
            <sz val="10"/>
            <color rgb="FF000000"/>
            <rFont val="Arial"/>
            <scheme val="minor"/>
          </rPr>
          <t>Responder updated this value.</t>
        </r>
      </text>
    </comment>
    <comment ref="AK46" authorId="0" shapeId="0" xr:uid="{00000000-0006-0000-0300-0000DF030000}">
      <text>
        <r>
          <rPr>
            <sz val="10"/>
            <color rgb="FF000000"/>
            <rFont val="Arial"/>
            <scheme val="minor"/>
          </rPr>
          <t>Responder updated this value.</t>
        </r>
      </text>
    </comment>
    <comment ref="AL46" authorId="0" shapeId="0" xr:uid="{00000000-0006-0000-0300-0000E0030000}">
      <text>
        <r>
          <rPr>
            <sz val="10"/>
            <color rgb="FF000000"/>
            <rFont val="Arial"/>
            <scheme val="minor"/>
          </rPr>
          <t>Responder updated this value.</t>
        </r>
      </text>
    </comment>
    <comment ref="AM46" authorId="0" shapeId="0" xr:uid="{00000000-0006-0000-0300-0000E1030000}">
      <text>
        <r>
          <rPr>
            <sz val="10"/>
            <color rgb="FF000000"/>
            <rFont val="Arial"/>
            <scheme val="minor"/>
          </rPr>
          <t>Responder updated this value.</t>
        </r>
      </text>
    </comment>
    <comment ref="AN46" authorId="0" shapeId="0" xr:uid="{00000000-0006-0000-0300-0000E2030000}">
      <text>
        <r>
          <rPr>
            <sz val="10"/>
            <color rgb="FF000000"/>
            <rFont val="Arial"/>
            <scheme val="minor"/>
          </rPr>
          <t>Responder updated this value.</t>
        </r>
      </text>
    </comment>
    <comment ref="AO46" authorId="0" shapeId="0" xr:uid="{00000000-0006-0000-0300-0000E3030000}">
      <text>
        <r>
          <rPr>
            <sz val="10"/>
            <color rgb="FF000000"/>
            <rFont val="Arial"/>
            <scheme val="minor"/>
          </rPr>
          <t>Responder updated this value.</t>
        </r>
      </text>
    </comment>
    <comment ref="AP46" authorId="0" shapeId="0" xr:uid="{00000000-0006-0000-0300-0000E4030000}">
      <text>
        <r>
          <rPr>
            <sz val="10"/>
            <color rgb="FF000000"/>
            <rFont val="Arial"/>
            <scheme val="minor"/>
          </rPr>
          <t>Responder updated this value.</t>
        </r>
      </text>
    </comment>
    <comment ref="AQ46" authorId="0" shapeId="0" xr:uid="{00000000-0006-0000-0300-0000E5030000}">
      <text>
        <r>
          <rPr>
            <sz val="10"/>
            <color rgb="FF000000"/>
            <rFont val="Arial"/>
            <scheme val="minor"/>
          </rPr>
          <t>Responder updated this value.</t>
        </r>
      </text>
    </comment>
    <comment ref="AS46" authorId="0" shapeId="0" xr:uid="{00000000-0006-0000-0300-0000E6030000}">
      <text>
        <r>
          <rPr>
            <sz val="10"/>
            <color rgb="FF000000"/>
            <rFont val="Arial"/>
            <scheme val="minor"/>
          </rPr>
          <t>Responder updated this value.</t>
        </r>
      </text>
    </comment>
    <comment ref="AT46" authorId="0" shapeId="0" xr:uid="{00000000-0006-0000-0300-0000E7030000}">
      <text>
        <r>
          <rPr>
            <sz val="10"/>
            <color rgb="FF000000"/>
            <rFont val="Arial"/>
            <scheme val="minor"/>
          </rPr>
          <t>Responder updated this value.</t>
        </r>
      </text>
    </comment>
    <comment ref="AU46" authorId="0" shapeId="0" xr:uid="{00000000-0006-0000-0300-0000E8030000}">
      <text>
        <r>
          <rPr>
            <sz val="10"/>
            <color rgb="FF000000"/>
            <rFont val="Arial"/>
            <scheme val="minor"/>
          </rPr>
          <t>Responder updated this value.</t>
        </r>
      </text>
    </comment>
    <comment ref="D47" authorId="0" shapeId="0" xr:uid="{00000000-0006-0000-0300-0000E9030000}">
      <text>
        <r>
          <rPr>
            <sz val="10"/>
            <color rgb="FF000000"/>
            <rFont val="Arial"/>
            <scheme val="minor"/>
          </rPr>
          <t>Responder updated this value.</t>
        </r>
      </text>
    </comment>
    <comment ref="E47" authorId="0" shapeId="0" xr:uid="{00000000-0006-0000-0300-0000EA030000}">
      <text>
        <r>
          <rPr>
            <sz val="10"/>
            <color rgb="FF000000"/>
            <rFont val="Arial"/>
            <scheme val="minor"/>
          </rPr>
          <t>Responder updated this value.</t>
        </r>
      </text>
    </comment>
    <comment ref="F47" authorId="0" shapeId="0" xr:uid="{00000000-0006-0000-0300-0000EB030000}">
      <text>
        <r>
          <rPr>
            <sz val="10"/>
            <color rgb="FF000000"/>
            <rFont val="Arial"/>
            <scheme val="minor"/>
          </rPr>
          <t>Responder updated this value.</t>
        </r>
      </text>
    </comment>
    <comment ref="L47" authorId="0" shapeId="0" xr:uid="{00000000-0006-0000-0300-0000EC030000}">
      <text>
        <r>
          <rPr>
            <sz val="10"/>
            <color rgb="FF000000"/>
            <rFont val="Arial"/>
            <scheme val="minor"/>
          </rPr>
          <t>Responder updated this value.</t>
        </r>
      </text>
    </comment>
    <comment ref="M47" authorId="0" shapeId="0" xr:uid="{00000000-0006-0000-0300-0000ED030000}">
      <text>
        <r>
          <rPr>
            <sz val="10"/>
            <color rgb="FF000000"/>
            <rFont val="Arial"/>
            <scheme val="minor"/>
          </rPr>
          <t>Responder updated this value.</t>
        </r>
      </text>
    </comment>
    <comment ref="N47" authorId="0" shapeId="0" xr:uid="{00000000-0006-0000-0300-0000EE030000}">
      <text>
        <r>
          <rPr>
            <sz val="10"/>
            <color rgb="FF000000"/>
            <rFont val="Arial"/>
            <scheme val="minor"/>
          </rPr>
          <t>Responder updated this value.</t>
        </r>
      </text>
    </comment>
    <comment ref="AD47" authorId="0" shapeId="0" xr:uid="{00000000-0006-0000-0300-0000EF030000}">
      <text>
        <r>
          <rPr>
            <sz val="10"/>
            <color rgb="FF000000"/>
            <rFont val="Arial"/>
            <scheme val="minor"/>
          </rPr>
          <t>Responder updated this value.</t>
        </r>
      </text>
    </comment>
    <comment ref="AE47" authorId="0" shapeId="0" xr:uid="{00000000-0006-0000-0300-0000F0030000}">
      <text>
        <r>
          <rPr>
            <sz val="10"/>
            <color rgb="FF000000"/>
            <rFont val="Arial"/>
            <scheme val="minor"/>
          </rPr>
          <t>Responder updated this value.</t>
        </r>
      </text>
    </comment>
    <comment ref="AF47" authorId="0" shapeId="0" xr:uid="{00000000-0006-0000-0300-0000F1030000}">
      <text>
        <r>
          <rPr>
            <sz val="10"/>
            <color rgb="FF000000"/>
            <rFont val="Arial"/>
            <scheme val="minor"/>
          </rPr>
          <t>Responder updated this value.</t>
        </r>
      </text>
    </comment>
    <comment ref="AG47" authorId="0" shapeId="0" xr:uid="{00000000-0006-0000-0300-0000F2030000}">
      <text>
        <r>
          <rPr>
            <sz val="10"/>
            <color rgb="FF000000"/>
            <rFont val="Arial"/>
            <scheme val="minor"/>
          </rPr>
          <t>Responder updated this value.</t>
        </r>
      </text>
    </comment>
    <comment ref="AH47" authorId="0" shapeId="0" xr:uid="{00000000-0006-0000-0300-0000F3030000}">
      <text>
        <r>
          <rPr>
            <sz val="10"/>
            <color rgb="FF000000"/>
            <rFont val="Arial"/>
            <scheme val="minor"/>
          </rPr>
          <t>Responder updated this value.</t>
        </r>
      </text>
    </comment>
    <comment ref="AI47" authorId="0" shapeId="0" xr:uid="{00000000-0006-0000-0300-0000F4030000}">
      <text>
        <r>
          <rPr>
            <sz val="10"/>
            <color rgb="FF000000"/>
            <rFont val="Arial"/>
            <scheme val="minor"/>
          </rPr>
          <t>Responder updated this value.</t>
        </r>
      </text>
    </comment>
    <comment ref="AJ47" authorId="0" shapeId="0" xr:uid="{00000000-0006-0000-0300-0000F5030000}">
      <text>
        <r>
          <rPr>
            <sz val="10"/>
            <color rgb="FF000000"/>
            <rFont val="Arial"/>
            <scheme val="minor"/>
          </rPr>
          <t>Responder updated this value.</t>
        </r>
      </text>
    </comment>
    <comment ref="AK47" authorId="0" shapeId="0" xr:uid="{00000000-0006-0000-0300-0000F6030000}">
      <text>
        <r>
          <rPr>
            <sz val="10"/>
            <color rgb="FF000000"/>
            <rFont val="Arial"/>
            <scheme val="minor"/>
          </rPr>
          <t>Responder updated this value.</t>
        </r>
      </text>
    </comment>
    <comment ref="AL47" authorId="0" shapeId="0" xr:uid="{00000000-0006-0000-0300-0000F7030000}">
      <text>
        <r>
          <rPr>
            <sz val="10"/>
            <color rgb="FF000000"/>
            <rFont val="Arial"/>
            <scheme val="minor"/>
          </rPr>
          <t>Responder updated this value.</t>
        </r>
      </text>
    </comment>
    <comment ref="AM47" authorId="0" shapeId="0" xr:uid="{00000000-0006-0000-0300-0000F8030000}">
      <text>
        <r>
          <rPr>
            <sz val="10"/>
            <color rgb="FF000000"/>
            <rFont val="Arial"/>
            <scheme val="minor"/>
          </rPr>
          <t>Responder updated this value.</t>
        </r>
      </text>
    </comment>
    <comment ref="AP47" authorId="0" shapeId="0" xr:uid="{00000000-0006-0000-0300-0000F9030000}">
      <text>
        <r>
          <rPr>
            <sz val="10"/>
            <color rgb="FF000000"/>
            <rFont val="Arial"/>
            <scheme val="minor"/>
          </rPr>
          <t>Responder updated this value.</t>
        </r>
      </text>
    </comment>
    <comment ref="AR47" authorId="0" shapeId="0" xr:uid="{00000000-0006-0000-0300-0000FA030000}">
      <text>
        <r>
          <rPr>
            <sz val="10"/>
            <color rgb="FF000000"/>
            <rFont val="Arial"/>
            <scheme val="minor"/>
          </rPr>
          <t>Responder updated this value.</t>
        </r>
      </text>
    </comment>
    <comment ref="AS47" authorId="0" shapeId="0" xr:uid="{00000000-0006-0000-0300-0000FB030000}">
      <text>
        <r>
          <rPr>
            <sz val="10"/>
            <color rgb="FF000000"/>
            <rFont val="Arial"/>
            <scheme val="minor"/>
          </rPr>
          <t>Responder updated this value.</t>
        </r>
      </text>
    </comment>
    <comment ref="AT47" authorId="0" shapeId="0" xr:uid="{00000000-0006-0000-0300-0000FC030000}">
      <text>
        <r>
          <rPr>
            <sz val="10"/>
            <color rgb="FF000000"/>
            <rFont val="Arial"/>
            <scheme val="minor"/>
          </rPr>
          <t>Responder updated this value.</t>
        </r>
      </text>
    </comment>
    <comment ref="AU47" authorId="0" shapeId="0" xr:uid="{00000000-0006-0000-0300-0000FD030000}">
      <text>
        <r>
          <rPr>
            <sz val="10"/>
            <color rgb="FF000000"/>
            <rFont val="Arial"/>
            <scheme val="minor"/>
          </rPr>
          <t>Responder updated this value.</t>
        </r>
      </text>
    </comment>
    <comment ref="D48" authorId="0" shapeId="0" xr:uid="{00000000-0006-0000-0300-0000FE030000}">
      <text>
        <r>
          <rPr>
            <sz val="10"/>
            <color rgb="FF000000"/>
            <rFont val="Arial"/>
            <scheme val="minor"/>
          </rPr>
          <t>Responder updated this value.</t>
        </r>
      </text>
    </comment>
    <comment ref="K48" authorId="0" shapeId="0" xr:uid="{00000000-0006-0000-0300-0000FF030000}">
      <text>
        <r>
          <rPr>
            <sz val="10"/>
            <color rgb="FF000000"/>
            <rFont val="Arial"/>
            <scheme val="minor"/>
          </rPr>
          <t>Responder updated this value.</t>
        </r>
      </text>
    </comment>
    <comment ref="N48" authorId="0" shapeId="0" xr:uid="{00000000-0006-0000-0300-000000040000}">
      <text>
        <r>
          <rPr>
            <sz val="10"/>
            <color rgb="FF000000"/>
            <rFont val="Arial"/>
            <scheme val="minor"/>
          </rPr>
          <t>Responder updated this value.</t>
        </r>
      </text>
    </comment>
    <comment ref="O48" authorId="0" shapeId="0" xr:uid="{00000000-0006-0000-0300-000001040000}">
      <text>
        <r>
          <rPr>
            <sz val="10"/>
            <color rgb="FF000000"/>
            <rFont val="Arial"/>
            <scheme val="minor"/>
          </rPr>
          <t>Responder updated this value.</t>
        </r>
      </text>
    </comment>
    <comment ref="P48" authorId="0" shapeId="0" xr:uid="{00000000-0006-0000-0300-000002040000}">
      <text>
        <r>
          <rPr>
            <sz val="10"/>
            <color rgb="FF000000"/>
            <rFont val="Arial"/>
            <scheme val="minor"/>
          </rPr>
          <t>Responder updated this value.</t>
        </r>
      </text>
    </comment>
    <comment ref="Q48" authorId="0" shapeId="0" xr:uid="{00000000-0006-0000-0300-000003040000}">
      <text>
        <r>
          <rPr>
            <sz val="10"/>
            <color rgb="FF000000"/>
            <rFont val="Arial"/>
            <scheme val="minor"/>
          </rPr>
          <t>Responder updated this value.</t>
        </r>
      </text>
    </comment>
    <comment ref="R48" authorId="0" shapeId="0" xr:uid="{00000000-0006-0000-0300-000004040000}">
      <text>
        <r>
          <rPr>
            <sz val="10"/>
            <color rgb="FF000000"/>
            <rFont val="Arial"/>
            <scheme val="minor"/>
          </rPr>
          <t>Responder updated this value.</t>
        </r>
      </text>
    </comment>
    <comment ref="S48" authorId="0" shapeId="0" xr:uid="{00000000-0006-0000-0300-000005040000}">
      <text>
        <r>
          <rPr>
            <sz val="10"/>
            <color rgb="FF000000"/>
            <rFont val="Arial"/>
            <scheme val="minor"/>
          </rPr>
          <t>Responder updated this value.</t>
        </r>
      </text>
    </comment>
    <comment ref="U48" authorId="0" shapeId="0" xr:uid="{00000000-0006-0000-0300-000006040000}">
      <text>
        <r>
          <rPr>
            <sz val="10"/>
            <color rgb="FF000000"/>
            <rFont val="Arial"/>
            <scheme val="minor"/>
          </rPr>
          <t>Responder updated this value.</t>
        </r>
      </text>
    </comment>
    <comment ref="X48" authorId="0" shapeId="0" xr:uid="{00000000-0006-0000-0300-000007040000}">
      <text>
        <r>
          <rPr>
            <sz val="10"/>
            <color rgb="FF000000"/>
            <rFont val="Arial"/>
            <scheme val="minor"/>
          </rPr>
          <t>Responder updated this value.</t>
        </r>
      </text>
    </comment>
    <comment ref="AC48" authorId="0" shapeId="0" xr:uid="{00000000-0006-0000-0300-000008040000}">
      <text>
        <r>
          <rPr>
            <sz val="10"/>
            <color rgb="FF000000"/>
            <rFont val="Arial"/>
            <scheme val="minor"/>
          </rPr>
          <t>Responder updated this value.</t>
        </r>
      </text>
    </comment>
    <comment ref="AD48" authorId="0" shapeId="0" xr:uid="{00000000-0006-0000-0300-000009040000}">
      <text>
        <r>
          <rPr>
            <sz val="10"/>
            <color rgb="FF000000"/>
            <rFont val="Arial"/>
            <scheme val="minor"/>
          </rPr>
          <t>Responder updated this value.</t>
        </r>
      </text>
    </comment>
    <comment ref="AE48" authorId="0" shapeId="0" xr:uid="{00000000-0006-0000-0300-00000A040000}">
      <text>
        <r>
          <rPr>
            <sz val="10"/>
            <color rgb="FF000000"/>
            <rFont val="Arial"/>
            <scheme val="minor"/>
          </rPr>
          <t>Responder updated this value.</t>
        </r>
      </text>
    </comment>
    <comment ref="AI48" authorId="0" shapeId="0" xr:uid="{00000000-0006-0000-0300-00000B040000}">
      <text>
        <r>
          <rPr>
            <sz val="10"/>
            <color rgb="FF000000"/>
            <rFont val="Arial"/>
            <scheme val="minor"/>
          </rPr>
          <t>Responder updated this value.</t>
        </r>
      </text>
    </comment>
    <comment ref="AJ48" authorId="0" shapeId="0" xr:uid="{00000000-0006-0000-0300-00000C040000}">
      <text>
        <r>
          <rPr>
            <sz val="10"/>
            <color rgb="FF000000"/>
            <rFont val="Arial"/>
            <scheme val="minor"/>
          </rPr>
          <t>Responder updated this value.</t>
        </r>
      </text>
    </comment>
    <comment ref="AK48" authorId="0" shapeId="0" xr:uid="{00000000-0006-0000-0300-00000D040000}">
      <text>
        <r>
          <rPr>
            <sz val="10"/>
            <color rgb="FF000000"/>
            <rFont val="Arial"/>
            <scheme val="minor"/>
          </rPr>
          <t>Responder updated this value.</t>
        </r>
      </text>
    </comment>
    <comment ref="AL48" authorId="0" shapeId="0" xr:uid="{00000000-0006-0000-0300-00000E040000}">
      <text>
        <r>
          <rPr>
            <sz val="10"/>
            <color rgb="FF000000"/>
            <rFont val="Arial"/>
            <scheme val="minor"/>
          </rPr>
          <t>Responder updated this value.</t>
        </r>
      </text>
    </comment>
    <comment ref="AM48" authorId="0" shapeId="0" xr:uid="{00000000-0006-0000-0300-00000F040000}">
      <text>
        <r>
          <rPr>
            <sz val="10"/>
            <color rgb="FF000000"/>
            <rFont val="Arial"/>
            <scheme val="minor"/>
          </rPr>
          <t>Responder updated this value.</t>
        </r>
      </text>
    </comment>
    <comment ref="AN48" authorId="0" shapeId="0" xr:uid="{00000000-0006-0000-0300-000010040000}">
      <text>
        <r>
          <rPr>
            <sz val="10"/>
            <color rgb="FF000000"/>
            <rFont val="Arial"/>
            <scheme val="minor"/>
          </rPr>
          <t>Responder updated this value.</t>
        </r>
      </text>
    </comment>
    <comment ref="AO48" authorId="0" shapeId="0" xr:uid="{00000000-0006-0000-0300-000011040000}">
      <text>
        <r>
          <rPr>
            <sz val="10"/>
            <color rgb="FF000000"/>
            <rFont val="Arial"/>
            <scheme val="minor"/>
          </rPr>
          <t>Responder updated this value.</t>
        </r>
      </text>
    </comment>
    <comment ref="AP48" authorId="0" shapeId="0" xr:uid="{00000000-0006-0000-0300-000012040000}">
      <text>
        <r>
          <rPr>
            <sz val="10"/>
            <color rgb="FF000000"/>
            <rFont val="Arial"/>
            <scheme val="minor"/>
          </rPr>
          <t>Responder updated this value.</t>
        </r>
      </text>
    </comment>
    <comment ref="AQ48" authorId="0" shapeId="0" xr:uid="{00000000-0006-0000-0300-000013040000}">
      <text>
        <r>
          <rPr>
            <sz val="10"/>
            <color rgb="FF000000"/>
            <rFont val="Arial"/>
            <scheme val="minor"/>
          </rPr>
          <t>Responder updated this value.</t>
        </r>
      </text>
    </comment>
    <comment ref="AR48" authorId="0" shapeId="0" xr:uid="{00000000-0006-0000-0300-000014040000}">
      <text>
        <r>
          <rPr>
            <sz val="10"/>
            <color rgb="FF000000"/>
            <rFont val="Arial"/>
            <scheme val="minor"/>
          </rPr>
          <t>Responder updated this value.</t>
        </r>
      </text>
    </comment>
    <comment ref="AS48" authorId="0" shapeId="0" xr:uid="{00000000-0006-0000-0300-000015040000}">
      <text>
        <r>
          <rPr>
            <sz val="10"/>
            <color rgb="FF000000"/>
            <rFont val="Arial"/>
            <scheme val="minor"/>
          </rPr>
          <t>Responder updated this value.</t>
        </r>
      </text>
    </comment>
    <comment ref="AT48" authorId="0" shapeId="0" xr:uid="{00000000-0006-0000-0300-000016040000}">
      <text>
        <r>
          <rPr>
            <sz val="10"/>
            <color rgb="FF000000"/>
            <rFont val="Arial"/>
            <scheme val="minor"/>
          </rPr>
          <t>Responder updated this value.</t>
        </r>
      </text>
    </comment>
    <comment ref="AU48" authorId="0" shapeId="0" xr:uid="{00000000-0006-0000-0300-000017040000}">
      <text>
        <r>
          <rPr>
            <sz val="10"/>
            <color rgb="FF000000"/>
            <rFont val="Arial"/>
            <scheme val="minor"/>
          </rPr>
          <t>Responder updated this value.</t>
        </r>
      </text>
    </comment>
    <comment ref="D49" authorId="0" shapeId="0" xr:uid="{00000000-0006-0000-0300-000018040000}">
      <text>
        <r>
          <rPr>
            <sz val="10"/>
            <color rgb="FF000000"/>
            <rFont val="Arial"/>
            <scheme val="minor"/>
          </rPr>
          <t>Responder updated this value.</t>
        </r>
      </text>
    </comment>
    <comment ref="N49" authorId="0" shapeId="0" xr:uid="{00000000-0006-0000-0300-000019040000}">
      <text>
        <r>
          <rPr>
            <sz val="10"/>
            <color rgb="FF000000"/>
            <rFont val="Arial"/>
            <scheme val="minor"/>
          </rPr>
          <t>Responder updated this value.</t>
        </r>
      </text>
    </comment>
    <comment ref="O49" authorId="0" shapeId="0" xr:uid="{00000000-0006-0000-0300-00001A040000}">
      <text>
        <r>
          <rPr>
            <sz val="10"/>
            <color rgb="FF000000"/>
            <rFont val="Arial"/>
            <scheme val="minor"/>
          </rPr>
          <t>Responder updated this value.</t>
        </r>
      </text>
    </comment>
    <comment ref="P49" authorId="0" shapeId="0" xr:uid="{00000000-0006-0000-0300-00001B040000}">
      <text>
        <r>
          <rPr>
            <sz val="10"/>
            <color rgb="FF000000"/>
            <rFont val="Arial"/>
            <scheme val="minor"/>
          </rPr>
          <t>Responder updated this value.</t>
        </r>
      </text>
    </comment>
    <comment ref="Q49" authorId="0" shapeId="0" xr:uid="{00000000-0006-0000-0300-00001C040000}">
      <text>
        <r>
          <rPr>
            <sz val="10"/>
            <color rgb="FF000000"/>
            <rFont val="Arial"/>
            <scheme val="minor"/>
          </rPr>
          <t>Responder updated this value.</t>
        </r>
      </text>
    </comment>
    <comment ref="R49" authorId="0" shapeId="0" xr:uid="{00000000-0006-0000-0300-00001D040000}">
      <text>
        <r>
          <rPr>
            <sz val="10"/>
            <color rgb="FF000000"/>
            <rFont val="Arial"/>
            <scheme val="minor"/>
          </rPr>
          <t>Responder updated this value.</t>
        </r>
      </text>
    </comment>
    <comment ref="S49" authorId="0" shapeId="0" xr:uid="{00000000-0006-0000-0300-00001E040000}">
      <text>
        <r>
          <rPr>
            <sz val="10"/>
            <color rgb="FF000000"/>
            <rFont val="Arial"/>
            <scheme val="minor"/>
          </rPr>
          <t>Responder updated this value.</t>
        </r>
      </text>
    </comment>
    <comment ref="T49" authorId="0" shapeId="0" xr:uid="{00000000-0006-0000-0300-00001F040000}">
      <text>
        <r>
          <rPr>
            <sz val="10"/>
            <color rgb="FF000000"/>
            <rFont val="Arial"/>
            <scheme val="minor"/>
          </rPr>
          <t>Responder updated this value.</t>
        </r>
      </text>
    </comment>
    <comment ref="U49" authorId="0" shapeId="0" xr:uid="{00000000-0006-0000-0300-000020040000}">
      <text>
        <r>
          <rPr>
            <sz val="10"/>
            <color rgb="FF000000"/>
            <rFont val="Arial"/>
            <scheme val="minor"/>
          </rPr>
          <t>Responder updated this value.</t>
        </r>
      </text>
    </comment>
    <comment ref="V49" authorId="0" shapeId="0" xr:uid="{00000000-0006-0000-0300-000021040000}">
      <text>
        <r>
          <rPr>
            <sz val="10"/>
            <color rgb="FF000000"/>
            <rFont val="Arial"/>
            <scheme val="minor"/>
          </rPr>
          <t>Responder updated this value.</t>
        </r>
      </text>
    </comment>
    <comment ref="W49" authorId="0" shapeId="0" xr:uid="{00000000-0006-0000-0300-000022040000}">
      <text>
        <r>
          <rPr>
            <sz val="10"/>
            <color rgb="FF000000"/>
            <rFont val="Arial"/>
            <scheme val="minor"/>
          </rPr>
          <t>Responder updated this value.</t>
        </r>
      </text>
    </comment>
    <comment ref="X49" authorId="0" shapeId="0" xr:uid="{00000000-0006-0000-0300-000023040000}">
      <text>
        <r>
          <rPr>
            <sz val="10"/>
            <color rgb="FF000000"/>
            <rFont val="Arial"/>
            <scheme val="minor"/>
          </rPr>
          <t>Responder updated this value.</t>
        </r>
      </text>
    </comment>
    <comment ref="Y49" authorId="0" shapeId="0" xr:uid="{00000000-0006-0000-0300-000024040000}">
      <text>
        <r>
          <rPr>
            <sz val="10"/>
            <color rgb="FF000000"/>
            <rFont val="Arial"/>
            <scheme val="minor"/>
          </rPr>
          <t>Responder updated this value.</t>
        </r>
      </text>
    </comment>
    <comment ref="AC49" authorId="0" shapeId="0" xr:uid="{00000000-0006-0000-0300-000025040000}">
      <text>
        <r>
          <rPr>
            <sz val="10"/>
            <color rgb="FF000000"/>
            <rFont val="Arial"/>
            <scheme val="minor"/>
          </rPr>
          <t>Responder updated this value.</t>
        </r>
      </text>
    </comment>
    <comment ref="AD49" authorId="0" shapeId="0" xr:uid="{00000000-0006-0000-0300-000026040000}">
      <text>
        <r>
          <rPr>
            <sz val="10"/>
            <color rgb="FF000000"/>
            <rFont val="Arial"/>
            <scheme val="minor"/>
          </rPr>
          <t>Responder updated this value.</t>
        </r>
      </text>
    </comment>
    <comment ref="AE49" authorId="0" shapeId="0" xr:uid="{00000000-0006-0000-0300-000027040000}">
      <text>
        <r>
          <rPr>
            <sz val="10"/>
            <color rgb="FF000000"/>
            <rFont val="Arial"/>
            <scheme val="minor"/>
          </rPr>
          <t>Responder updated this value.</t>
        </r>
      </text>
    </comment>
    <comment ref="AJ49" authorId="0" shapeId="0" xr:uid="{00000000-0006-0000-0300-000028040000}">
      <text>
        <r>
          <rPr>
            <sz val="10"/>
            <color rgb="FF000000"/>
            <rFont val="Arial"/>
            <scheme val="minor"/>
          </rPr>
          <t>Responder updated this value.</t>
        </r>
      </text>
    </comment>
    <comment ref="AK49" authorId="0" shapeId="0" xr:uid="{00000000-0006-0000-0300-000029040000}">
      <text>
        <r>
          <rPr>
            <sz val="10"/>
            <color rgb="FF000000"/>
            <rFont val="Arial"/>
            <scheme val="minor"/>
          </rPr>
          <t>Responder updated this value.</t>
        </r>
      </text>
    </comment>
    <comment ref="AL49" authorId="0" shapeId="0" xr:uid="{00000000-0006-0000-0300-00002A040000}">
      <text>
        <r>
          <rPr>
            <sz val="10"/>
            <color rgb="FF000000"/>
            <rFont val="Arial"/>
            <scheme val="minor"/>
          </rPr>
          <t>Responder updated this value.</t>
        </r>
      </text>
    </comment>
    <comment ref="AO49" authorId="0" shapeId="0" xr:uid="{00000000-0006-0000-0300-00002B040000}">
      <text>
        <r>
          <rPr>
            <sz val="10"/>
            <color rgb="FF000000"/>
            <rFont val="Arial"/>
            <scheme val="minor"/>
          </rPr>
          <t>Responder updated this value.</t>
        </r>
      </text>
    </comment>
    <comment ref="AP49" authorId="0" shapeId="0" xr:uid="{00000000-0006-0000-0300-00002C040000}">
      <text>
        <r>
          <rPr>
            <sz val="10"/>
            <color rgb="FF000000"/>
            <rFont val="Arial"/>
            <scheme val="minor"/>
          </rPr>
          <t>Responder updated this value.</t>
        </r>
      </text>
    </comment>
    <comment ref="AQ49" authorId="0" shapeId="0" xr:uid="{00000000-0006-0000-0300-00002D040000}">
      <text>
        <r>
          <rPr>
            <sz val="10"/>
            <color rgb="FF000000"/>
            <rFont val="Arial"/>
            <scheme val="minor"/>
          </rPr>
          <t>Responder updated this value.</t>
        </r>
      </text>
    </comment>
    <comment ref="AR49" authorId="0" shapeId="0" xr:uid="{00000000-0006-0000-0300-00002E040000}">
      <text>
        <r>
          <rPr>
            <sz val="10"/>
            <color rgb="FF000000"/>
            <rFont val="Arial"/>
            <scheme val="minor"/>
          </rPr>
          <t>Responder updated this value.</t>
        </r>
      </text>
    </comment>
    <comment ref="AS49" authorId="0" shapeId="0" xr:uid="{00000000-0006-0000-0300-00002F040000}">
      <text>
        <r>
          <rPr>
            <sz val="10"/>
            <color rgb="FF000000"/>
            <rFont val="Arial"/>
            <scheme val="minor"/>
          </rPr>
          <t>Responder updated this value.</t>
        </r>
      </text>
    </comment>
    <comment ref="AT49" authorId="0" shapeId="0" xr:uid="{00000000-0006-0000-0300-000030040000}">
      <text>
        <r>
          <rPr>
            <sz val="10"/>
            <color rgb="FF000000"/>
            <rFont val="Arial"/>
            <scheme val="minor"/>
          </rPr>
          <t>Responder updated this value.</t>
        </r>
      </text>
    </comment>
    <comment ref="AU49" authorId="0" shapeId="0" xr:uid="{00000000-0006-0000-0300-000031040000}">
      <text>
        <r>
          <rPr>
            <sz val="10"/>
            <color rgb="FF000000"/>
            <rFont val="Arial"/>
            <scheme val="minor"/>
          </rPr>
          <t>Responder updated this value.</t>
        </r>
      </text>
    </comment>
    <comment ref="D50" authorId="0" shapeId="0" xr:uid="{00000000-0006-0000-0300-000032040000}">
      <text>
        <r>
          <rPr>
            <sz val="10"/>
            <color rgb="FF000000"/>
            <rFont val="Arial"/>
            <scheme val="minor"/>
          </rPr>
          <t>Responder updated this value.</t>
        </r>
      </text>
    </comment>
    <comment ref="K50" authorId="0" shapeId="0" xr:uid="{00000000-0006-0000-0300-000033040000}">
      <text>
        <r>
          <rPr>
            <sz val="10"/>
            <color rgb="FF000000"/>
            <rFont val="Arial"/>
            <scheme val="minor"/>
          </rPr>
          <t>Responder updated this value.</t>
        </r>
      </text>
    </comment>
    <comment ref="N50" authorId="0" shapeId="0" xr:uid="{00000000-0006-0000-0300-000034040000}">
      <text>
        <r>
          <rPr>
            <sz val="10"/>
            <color rgb="FF000000"/>
            <rFont val="Arial"/>
            <scheme val="minor"/>
          </rPr>
          <t>Responder updated this value.</t>
        </r>
      </text>
    </comment>
    <comment ref="O50" authorId="0" shapeId="0" xr:uid="{00000000-0006-0000-0300-000035040000}">
      <text>
        <r>
          <rPr>
            <sz val="10"/>
            <color rgb="FF000000"/>
            <rFont val="Arial"/>
            <scheme val="minor"/>
          </rPr>
          <t>Responder updated this value.</t>
        </r>
      </text>
    </comment>
    <comment ref="P50" authorId="0" shapeId="0" xr:uid="{00000000-0006-0000-0300-000036040000}">
      <text>
        <r>
          <rPr>
            <sz val="10"/>
            <color rgb="FF000000"/>
            <rFont val="Arial"/>
            <scheme val="minor"/>
          </rPr>
          <t>Responder updated this value.</t>
        </r>
      </text>
    </comment>
    <comment ref="Q50" authorId="0" shapeId="0" xr:uid="{00000000-0006-0000-0300-000037040000}">
      <text>
        <r>
          <rPr>
            <sz val="10"/>
            <color rgb="FF000000"/>
            <rFont val="Arial"/>
            <scheme val="minor"/>
          </rPr>
          <t>Responder updated this value.</t>
        </r>
      </text>
    </comment>
    <comment ref="R50" authorId="0" shapeId="0" xr:uid="{00000000-0006-0000-0300-000038040000}">
      <text>
        <r>
          <rPr>
            <sz val="10"/>
            <color rgb="FF000000"/>
            <rFont val="Arial"/>
            <scheme val="minor"/>
          </rPr>
          <t>Responder updated this value.</t>
        </r>
      </text>
    </comment>
    <comment ref="S50" authorId="0" shapeId="0" xr:uid="{00000000-0006-0000-0300-000039040000}">
      <text>
        <r>
          <rPr>
            <sz val="10"/>
            <color rgb="FF000000"/>
            <rFont val="Arial"/>
            <scheme val="minor"/>
          </rPr>
          <t>Responder updated this value.</t>
        </r>
      </text>
    </comment>
    <comment ref="T50" authorId="0" shapeId="0" xr:uid="{00000000-0006-0000-0300-00003A040000}">
      <text>
        <r>
          <rPr>
            <sz val="10"/>
            <color rgb="FF000000"/>
            <rFont val="Arial"/>
            <scheme val="minor"/>
          </rPr>
          <t>Responder updated this value.</t>
        </r>
      </text>
    </comment>
    <comment ref="V50" authorId="0" shapeId="0" xr:uid="{00000000-0006-0000-0300-00003B040000}">
      <text>
        <r>
          <rPr>
            <sz val="10"/>
            <color rgb="FF000000"/>
            <rFont val="Arial"/>
            <scheme val="minor"/>
          </rPr>
          <t>Responder updated this value.</t>
        </r>
      </text>
    </comment>
    <comment ref="W50" authorId="0" shapeId="0" xr:uid="{00000000-0006-0000-0300-00003C040000}">
      <text>
        <r>
          <rPr>
            <sz val="10"/>
            <color rgb="FF000000"/>
            <rFont val="Arial"/>
            <scheme val="minor"/>
          </rPr>
          <t>Responder updated this value.</t>
        </r>
      </text>
    </comment>
    <comment ref="X50" authorId="0" shapeId="0" xr:uid="{00000000-0006-0000-0300-00003D040000}">
      <text>
        <r>
          <rPr>
            <sz val="10"/>
            <color rgb="FF000000"/>
            <rFont val="Arial"/>
            <scheme val="minor"/>
          </rPr>
          <t>Responder updated this value.</t>
        </r>
      </text>
    </comment>
    <comment ref="AC50" authorId="0" shapeId="0" xr:uid="{00000000-0006-0000-0300-00003E040000}">
      <text>
        <r>
          <rPr>
            <sz val="10"/>
            <color rgb="FF000000"/>
            <rFont val="Arial"/>
            <scheme val="minor"/>
          </rPr>
          <t>Responder updated this value.</t>
        </r>
      </text>
    </comment>
    <comment ref="AD50" authorId="0" shapeId="0" xr:uid="{00000000-0006-0000-0300-00003F040000}">
      <text>
        <r>
          <rPr>
            <sz val="10"/>
            <color rgb="FF000000"/>
            <rFont val="Arial"/>
            <scheme val="minor"/>
          </rPr>
          <t>Responder updated this value.</t>
        </r>
      </text>
    </comment>
    <comment ref="AE50" authorId="0" shapeId="0" xr:uid="{00000000-0006-0000-0300-000040040000}">
      <text>
        <r>
          <rPr>
            <sz val="10"/>
            <color rgb="FF000000"/>
            <rFont val="Arial"/>
            <scheme val="minor"/>
          </rPr>
          <t>Responder updated this value.</t>
        </r>
      </text>
    </comment>
    <comment ref="AF50" authorId="0" shapeId="0" xr:uid="{00000000-0006-0000-0300-000041040000}">
      <text>
        <r>
          <rPr>
            <sz val="10"/>
            <color rgb="FF000000"/>
            <rFont val="Arial"/>
            <scheme val="minor"/>
          </rPr>
          <t>Responder updated this value.</t>
        </r>
      </text>
    </comment>
    <comment ref="AG50" authorId="0" shapeId="0" xr:uid="{00000000-0006-0000-0300-000042040000}">
      <text>
        <r>
          <rPr>
            <sz val="10"/>
            <color rgb="FF000000"/>
            <rFont val="Arial"/>
            <scheme val="minor"/>
          </rPr>
          <t>Responder updated this value.</t>
        </r>
      </text>
    </comment>
    <comment ref="AH50" authorId="0" shapeId="0" xr:uid="{00000000-0006-0000-0300-000043040000}">
      <text>
        <r>
          <rPr>
            <sz val="10"/>
            <color rgb="FF000000"/>
            <rFont val="Arial"/>
            <scheme val="minor"/>
          </rPr>
          <t>Responder updated this value.</t>
        </r>
      </text>
    </comment>
    <comment ref="AI50" authorId="0" shapeId="0" xr:uid="{00000000-0006-0000-0300-000044040000}">
      <text>
        <r>
          <rPr>
            <sz val="10"/>
            <color rgb="FF000000"/>
            <rFont val="Arial"/>
            <scheme val="minor"/>
          </rPr>
          <t>Responder updated this value.</t>
        </r>
      </text>
    </comment>
    <comment ref="AJ50" authorId="0" shapeId="0" xr:uid="{00000000-0006-0000-0300-000045040000}">
      <text>
        <r>
          <rPr>
            <sz val="10"/>
            <color rgb="FF000000"/>
            <rFont val="Arial"/>
            <scheme val="minor"/>
          </rPr>
          <t>Responder updated this value.</t>
        </r>
      </text>
    </comment>
    <comment ref="AK50" authorId="0" shapeId="0" xr:uid="{00000000-0006-0000-0300-000046040000}">
      <text>
        <r>
          <rPr>
            <sz val="10"/>
            <color rgb="FF000000"/>
            <rFont val="Arial"/>
            <scheme val="minor"/>
          </rPr>
          <t>Responder updated this value.</t>
        </r>
      </text>
    </comment>
    <comment ref="AL50" authorId="0" shapeId="0" xr:uid="{00000000-0006-0000-0300-000047040000}">
      <text>
        <r>
          <rPr>
            <sz val="10"/>
            <color rgb="FF000000"/>
            <rFont val="Arial"/>
            <scheme val="minor"/>
          </rPr>
          <t>Responder updated this value.</t>
        </r>
      </text>
    </comment>
    <comment ref="AM50" authorId="0" shapeId="0" xr:uid="{00000000-0006-0000-0300-000048040000}">
      <text>
        <r>
          <rPr>
            <sz val="10"/>
            <color rgb="FF000000"/>
            <rFont val="Arial"/>
            <scheme val="minor"/>
          </rPr>
          <t>Responder updated this value.</t>
        </r>
      </text>
    </comment>
    <comment ref="AN50" authorId="0" shapeId="0" xr:uid="{00000000-0006-0000-0300-000049040000}">
      <text>
        <r>
          <rPr>
            <sz val="10"/>
            <color rgb="FF000000"/>
            <rFont val="Arial"/>
            <scheme val="minor"/>
          </rPr>
          <t>Responder updated this value.</t>
        </r>
      </text>
    </comment>
    <comment ref="AO50" authorId="0" shapeId="0" xr:uid="{00000000-0006-0000-0300-00004A040000}">
      <text>
        <r>
          <rPr>
            <sz val="10"/>
            <color rgb="FF000000"/>
            <rFont val="Arial"/>
            <scheme val="minor"/>
          </rPr>
          <t>Responder updated this value.</t>
        </r>
      </text>
    </comment>
    <comment ref="AP50" authorId="0" shapeId="0" xr:uid="{00000000-0006-0000-0300-00004B040000}">
      <text>
        <r>
          <rPr>
            <sz val="10"/>
            <color rgb="FF000000"/>
            <rFont val="Arial"/>
            <scheme val="minor"/>
          </rPr>
          <t>Responder updated this value.</t>
        </r>
      </text>
    </comment>
    <comment ref="AQ50" authorId="0" shapeId="0" xr:uid="{00000000-0006-0000-0300-00004C040000}">
      <text>
        <r>
          <rPr>
            <sz val="10"/>
            <color rgb="FF000000"/>
            <rFont val="Arial"/>
            <scheme val="minor"/>
          </rPr>
          <t>Responder updated this value.</t>
        </r>
      </text>
    </comment>
    <comment ref="AR50" authorId="0" shapeId="0" xr:uid="{00000000-0006-0000-0300-00004D040000}">
      <text>
        <r>
          <rPr>
            <sz val="10"/>
            <color rgb="FF000000"/>
            <rFont val="Arial"/>
            <scheme val="minor"/>
          </rPr>
          <t>Responder updated this value.</t>
        </r>
      </text>
    </comment>
    <comment ref="AS50" authorId="0" shapeId="0" xr:uid="{00000000-0006-0000-0300-00004E040000}">
      <text>
        <r>
          <rPr>
            <sz val="10"/>
            <color rgb="FF000000"/>
            <rFont val="Arial"/>
            <scheme val="minor"/>
          </rPr>
          <t>Responder updated this value.</t>
        </r>
      </text>
    </comment>
    <comment ref="AT50" authorId="0" shapeId="0" xr:uid="{00000000-0006-0000-0300-00004F040000}">
      <text>
        <r>
          <rPr>
            <sz val="10"/>
            <color rgb="FF000000"/>
            <rFont val="Arial"/>
            <scheme val="minor"/>
          </rPr>
          <t>Responder updated this value.</t>
        </r>
      </text>
    </comment>
    <comment ref="AU50" authorId="0" shapeId="0" xr:uid="{00000000-0006-0000-0300-000050040000}">
      <text>
        <r>
          <rPr>
            <sz val="10"/>
            <color rgb="FF000000"/>
            <rFont val="Arial"/>
            <scheme val="minor"/>
          </rPr>
          <t>Responder updated this value.</t>
        </r>
      </text>
    </comment>
    <comment ref="D51" authorId="0" shapeId="0" xr:uid="{00000000-0006-0000-0300-000051040000}">
      <text>
        <r>
          <rPr>
            <sz val="10"/>
            <color rgb="FF000000"/>
            <rFont val="Arial"/>
            <scheme val="minor"/>
          </rPr>
          <t>Responder updated this value.</t>
        </r>
      </text>
    </comment>
    <comment ref="N51" authorId="0" shapeId="0" xr:uid="{00000000-0006-0000-0300-000052040000}">
      <text>
        <r>
          <rPr>
            <sz val="10"/>
            <color rgb="FF000000"/>
            <rFont val="Arial"/>
            <scheme val="minor"/>
          </rPr>
          <t>Responder updated this value.</t>
        </r>
      </text>
    </comment>
    <comment ref="O51" authorId="0" shapeId="0" xr:uid="{00000000-0006-0000-0300-000053040000}">
      <text>
        <r>
          <rPr>
            <sz val="10"/>
            <color rgb="FF000000"/>
            <rFont val="Arial"/>
            <scheme val="minor"/>
          </rPr>
          <t>Responder updated this value.</t>
        </r>
      </text>
    </comment>
    <comment ref="P51" authorId="0" shapeId="0" xr:uid="{00000000-0006-0000-0300-000054040000}">
      <text>
        <r>
          <rPr>
            <sz val="10"/>
            <color rgb="FF000000"/>
            <rFont val="Arial"/>
            <scheme val="minor"/>
          </rPr>
          <t>Responder updated this value.</t>
        </r>
      </text>
    </comment>
    <comment ref="Q51" authorId="0" shapeId="0" xr:uid="{00000000-0006-0000-0300-000055040000}">
      <text>
        <r>
          <rPr>
            <sz val="10"/>
            <color rgb="FF000000"/>
            <rFont val="Arial"/>
            <scheme val="minor"/>
          </rPr>
          <t>Responder updated this value.</t>
        </r>
      </text>
    </comment>
    <comment ref="R51" authorId="0" shapeId="0" xr:uid="{00000000-0006-0000-0300-000056040000}">
      <text>
        <r>
          <rPr>
            <sz val="10"/>
            <color rgb="FF000000"/>
            <rFont val="Arial"/>
            <scheme val="minor"/>
          </rPr>
          <t>Responder updated this value.</t>
        </r>
      </text>
    </comment>
    <comment ref="S51" authorId="0" shapeId="0" xr:uid="{00000000-0006-0000-0300-000057040000}">
      <text>
        <r>
          <rPr>
            <sz val="10"/>
            <color rgb="FF000000"/>
            <rFont val="Arial"/>
            <scheme val="minor"/>
          </rPr>
          <t>Responder updated this value.</t>
        </r>
      </text>
    </comment>
    <comment ref="T51" authorId="0" shapeId="0" xr:uid="{00000000-0006-0000-0300-000058040000}">
      <text>
        <r>
          <rPr>
            <sz val="10"/>
            <color rgb="FF000000"/>
            <rFont val="Arial"/>
            <scheme val="minor"/>
          </rPr>
          <t>Responder updated this value.</t>
        </r>
      </text>
    </comment>
    <comment ref="V51" authorId="0" shapeId="0" xr:uid="{00000000-0006-0000-0300-000059040000}">
      <text>
        <r>
          <rPr>
            <sz val="10"/>
            <color rgb="FF000000"/>
            <rFont val="Arial"/>
            <scheme val="minor"/>
          </rPr>
          <t>Responder updated this value.</t>
        </r>
      </text>
    </comment>
    <comment ref="W51" authorId="0" shapeId="0" xr:uid="{00000000-0006-0000-0300-00005A040000}">
      <text>
        <r>
          <rPr>
            <sz val="10"/>
            <color rgb="FF000000"/>
            <rFont val="Arial"/>
            <scheme val="minor"/>
          </rPr>
          <t>Responder updated this value.</t>
        </r>
      </text>
    </comment>
    <comment ref="X51" authorId="0" shapeId="0" xr:uid="{00000000-0006-0000-0300-00005B040000}">
      <text>
        <r>
          <rPr>
            <sz val="10"/>
            <color rgb="FF000000"/>
            <rFont val="Arial"/>
            <scheme val="minor"/>
          </rPr>
          <t>Responder updated this value.</t>
        </r>
      </text>
    </comment>
    <comment ref="AC51" authorId="0" shapeId="0" xr:uid="{00000000-0006-0000-0300-00005C040000}">
      <text>
        <r>
          <rPr>
            <sz val="10"/>
            <color rgb="FF000000"/>
            <rFont val="Arial"/>
            <scheme val="minor"/>
          </rPr>
          <t>Responder updated this value.</t>
        </r>
      </text>
    </comment>
    <comment ref="AD51" authorId="0" shapeId="0" xr:uid="{00000000-0006-0000-0300-00005D040000}">
      <text>
        <r>
          <rPr>
            <sz val="10"/>
            <color rgb="FF000000"/>
            <rFont val="Arial"/>
            <scheme val="minor"/>
          </rPr>
          <t>Responder updated this value.</t>
        </r>
      </text>
    </comment>
    <comment ref="AE51" authorId="0" shapeId="0" xr:uid="{00000000-0006-0000-0300-00005E040000}">
      <text>
        <r>
          <rPr>
            <sz val="10"/>
            <color rgb="FF000000"/>
            <rFont val="Arial"/>
            <scheme val="minor"/>
          </rPr>
          <t>Responder updated this value.</t>
        </r>
      </text>
    </comment>
    <comment ref="AF51" authorId="0" shapeId="0" xr:uid="{00000000-0006-0000-0300-00005F040000}">
      <text>
        <r>
          <rPr>
            <sz val="10"/>
            <color rgb="FF000000"/>
            <rFont val="Arial"/>
            <scheme val="minor"/>
          </rPr>
          <t>Responder updated this value.</t>
        </r>
      </text>
    </comment>
    <comment ref="AG51" authorId="0" shapeId="0" xr:uid="{00000000-0006-0000-0300-000060040000}">
      <text>
        <r>
          <rPr>
            <sz val="10"/>
            <color rgb="FF000000"/>
            <rFont val="Arial"/>
            <scheme val="minor"/>
          </rPr>
          <t>Responder updated this value.</t>
        </r>
      </text>
    </comment>
    <comment ref="AK51" authorId="0" shapeId="0" xr:uid="{00000000-0006-0000-0300-000061040000}">
      <text>
        <r>
          <rPr>
            <sz val="10"/>
            <color rgb="FF000000"/>
            <rFont val="Arial"/>
            <scheme val="minor"/>
          </rPr>
          <t>Responder updated this value.</t>
        </r>
      </text>
    </comment>
    <comment ref="AL51" authorId="0" shapeId="0" xr:uid="{00000000-0006-0000-0300-000062040000}">
      <text>
        <r>
          <rPr>
            <sz val="10"/>
            <color rgb="FF000000"/>
            <rFont val="Arial"/>
            <scheme val="minor"/>
          </rPr>
          <t>Responder updated this value.</t>
        </r>
      </text>
    </comment>
    <comment ref="AM51" authorId="0" shapeId="0" xr:uid="{00000000-0006-0000-0300-000063040000}">
      <text>
        <r>
          <rPr>
            <sz val="10"/>
            <color rgb="FF000000"/>
            <rFont val="Arial"/>
            <scheme val="minor"/>
          </rPr>
          <t>Responder updated this value.</t>
        </r>
      </text>
    </comment>
    <comment ref="AN51" authorId="0" shapeId="0" xr:uid="{00000000-0006-0000-0300-000064040000}">
      <text>
        <r>
          <rPr>
            <sz val="10"/>
            <color rgb="FF000000"/>
            <rFont val="Arial"/>
            <scheme val="minor"/>
          </rPr>
          <t>Responder updated this value.</t>
        </r>
      </text>
    </comment>
    <comment ref="AP51" authorId="0" shapeId="0" xr:uid="{00000000-0006-0000-0300-000065040000}">
      <text>
        <r>
          <rPr>
            <sz val="10"/>
            <color rgb="FF000000"/>
            <rFont val="Arial"/>
            <scheme val="minor"/>
          </rPr>
          <t>Responder updated this value.</t>
        </r>
      </text>
    </comment>
    <comment ref="AQ51" authorId="0" shapeId="0" xr:uid="{00000000-0006-0000-0300-000066040000}">
      <text>
        <r>
          <rPr>
            <sz val="10"/>
            <color rgb="FF000000"/>
            <rFont val="Arial"/>
            <scheme val="minor"/>
          </rPr>
          <t>Responder updated this value.</t>
        </r>
      </text>
    </comment>
    <comment ref="AU51" authorId="0" shapeId="0" xr:uid="{00000000-0006-0000-0300-000067040000}">
      <text>
        <r>
          <rPr>
            <sz val="10"/>
            <color rgb="FF000000"/>
            <rFont val="Arial"/>
            <scheme val="minor"/>
          </rPr>
          <t>Responder updated this value.</t>
        </r>
      </text>
    </comment>
    <comment ref="D52" authorId="0" shapeId="0" xr:uid="{00000000-0006-0000-0300-000068040000}">
      <text>
        <r>
          <rPr>
            <sz val="10"/>
            <color rgb="FF000000"/>
            <rFont val="Arial"/>
            <scheme val="minor"/>
          </rPr>
          <t>Responder updated this value.</t>
        </r>
      </text>
    </comment>
    <comment ref="F52" authorId="0" shapeId="0" xr:uid="{00000000-0006-0000-0300-000069040000}">
      <text>
        <r>
          <rPr>
            <sz val="10"/>
            <color rgb="FF000000"/>
            <rFont val="Arial"/>
            <scheme val="minor"/>
          </rPr>
          <t>Responder updated this value.</t>
        </r>
      </text>
    </comment>
    <comment ref="AM52" authorId="0" shapeId="0" xr:uid="{00000000-0006-0000-0300-00006A040000}">
      <text>
        <r>
          <rPr>
            <sz val="10"/>
            <color rgb="FF000000"/>
            <rFont val="Arial"/>
            <scheme val="minor"/>
          </rPr>
          <t>Responder updated this value.</t>
        </r>
      </text>
    </comment>
    <comment ref="AN52" authorId="0" shapeId="0" xr:uid="{00000000-0006-0000-0300-00006B040000}">
      <text>
        <r>
          <rPr>
            <sz val="10"/>
            <color rgb="FF000000"/>
            <rFont val="Arial"/>
            <scheme val="minor"/>
          </rPr>
          <t>Responder updated this value.</t>
        </r>
      </text>
    </comment>
    <comment ref="AO52" authorId="0" shapeId="0" xr:uid="{00000000-0006-0000-0300-00006C040000}">
      <text>
        <r>
          <rPr>
            <sz val="10"/>
            <color rgb="FF000000"/>
            <rFont val="Arial"/>
            <scheme val="minor"/>
          </rPr>
          <t>Responder updated this value.</t>
        </r>
      </text>
    </comment>
    <comment ref="AP52" authorId="0" shapeId="0" xr:uid="{00000000-0006-0000-0300-00006D040000}">
      <text>
        <r>
          <rPr>
            <sz val="10"/>
            <color rgb="FF000000"/>
            <rFont val="Arial"/>
            <scheme val="minor"/>
          </rPr>
          <t>Responder updated this value.</t>
        </r>
      </text>
    </comment>
    <comment ref="AQ52" authorId="0" shapeId="0" xr:uid="{00000000-0006-0000-0300-00006E040000}">
      <text>
        <r>
          <rPr>
            <sz val="10"/>
            <color rgb="FF000000"/>
            <rFont val="Arial"/>
            <scheme val="minor"/>
          </rPr>
          <t>Responder updated this value.</t>
        </r>
      </text>
    </comment>
    <comment ref="AR52" authorId="0" shapeId="0" xr:uid="{00000000-0006-0000-0300-00006F040000}">
      <text>
        <r>
          <rPr>
            <sz val="10"/>
            <color rgb="FF000000"/>
            <rFont val="Arial"/>
            <scheme val="minor"/>
          </rPr>
          <t>Responder updated this value.</t>
        </r>
      </text>
    </comment>
    <comment ref="AS52" authorId="0" shapeId="0" xr:uid="{00000000-0006-0000-0300-000070040000}">
      <text>
        <r>
          <rPr>
            <sz val="10"/>
            <color rgb="FF000000"/>
            <rFont val="Arial"/>
            <scheme val="minor"/>
          </rPr>
          <t>Responder updated this value.</t>
        </r>
      </text>
    </comment>
    <comment ref="AT52" authorId="0" shapeId="0" xr:uid="{00000000-0006-0000-0300-000071040000}">
      <text>
        <r>
          <rPr>
            <sz val="10"/>
            <color rgb="FF000000"/>
            <rFont val="Arial"/>
            <scheme val="minor"/>
          </rPr>
          <t>Responder updated this value.</t>
        </r>
      </text>
    </comment>
    <comment ref="AU52" authorId="0" shapeId="0" xr:uid="{00000000-0006-0000-0300-000072040000}">
      <text>
        <r>
          <rPr>
            <sz val="10"/>
            <color rgb="FF000000"/>
            <rFont val="Arial"/>
            <scheme val="minor"/>
          </rPr>
          <t>Responder updated this value.</t>
        </r>
      </text>
    </comment>
    <comment ref="D53" authorId="0" shapeId="0" xr:uid="{00000000-0006-0000-0300-000073040000}">
      <text>
        <r>
          <rPr>
            <sz val="10"/>
            <color rgb="FF000000"/>
            <rFont val="Arial"/>
            <scheme val="minor"/>
          </rPr>
          <t>Responder updated this value.</t>
        </r>
      </text>
    </comment>
    <comment ref="N53" authorId="0" shapeId="0" xr:uid="{00000000-0006-0000-0300-000074040000}">
      <text>
        <r>
          <rPr>
            <sz val="10"/>
            <color rgb="FF000000"/>
            <rFont val="Arial"/>
            <scheme val="minor"/>
          </rPr>
          <t>Responder updated this value.</t>
        </r>
      </text>
    </comment>
    <comment ref="O53" authorId="0" shapeId="0" xr:uid="{00000000-0006-0000-0300-000075040000}">
      <text>
        <r>
          <rPr>
            <sz val="10"/>
            <color rgb="FF000000"/>
            <rFont val="Arial"/>
            <scheme val="minor"/>
          </rPr>
          <t>Responder updated this value.</t>
        </r>
      </text>
    </comment>
    <comment ref="P53" authorId="0" shapeId="0" xr:uid="{00000000-0006-0000-0300-000076040000}">
      <text>
        <r>
          <rPr>
            <sz val="10"/>
            <color rgb="FF000000"/>
            <rFont val="Arial"/>
            <scheme val="minor"/>
          </rPr>
          <t>Responder updated this value.</t>
        </r>
      </text>
    </comment>
    <comment ref="Q53" authorId="0" shapeId="0" xr:uid="{00000000-0006-0000-0300-000077040000}">
      <text>
        <r>
          <rPr>
            <sz val="10"/>
            <color rgb="FF000000"/>
            <rFont val="Arial"/>
            <scheme val="minor"/>
          </rPr>
          <t>Responder updated this value.</t>
        </r>
      </text>
    </comment>
    <comment ref="R53" authorId="0" shapeId="0" xr:uid="{00000000-0006-0000-0300-000078040000}">
      <text>
        <r>
          <rPr>
            <sz val="10"/>
            <color rgb="FF000000"/>
            <rFont val="Arial"/>
            <scheme val="minor"/>
          </rPr>
          <t>Responder updated this value.</t>
        </r>
      </text>
    </comment>
    <comment ref="S53" authorId="0" shapeId="0" xr:uid="{00000000-0006-0000-0300-000079040000}">
      <text>
        <r>
          <rPr>
            <sz val="10"/>
            <color rgb="FF000000"/>
            <rFont val="Arial"/>
            <scheme val="minor"/>
          </rPr>
          <t>Responder updated this value.</t>
        </r>
      </text>
    </comment>
    <comment ref="T53" authorId="0" shapeId="0" xr:uid="{00000000-0006-0000-0300-00007A040000}">
      <text>
        <r>
          <rPr>
            <sz val="10"/>
            <color rgb="FF000000"/>
            <rFont val="Arial"/>
            <scheme val="minor"/>
          </rPr>
          <t>Responder updated this value.</t>
        </r>
      </text>
    </comment>
    <comment ref="U53" authorId="0" shapeId="0" xr:uid="{00000000-0006-0000-0300-00007B040000}">
      <text>
        <r>
          <rPr>
            <sz val="10"/>
            <color rgb="FF000000"/>
            <rFont val="Arial"/>
            <scheme val="minor"/>
          </rPr>
          <t>Responder updated this value.</t>
        </r>
      </text>
    </comment>
    <comment ref="V53" authorId="0" shapeId="0" xr:uid="{00000000-0006-0000-0300-00007C040000}">
      <text>
        <r>
          <rPr>
            <sz val="10"/>
            <color rgb="FF000000"/>
            <rFont val="Arial"/>
            <scheme val="minor"/>
          </rPr>
          <t>Responder updated this value.</t>
        </r>
      </text>
    </comment>
    <comment ref="W53" authorId="0" shapeId="0" xr:uid="{00000000-0006-0000-0300-00007D040000}">
      <text>
        <r>
          <rPr>
            <sz val="10"/>
            <color rgb="FF000000"/>
            <rFont val="Arial"/>
            <scheme val="minor"/>
          </rPr>
          <t>Responder updated this value.</t>
        </r>
      </text>
    </comment>
    <comment ref="X53" authorId="0" shapeId="0" xr:uid="{00000000-0006-0000-0300-00007E040000}">
      <text>
        <r>
          <rPr>
            <sz val="10"/>
            <color rgb="FF000000"/>
            <rFont val="Arial"/>
            <scheme val="minor"/>
          </rPr>
          <t>Responder updated this value.</t>
        </r>
      </text>
    </comment>
    <comment ref="AC53" authorId="0" shapeId="0" xr:uid="{00000000-0006-0000-0300-00007F040000}">
      <text>
        <r>
          <rPr>
            <sz val="10"/>
            <color rgb="FF000000"/>
            <rFont val="Arial"/>
            <scheme val="minor"/>
          </rPr>
          <t>Responder updated this value.</t>
        </r>
      </text>
    </comment>
    <comment ref="AD53" authorId="0" shapeId="0" xr:uid="{00000000-0006-0000-0300-000080040000}">
      <text>
        <r>
          <rPr>
            <sz val="10"/>
            <color rgb="FF000000"/>
            <rFont val="Arial"/>
            <scheme val="minor"/>
          </rPr>
          <t>Responder updated this value.</t>
        </r>
      </text>
    </comment>
    <comment ref="AE53" authorId="0" shapeId="0" xr:uid="{00000000-0006-0000-0300-000081040000}">
      <text>
        <r>
          <rPr>
            <sz val="10"/>
            <color rgb="FF000000"/>
            <rFont val="Arial"/>
            <scheme val="minor"/>
          </rPr>
          <t>Responder updated this value.</t>
        </r>
      </text>
    </comment>
    <comment ref="AF53" authorId="0" shapeId="0" xr:uid="{00000000-0006-0000-0300-000082040000}">
      <text>
        <r>
          <rPr>
            <sz val="10"/>
            <color rgb="FF000000"/>
            <rFont val="Arial"/>
            <scheme val="minor"/>
          </rPr>
          <t>Responder updated this value.</t>
        </r>
      </text>
    </comment>
    <comment ref="AG53" authorId="0" shapeId="0" xr:uid="{00000000-0006-0000-0300-000083040000}">
      <text>
        <r>
          <rPr>
            <sz val="10"/>
            <color rgb="FF000000"/>
            <rFont val="Arial"/>
            <scheme val="minor"/>
          </rPr>
          <t>Responder updated this value.</t>
        </r>
      </text>
    </comment>
    <comment ref="AH53" authorId="0" shapeId="0" xr:uid="{00000000-0006-0000-0300-000084040000}">
      <text>
        <r>
          <rPr>
            <sz val="10"/>
            <color rgb="FF000000"/>
            <rFont val="Arial"/>
            <scheme val="minor"/>
          </rPr>
          <t>Responder updated this value.</t>
        </r>
      </text>
    </comment>
    <comment ref="AK53" authorId="0" shapeId="0" xr:uid="{00000000-0006-0000-0300-000085040000}">
      <text>
        <r>
          <rPr>
            <sz val="10"/>
            <color rgb="FF000000"/>
            <rFont val="Arial"/>
            <scheme val="minor"/>
          </rPr>
          <t>Responder updated this value.</t>
        </r>
      </text>
    </comment>
    <comment ref="AL53" authorId="0" shapeId="0" xr:uid="{00000000-0006-0000-0300-000086040000}">
      <text>
        <r>
          <rPr>
            <sz val="10"/>
            <color rgb="FF000000"/>
            <rFont val="Arial"/>
            <scheme val="minor"/>
          </rPr>
          <t>Responder updated this value.</t>
        </r>
      </text>
    </comment>
    <comment ref="AM53" authorId="0" shapeId="0" xr:uid="{00000000-0006-0000-0300-000087040000}">
      <text>
        <r>
          <rPr>
            <sz val="10"/>
            <color rgb="FF000000"/>
            <rFont val="Arial"/>
            <scheme val="minor"/>
          </rPr>
          <t>Responder updated this value.</t>
        </r>
      </text>
    </comment>
    <comment ref="AN53" authorId="0" shapeId="0" xr:uid="{00000000-0006-0000-0300-000088040000}">
      <text>
        <r>
          <rPr>
            <sz val="10"/>
            <color rgb="FF000000"/>
            <rFont val="Arial"/>
            <scheme val="minor"/>
          </rPr>
          <t>Responder updated this value.</t>
        </r>
      </text>
    </comment>
    <comment ref="AO53" authorId="0" shapeId="0" xr:uid="{00000000-0006-0000-0300-000089040000}">
      <text>
        <r>
          <rPr>
            <sz val="10"/>
            <color rgb="FF000000"/>
            <rFont val="Arial"/>
            <scheme val="minor"/>
          </rPr>
          <t>Responder updated this value.</t>
        </r>
      </text>
    </comment>
    <comment ref="AP53" authorId="0" shapeId="0" xr:uid="{00000000-0006-0000-0300-00008A040000}">
      <text>
        <r>
          <rPr>
            <sz val="10"/>
            <color rgb="FF000000"/>
            <rFont val="Arial"/>
            <scheme val="minor"/>
          </rPr>
          <t>Responder updated this value.</t>
        </r>
      </text>
    </comment>
    <comment ref="AQ53" authorId="0" shapeId="0" xr:uid="{00000000-0006-0000-0300-00008B040000}">
      <text>
        <r>
          <rPr>
            <sz val="10"/>
            <color rgb="FF000000"/>
            <rFont val="Arial"/>
            <scheme val="minor"/>
          </rPr>
          <t>Responder updated this value.</t>
        </r>
      </text>
    </comment>
    <comment ref="AR53" authorId="0" shapeId="0" xr:uid="{00000000-0006-0000-0300-00008C040000}">
      <text>
        <r>
          <rPr>
            <sz val="10"/>
            <color rgb="FF000000"/>
            <rFont val="Arial"/>
            <scheme val="minor"/>
          </rPr>
          <t>Responder updated this value.</t>
        </r>
      </text>
    </comment>
    <comment ref="AS53" authorId="0" shapeId="0" xr:uid="{00000000-0006-0000-0300-00008D040000}">
      <text>
        <r>
          <rPr>
            <sz val="10"/>
            <color rgb="FF000000"/>
            <rFont val="Arial"/>
            <scheme val="minor"/>
          </rPr>
          <t>Responder updated this value.</t>
        </r>
      </text>
    </comment>
    <comment ref="AT53" authorId="0" shapeId="0" xr:uid="{00000000-0006-0000-0300-00008E040000}">
      <text>
        <r>
          <rPr>
            <sz val="10"/>
            <color rgb="FF000000"/>
            <rFont val="Arial"/>
            <scheme val="minor"/>
          </rPr>
          <t>Responder updated this value.</t>
        </r>
      </text>
    </comment>
    <comment ref="AU53" authorId="0" shapeId="0" xr:uid="{00000000-0006-0000-0300-00008F040000}">
      <text>
        <r>
          <rPr>
            <sz val="10"/>
            <color rgb="FF000000"/>
            <rFont val="Arial"/>
            <scheme val="minor"/>
          </rPr>
          <t>Responder updated this value.</t>
        </r>
      </text>
    </comment>
    <comment ref="D54" authorId="0" shapeId="0" xr:uid="{00000000-0006-0000-0300-000090040000}">
      <text>
        <r>
          <rPr>
            <sz val="10"/>
            <color rgb="FF000000"/>
            <rFont val="Arial"/>
            <scheme val="minor"/>
          </rPr>
          <t>Responder updated this value.</t>
        </r>
      </text>
    </comment>
    <comment ref="M54" authorId="0" shapeId="0" xr:uid="{00000000-0006-0000-0300-000091040000}">
      <text>
        <r>
          <rPr>
            <sz val="10"/>
            <color rgb="FF000000"/>
            <rFont val="Arial"/>
            <scheme val="minor"/>
          </rPr>
          <t>Responder updated this value.</t>
        </r>
      </text>
    </comment>
    <comment ref="N54" authorId="0" shapeId="0" xr:uid="{00000000-0006-0000-0300-000092040000}">
      <text>
        <r>
          <rPr>
            <sz val="10"/>
            <color rgb="FF000000"/>
            <rFont val="Arial"/>
            <scheme val="minor"/>
          </rPr>
          <t>Responder updated this value.</t>
        </r>
      </text>
    </comment>
    <comment ref="AC54" authorId="0" shapeId="0" xr:uid="{00000000-0006-0000-0300-000093040000}">
      <text>
        <r>
          <rPr>
            <sz val="10"/>
            <color rgb="FF000000"/>
            <rFont val="Arial"/>
            <scheme val="minor"/>
          </rPr>
          <t>Responder updated this value.</t>
        </r>
      </text>
    </comment>
    <comment ref="AD54" authorId="0" shapeId="0" xr:uid="{00000000-0006-0000-0300-000094040000}">
      <text>
        <r>
          <rPr>
            <sz val="10"/>
            <color rgb="FF000000"/>
            <rFont val="Arial"/>
            <scheme val="minor"/>
          </rPr>
          <t>Responder updated this value.</t>
        </r>
      </text>
    </comment>
    <comment ref="AE54" authorId="0" shapeId="0" xr:uid="{00000000-0006-0000-0300-000095040000}">
      <text>
        <r>
          <rPr>
            <sz val="10"/>
            <color rgb="FF000000"/>
            <rFont val="Arial"/>
            <scheme val="minor"/>
          </rPr>
          <t>Responder updated this value.</t>
        </r>
      </text>
    </comment>
    <comment ref="D55" authorId="0" shapeId="0" xr:uid="{00000000-0006-0000-0300-000096040000}">
      <text>
        <r>
          <rPr>
            <sz val="10"/>
            <color rgb="FF000000"/>
            <rFont val="Arial"/>
            <scheme val="minor"/>
          </rPr>
          <t>Responder updated this value.</t>
        </r>
      </text>
    </comment>
    <comment ref="AE55" authorId="0" shapeId="0" xr:uid="{00000000-0006-0000-0300-000097040000}">
      <text>
        <r>
          <rPr>
            <sz val="10"/>
            <color rgb="FF000000"/>
            <rFont val="Arial"/>
            <scheme val="minor"/>
          </rPr>
          <t>Responder updated this value.</t>
        </r>
      </text>
    </comment>
    <comment ref="AF55" authorId="0" shapeId="0" xr:uid="{00000000-0006-0000-0300-000098040000}">
      <text>
        <r>
          <rPr>
            <sz val="10"/>
            <color rgb="FF000000"/>
            <rFont val="Arial"/>
            <scheme val="minor"/>
          </rPr>
          <t>Responder updated this value.</t>
        </r>
      </text>
    </comment>
    <comment ref="AG55" authorId="0" shapeId="0" xr:uid="{00000000-0006-0000-0300-000099040000}">
      <text>
        <r>
          <rPr>
            <sz val="10"/>
            <color rgb="FF000000"/>
            <rFont val="Arial"/>
            <scheme val="minor"/>
          </rPr>
          <t>Responder updated this value.</t>
        </r>
      </text>
    </comment>
    <comment ref="AH55" authorId="0" shapeId="0" xr:uid="{00000000-0006-0000-0300-00009A040000}">
      <text>
        <r>
          <rPr>
            <sz val="10"/>
            <color rgb="FF000000"/>
            <rFont val="Arial"/>
            <scheme val="minor"/>
          </rPr>
          <t>Responder updated this value.</t>
        </r>
      </text>
    </comment>
    <comment ref="AI55" authorId="0" shapeId="0" xr:uid="{00000000-0006-0000-0300-00009B040000}">
      <text>
        <r>
          <rPr>
            <sz val="10"/>
            <color rgb="FF000000"/>
            <rFont val="Arial"/>
            <scheme val="minor"/>
          </rPr>
          <t>Responder updated this value.</t>
        </r>
      </text>
    </comment>
    <comment ref="AJ55" authorId="0" shapeId="0" xr:uid="{00000000-0006-0000-0300-00009C040000}">
      <text>
        <r>
          <rPr>
            <sz val="10"/>
            <color rgb="FF000000"/>
            <rFont val="Arial"/>
            <scheme val="minor"/>
          </rPr>
          <t>Responder updated this value.</t>
        </r>
      </text>
    </comment>
    <comment ref="AK55" authorId="0" shapeId="0" xr:uid="{00000000-0006-0000-0300-00009D040000}">
      <text>
        <r>
          <rPr>
            <sz val="10"/>
            <color rgb="FF000000"/>
            <rFont val="Arial"/>
            <scheme val="minor"/>
          </rPr>
          <t>Responder updated this value.</t>
        </r>
      </text>
    </comment>
    <comment ref="AL55" authorId="0" shapeId="0" xr:uid="{00000000-0006-0000-0300-00009E040000}">
      <text>
        <r>
          <rPr>
            <sz val="10"/>
            <color rgb="FF000000"/>
            <rFont val="Arial"/>
            <scheme val="minor"/>
          </rPr>
          <t>Responder updated this value.</t>
        </r>
      </text>
    </comment>
    <comment ref="AM55" authorId="0" shapeId="0" xr:uid="{00000000-0006-0000-0300-00009F040000}">
      <text>
        <r>
          <rPr>
            <sz val="10"/>
            <color rgb="FF000000"/>
            <rFont val="Arial"/>
            <scheme val="minor"/>
          </rPr>
          <t>Responder updated this value.</t>
        </r>
      </text>
    </comment>
    <comment ref="AN55" authorId="0" shapeId="0" xr:uid="{00000000-0006-0000-0300-0000A0040000}">
      <text>
        <r>
          <rPr>
            <sz val="10"/>
            <color rgb="FF000000"/>
            <rFont val="Arial"/>
            <scheme val="minor"/>
          </rPr>
          <t>Responder updated this value.</t>
        </r>
      </text>
    </comment>
    <comment ref="AO55" authorId="0" shapeId="0" xr:uid="{00000000-0006-0000-0300-0000A1040000}">
      <text>
        <r>
          <rPr>
            <sz val="10"/>
            <color rgb="FF000000"/>
            <rFont val="Arial"/>
            <scheme val="minor"/>
          </rPr>
          <t>Responder updated this value.</t>
        </r>
      </text>
    </comment>
    <comment ref="AP55" authorId="0" shapeId="0" xr:uid="{00000000-0006-0000-0300-0000A2040000}">
      <text>
        <r>
          <rPr>
            <sz val="10"/>
            <color rgb="FF000000"/>
            <rFont val="Arial"/>
            <scheme val="minor"/>
          </rPr>
          <t>Responder updated this value.</t>
        </r>
      </text>
    </comment>
    <comment ref="AQ55" authorId="0" shapeId="0" xr:uid="{00000000-0006-0000-0300-0000A3040000}">
      <text>
        <r>
          <rPr>
            <sz val="10"/>
            <color rgb="FF000000"/>
            <rFont val="Arial"/>
            <scheme val="minor"/>
          </rPr>
          <t>Responder updated this value.</t>
        </r>
      </text>
    </comment>
    <comment ref="AR55" authorId="0" shapeId="0" xr:uid="{00000000-0006-0000-0300-0000A4040000}">
      <text>
        <r>
          <rPr>
            <sz val="10"/>
            <color rgb="FF000000"/>
            <rFont val="Arial"/>
            <scheme val="minor"/>
          </rPr>
          <t>Responder updated this value.</t>
        </r>
      </text>
    </comment>
    <comment ref="AS55" authorId="0" shapeId="0" xr:uid="{00000000-0006-0000-0300-0000A5040000}">
      <text>
        <r>
          <rPr>
            <sz val="10"/>
            <color rgb="FF000000"/>
            <rFont val="Arial"/>
            <scheme val="minor"/>
          </rPr>
          <t>Responder updated this value.</t>
        </r>
      </text>
    </comment>
    <comment ref="AT55" authorId="0" shapeId="0" xr:uid="{00000000-0006-0000-0300-0000A6040000}">
      <text>
        <r>
          <rPr>
            <sz val="10"/>
            <color rgb="FF000000"/>
            <rFont val="Arial"/>
            <scheme val="minor"/>
          </rPr>
          <t>Responder updated this value.</t>
        </r>
      </text>
    </comment>
    <comment ref="AU55" authorId="0" shapeId="0" xr:uid="{00000000-0006-0000-0300-0000A7040000}">
      <text>
        <r>
          <rPr>
            <sz val="10"/>
            <color rgb="FF000000"/>
            <rFont val="Arial"/>
            <scheme val="minor"/>
          </rPr>
          <t>Responder updated this value.</t>
        </r>
      </text>
    </comment>
    <comment ref="D56" authorId="0" shapeId="0" xr:uid="{00000000-0006-0000-0300-0000A8040000}">
      <text>
        <r>
          <rPr>
            <sz val="10"/>
            <color rgb="FF000000"/>
            <rFont val="Arial"/>
            <scheme val="minor"/>
          </rPr>
          <t>Responder updated this value.</t>
        </r>
      </text>
    </comment>
    <comment ref="J56" authorId="0" shapeId="0" xr:uid="{00000000-0006-0000-0300-0000A9040000}">
      <text>
        <r>
          <rPr>
            <sz val="10"/>
            <color rgb="FF000000"/>
            <rFont val="Arial"/>
            <scheme val="minor"/>
          </rPr>
          <t>Responder updated this value.</t>
        </r>
      </text>
    </comment>
    <comment ref="N56" authorId="0" shapeId="0" xr:uid="{00000000-0006-0000-0300-0000AA040000}">
      <text>
        <r>
          <rPr>
            <sz val="10"/>
            <color rgb="FF000000"/>
            <rFont val="Arial"/>
            <scheme val="minor"/>
          </rPr>
          <t>Responder updated this value.</t>
        </r>
      </text>
    </comment>
    <comment ref="O56" authorId="0" shapeId="0" xr:uid="{00000000-0006-0000-0300-0000AB040000}">
      <text>
        <r>
          <rPr>
            <sz val="10"/>
            <color rgb="FF000000"/>
            <rFont val="Arial"/>
            <scheme val="minor"/>
          </rPr>
          <t>Responder updated this value.</t>
        </r>
      </text>
    </comment>
    <comment ref="P56" authorId="0" shapeId="0" xr:uid="{00000000-0006-0000-0300-0000AC040000}">
      <text>
        <r>
          <rPr>
            <sz val="10"/>
            <color rgb="FF000000"/>
            <rFont val="Arial"/>
            <scheme val="minor"/>
          </rPr>
          <t>Responder updated this value.</t>
        </r>
      </text>
    </comment>
    <comment ref="Q56" authorId="0" shapeId="0" xr:uid="{00000000-0006-0000-0300-0000AD040000}">
      <text>
        <r>
          <rPr>
            <sz val="10"/>
            <color rgb="FF000000"/>
            <rFont val="Arial"/>
            <scheme val="minor"/>
          </rPr>
          <t>Responder updated this value.</t>
        </r>
      </text>
    </comment>
    <comment ref="R56" authorId="0" shapeId="0" xr:uid="{00000000-0006-0000-0300-0000AE040000}">
      <text>
        <r>
          <rPr>
            <sz val="10"/>
            <color rgb="FF000000"/>
            <rFont val="Arial"/>
            <scheme val="minor"/>
          </rPr>
          <t>Responder updated this value.</t>
        </r>
      </text>
    </comment>
    <comment ref="S56" authorId="0" shapeId="0" xr:uid="{00000000-0006-0000-0300-0000AF040000}">
      <text>
        <r>
          <rPr>
            <sz val="10"/>
            <color rgb="FF000000"/>
            <rFont val="Arial"/>
            <scheme val="minor"/>
          </rPr>
          <t>Responder updated this value.</t>
        </r>
      </text>
    </comment>
    <comment ref="T56" authorId="0" shapeId="0" xr:uid="{00000000-0006-0000-0300-0000B0040000}">
      <text>
        <r>
          <rPr>
            <sz val="10"/>
            <color rgb="FF000000"/>
            <rFont val="Arial"/>
            <scheme val="minor"/>
          </rPr>
          <t>Responder updated this value.</t>
        </r>
      </text>
    </comment>
    <comment ref="U56" authorId="0" shapeId="0" xr:uid="{00000000-0006-0000-0300-0000B1040000}">
      <text>
        <r>
          <rPr>
            <sz val="10"/>
            <color rgb="FF000000"/>
            <rFont val="Arial"/>
            <scheme val="minor"/>
          </rPr>
          <t>Responder updated this value.</t>
        </r>
      </text>
    </comment>
    <comment ref="V56" authorId="0" shapeId="0" xr:uid="{00000000-0006-0000-0300-0000B2040000}">
      <text>
        <r>
          <rPr>
            <sz val="10"/>
            <color rgb="FF000000"/>
            <rFont val="Arial"/>
            <scheme val="minor"/>
          </rPr>
          <t>Responder updated this value.</t>
        </r>
      </text>
    </comment>
    <comment ref="W56" authorId="0" shapeId="0" xr:uid="{00000000-0006-0000-0300-0000B3040000}">
      <text>
        <r>
          <rPr>
            <sz val="10"/>
            <color rgb="FF000000"/>
            <rFont val="Arial"/>
            <scheme val="minor"/>
          </rPr>
          <t>Responder updated this value.</t>
        </r>
      </text>
    </comment>
    <comment ref="X56" authorId="0" shapeId="0" xr:uid="{00000000-0006-0000-0300-0000B4040000}">
      <text>
        <r>
          <rPr>
            <sz val="10"/>
            <color rgb="FF000000"/>
            <rFont val="Arial"/>
            <scheme val="minor"/>
          </rPr>
          <t>Responder updated this value.</t>
        </r>
      </text>
    </comment>
    <comment ref="AC56" authorId="0" shapeId="0" xr:uid="{00000000-0006-0000-0300-0000B5040000}">
      <text>
        <r>
          <rPr>
            <sz val="10"/>
            <color rgb="FF000000"/>
            <rFont val="Arial"/>
            <scheme val="minor"/>
          </rPr>
          <t>Responder updated this value.</t>
        </r>
      </text>
    </comment>
    <comment ref="AD56" authorId="0" shapeId="0" xr:uid="{00000000-0006-0000-0300-0000B6040000}">
      <text>
        <r>
          <rPr>
            <sz val="10"/>
            <color rgb="FF000000"/>
            <rFont val="Arial"/>
            <scheme val="minor"/>
          </rPr>
          <t>Responder updated this value.</t>
        </r>
      </text>
    </comment>
    <comment ref="AE56" authorId="0" shapeId="0" xr:uid="{00000000-0006-0000-0300-0000B7040000}">
      <text>
        <r>
          <rPr>
            <sz val="10"/>
            <color rgb="FF000000"/>
            <rFont val="Arial"/>
            <scheme val="minor"/>
          </rPr>
          <t>Responder updated this value.</t>
        </r>
      </text>
    </comment>
    <comment ref="AF56" authorId="0" shapeId="0" xr:uid="{00000000-0006-0000-0300-0000B8040000}">
      <text>
        <r>
          <rPr>
            <sz val="10"/>
            <color rgb="FF000000"/>
            <rFont val="Arial"/>
            <scheme val="minor"/>
          </rPr>
          <t>Responder updated this value.</t>
        </r>
      </text>
    </comment>
    <comment ref="AH56" authorId="0" shapeId="0" xr:uid="{00000000-0006-0000-0300-0000B9040000}">
      <text>
        <r>
          <rPr>
            <sz val="10"/>
            <color rgb="FF000000"/>
            <rFont val="Arial"/>
            <scheme val="minor"/>
          </rPr>
          <t>Responder updated this value.</t>
        </r>
      </text>
    </comment>
    <comment ref="AI56" authorId="0" shapeId="0" xr:uid="{00000000-0006-0000-0300-0000BA040000}">
      <text>
        <r>
          <rPr>
            <sz val="10"/>
            <color rgb="FF000000"/>
            <rFont val="Arial"/>
            <scheme val="minor"/>
          </rPr>
          <t>Responder updated this value.</t>
        </r>
      </text>
    </comment>
    <comment ref="AJ56" authorId="0" shapeId="0" xr:uid="{00000000-0006-0000-0300-0000BB040000}">
      <text>
        <r>
          <rPr>
            <sz val="10"/>
            <color rgb="FF000000"/>
            <rFont val="Arial"/>
            <scheme val="minor"/>
          </rPr>
          <t>Responder updated this value.</t>
        </r>
      </text>
    </comment>
    <comment ref="AK56" authorId="0" shapeId="0" xr:uid="{00000000-0006-0000-0300-0000BC040000}">
      <text>
        <r>
          <rPr>
            <sz val="10"/>
            <color rgb="FF000000"/>
            <rFont val="Arial"/>
            <scheme val="minor"/>
          </rPr>
          <t>Responder updated this value.</t>
        </r>
      </text>
    </comment>
    <comment ref="AL56" authorId="0" shapeId="0" xr:uid="{00000000-0006-0000-0300-0000BD040000}">
      <text>
        <r>
          <rPr>
            <sz val="10"/>
            <color rgb="FF000000"/>
            <rFont val="Arial"/>
            <scheme val="minor"/>
          </rPr>
          <t>Responder updated this value.</t>
        </r>
      </text>
    </comment>
    <comment ref="AM56" authorId="0" shapeId="0" xr:uid="{00000000-0006-0000-0300-0000BE040000}">
      <text>
        <r>
          <rPr>
            <sz val="10"/>
            <color rgb="FF000000"/>
            <rFont val="Arial"/>
            <scheme val="minor"/>
          </rPr>
          <t>Responder updated this value.</t>
        </r>
      </text>
    </comment>
    <comment ref="AN56" authorId="0" shapeId="0" xr:uid="{00000000-0006-0000-0300-0000BF040000}">
      <text>
        <r>
          <rPr>
            <sz val="10"/>
            <color rgb="FF000000"/>
            <rFont val="Arial"/>
            <scheme val="minor"/>
          </rPr>
          <t>Responder updated this value.</t>
        </r>
      </text>
    </comment>
    <comment ref="AO56" authorId="0" shapeId="0" xr:uid="{00000000-0006-0000-0300-0000C0040000}">
      <text>
        <r>
          <rPr>
            <sz val="10"/>
            <color rgb="FF000000"/>
            <rFont val="Arial"/>
            <scheme val="minor"/>
          </rPr>
          <t>Responder updated this value.</t>
        </r>
      </text>
    </comment>
    <comment ref="AP56" authorId="0" shapeId="0" xr:uid="{00000000-0006-0000-0300-0000C1040000}">
      <text>
        <r>
          <rPr>
            <sz val="10"/>
            <color rgb="FF000000"/>
            <rFont val="Arial"/>
            <scheme val="minor"/>
          </rPr>
          <t>Responder updated this value.</t>
        </r>
      </text>
    </comment>
    <comment ref="AQ56" authorId="0" shapeId="0" xr:uid="{00000000-0006-0000-0300-0000C2040000}">
      <text>
        <r>
          <rPr>
            <sz val="10"/>
            <color rgb="FF000000"/>
            <rFont val="Arial"/>
            <scheme val="minor"/>
          </rPr>
          <t>Responder updated this value.</t>
        </r>
      </text>
    </comment>
    <comment ref="AR56" authorId="0" shapeId="0" xr:uid="{00000000-0006-0000-0300-0000C3040000}">
      <text>
        <r>
          <rPr>
            <sz val="10"/>
            <color rgb="FF000000"/>
            <rFont val="Arial"/>
            <scheme val="minor"/>
          </rPr>
          <t>Responder updated this value.</t>
        </r>
      </text>
    </comment>
    <comment ref="AS56" authorId="0" shapeId="0" xr:uid="{00000000-0006-0000-0300-0000C4040000}">
      <text>
        <r>
          <rPr>
            <sz val="10"/>
            <color rgb="FF000000"/>
            <rFont val="Arial"/>
            <scheme val="minor"/>
          </rPr>
          <t>Responder updated this value.</t>
        </r>
      </text>
    </comment>
    <comment ref="AT56" authorId="0" shapeId="0" xr:uid="{00000000-0006-0000-0300-0000C5040000}">
      <text>
        <r>
          <rPr>
            <sz val="10"/>
            <color rgb="FF000000"/>
            <rFont val="Arial"/>
            <scheme val="minor"/>
          </rPr>
          <t>Responder updated this value.</t>
        </r>
      </text>
    </comment>
    <comment ref="AU56" authorId="0" shapeId="0" xr:uid="{00000000-0006-0000-0300-0000C6040000}">
      <text>
        <r>
          <rPr>
            <sz val="10"/>
            <color rgb="FF000000"/>
            <rFont val="Arial"/>
            <scheme val="minor"/>
          </rPr>
          <t>Responder updated this value.</t>
        </r>
      </text>
    </comment>
    <comment ref="D57" authorId="0" shapeId="0" xr:uid="{00000000-0006-0000-0300-0000C7040000}">
      <text>
        <r>
          <rPr>
            <sz val="10"/>
            <color rgb="FF000000"/>
            <rFont val="Arial"/>
            <scheme val="minor"/>
          </rPr>
          <t>Responder updated this value.</t>
        </r>
      </text>
    </comment>
    <comment ref="J57" authorId="0" shapeId="0" xr:uid="{00000000-0006-0000-0300-0000C8040000}">
      <text>
        <r>
          <rPr>
            <sz val="10"/>
            <color rgb="FF000000"/>
            <rFont val="Arial"/>
            <scheme val="minor"/>
          </rPr>
          <t>Responder updated this value.</t>
        </r>
      </text>
    </comment>
    <comment ref="N57" authorId="0" shapeId="0" xr:uid="{00000000-0006-0000-0300-0000C9040000}">
      <text>
        <r>
          <rPr>
            <sz val="10"/>
            <color rgb="FF000000"/>
            <rFont val="Arial"/>
            <scheme val="minor"/>
          </rPr>
          <t>Responder updated this value.</t>
        </r>
      </text>
    </comment>
    <comment ref="O57" authorId="0" shapeId="0" xr:uid="{00000000-0006-0000-0300-0000CA040000}">
      <text>
        <r>
          <rPr>
            <sz val="10"/>
            <color rgb="FF000000"/>
            <rFont val="Arial"/>
            <scheme val="minor"/>
          </rPr>
          <t>Responder updated this value.</t>
        </r>
      </text>
    </comment>
    <comment ref="P57" authorId="0" shapeId="0" xr:uid="{00000000-0006-0000-0300-0000CB040000}">
      <text>
        <r>
          <rPr>
            <sz val="10"/>
            <color rgb="FF000000"/>
            <rFont val="Arial"/>
            <scheme val="minor"/>
          </rPr>
          <t>Responder updated this value.</t>
        </r>
      </text>
    </comment>
    <comment ref="Q57" authorId="0" shapeId="0" xr:uid="{00000000-0006-0000-0300-0000CC040000}">
      <text>
        <r>
          <rPr>
            <sz val="10"/>
            <color rgb="FF000000"/>
            <rFont val="Arial"/>
            <scheme val="minor"/>
          </rPr>
          <t>Responder updated this value.</t>
        </r>
      </text>
    </comment>
    <comment ref="R57" authorId="0" shapeId="0" xr:uid="{00000000-0006-0000-0300-0000CD040000}">
      <text>
        <r>
          <rPr>
            <sz val="10"/>
            <color rgb="FF000000"/>
            <rFont val="Arial"/>
            <scheme val="minor"/>
          </rPr>
          <t>Responder updated this value.</t>
        </r>
      </text>
    </comment>
    <comment ref="S57" authorId="0" shapeId="0" xr:uid="{00000000-0006-0000-0300-0000CE040000}">
      <text>
        <r>
          <rPr>
            <sz val="10"/>
            <color rgb="FF000000"/>
            <rFont val="Arial"/>
            <scheme val="minor"/>
          </rPr>
          <t>Responder updated this value.</t>
        </r>
      </text>
    </comment>
    <comment ref="T57" authorId="0" shapeId="0" xr:uid="{00000000-0006-0000-0300-0000CF040000}">
      <text>
        <r>
          <rPr>
            <sz val="10"/>
            <color rgb="FF000000"/>
            <rFont val="Arial"/>
            <scheme val="minor"/>
          </rPr>
          <t>Responder updated this value.</t>
        </r>
      </text>
    </comment>
    <comment ref="U57" authorId="0" shapeId="0" xr:uid="{00000000-0006-0000-0300-0000D0040000}">
      <text>
        <r>
          <rPr>
            <sz val="10"/>
            <color rgb="FF000000"/>
            <rFont val="Arial"/>
            <scheme val="minor"/>
          </rPr>
          <t>Responder updated this value.</t>
        </r>
      </text>
    </comment>
    <comment ref="V57" authorId="0" shapeId="0" xr:uid="{00000000-0006-0000-0300-0000D1040000}">
      <text>
        <r>
          <rPr>
            <sz val="10"/>
            <color rgb="FF000000"/>
            <rFont val="Arial"/>
            <scheme val="minor"/>
          </rPr>
          <t>Responder updated this value.</t>
        </r>
      </text>
    </comment>
    <comment ref="W57" authorId="0" shapeId="0" xr:uid="{00000000-0006-0000-0300-0000D2040000}">
      <text>
        <r>
          <rPr>
            <sz val="10"/>
            <color rgb="FF000000"/>
            <rFont val="Arial"/>
            <scheme val="minor"/>
          </rPr>
          <t>Responder updated this value.</t>
        </r>
      </text>
    </comment>
    <comment ref="X57" authorId="0" shapeId="0" xr:uid="{00000000-0006-0000-0300-0000D3040000}">
      <text>
        <r>
          <rPr>
            <sz val="10"/>
            <color rgb="FF000000"/>
            <rFont val="Arial"/>
            <scheme val="minor"/>
          </rPr>
          <t>Responder updated this value.</t>
        </r>
      </text>
    </comment>
    <comment ref="AC57" authorId="0" shapeId="0" xr:uid="{00000000-0006-0000-0300-0000D4040000}">
      <text>
        <r>
          <rPr>
            <sz val="10"/>
            <color rgb="FF000000"/>
            <rFont val="Arial"/>
            <scheme val="minor"/>
          </rPr>
          <t>Responder updated this value.</t>
        </r>
      </text>
    </comment>
    <comment ref="AD57" authorId="0" shapeId="0" xr:uid="{00000000-0006-0000-0300-0000D5040000}">
      <text>
        <r>
          <rPr>
            <sz val="10"/>
            <color rgb="FF000000"/>
            <rFont val="Arial"/>
            <scheme val="minor"/>
          </rPr>
          <t>Responder updated this value.</t>
        </r>
      </text>
    </comment>
    <comment ref="AE57" authorId="0" shapeId="0" xr:uid="{00000000-0006-0000-0300-0000D6040000}">
      <text>
        <r>
          <rPr>
            <sz val="10"/>
            <color rgb="FF000000"/>
            <rFont val="Arial"/>
            <scheme val="minor"/>
          </rPr>
          <t>Responder updated this value.</t>
        </r>
      </text>
    </comment>
    <comment ref="AF57" authorId="0" shapeId="0" xr:uid="{00000000-0006-0000-0300-0000D7040000}">
      <text>
        <r>
          <rPr>
            <sz val="10"/>
            <color rgb="FF000000"/>
            <rFont val="Arial"/>
            <scheme val="minor"/>
          </rPr>
          <t>Responder updated this value.</t>
        </r>
      </text>
    </comment>
    <comment ref="AG57" authorId="0" shapeId="0" xr:uid="{00000000-0006-0000-0300-0000D8040000}">
      <text>
        <r>
          <rPr>
            <sz val="10"/>
            <color rgb="FF000000"/>
            <rFont val="Arial"/>
            <scheme val="minor"/>
          </rPr>
          <t>Responder updated this value.</t>
        </r>
      </text>
    </comment>
    <comment ref="AH57" authorId="0" shapeId="0" xr:uid="{00000000-0006-0000-0300-0000D9040000}">
      <text>
        <r>
          <rPr>
            <sz val="10"/>
            <color rgb="FF000000"/>
            <rFont val="Arial"/>
            <scheme val="minor"/>
          </rPr>
          <t>Responder updated this value.</t>
        </r>
      </text>
    </comment>
    <comment ref="AI57" authorId="0" shapeId="0" xr:uid="{00000000-0006-0000-0300-0000DA040000}">
      <text>
        <r>
          <rPr>
            <sz val="10"/>
            <color rgb="FF000000"/>
            <rFont val="Arial"/>
            <scheme val="minor"/>
          </rPr>
          <t>Responder updated this value.</t>
        </r>
      </text>
    </comment>
    <comment ref="AJ57" authorId="0" shapeId="0" xr:uid="{00000000-0006-0000-0300-0000DB040000}">
      <text>
        <r>
          <rPr>
            <sz val="10"/>
            <color rgb="FF000000"/>
            <rFont val="Arial"/>
            <scheme val="minor"/>
          </rPr>
          <t>Responder updated this value.</t>
        </r>
      </text>
    </comment>
    <comment ref="AK57" authorId="0" shapeId="0" xr:uid="{00000000-0006-0000-0300-0000DC040000}">
      <text>
        <r>
          <rPr>
            <sz val="10"/>
            <color rgb="FF000000"/>
            <rFont val="Arial"/>
            <scheme val="minor"/>
          </rPr>
          <t>Responder updated this value.</t>
        </r>
      </text>
    </comment>
    <comment ref="AL57" authorId="0" shapeId="0" xr:uid="{00000000-0006-0000-0300-0000DD040000}">
      <text>
        <r>
          <rPr>
            <sz val="10"/>
            <color rgb="FF000000"/>
            <rFont val="Arial"/>
            <scheme val="minor"/>
          </rPr>
          <t>Responder updated this value.</t>
        </r>
      </text>
    </comment>
    <comment ref="AM57" authorId="0" shapeId="0" xr:uid="{00000000-0006-0000-0300-0000DE040000}">
      <text>
        <r>
          <rPr>
            <sz val="10"/>
            <color rgb="FF000000"/>
            <rFont val="Arial"/>
            <scheme val="minor"/>
          </rPr>
          <t>Responder updated this value.</t>
        </r>
      </text>
    </comment>
    <comment ref="AN57" authorId="0" shapeId="0" xr:uid="{00000000-0006-0000-0300-0000DF040000}">
      <text>
        <r>
          <rPr>
            <sz val="10"/>
            <color rgb="FF000000"/>
            <rFont val="Arial"/>
            <scheme val="minor"/>
          </rPr>
          <t>Responder updated this value.</t>
        </r>
      </text>
    </comment>
    <comment ref="AO57" authorId="0" shapeId="0" xr:uid="{00000000-0006-0000-0300-0000E0040000}">
      <text>
        <r>
          <rPr>
            <sz val="10"/>
            <color rgb="FF000000"/>
            <rFont val="Arial"/>
            <scheme val="minor"/>
          </rPr>
          <t>Responder updated this value.</t>
        </r>
      </text>
    </comment>
    <comment ref="AP57" authorId="0" shapeId="0" xr:uid="{00000000-0006-0000-0300-0000E1040000}">
      <text>
        <r>
          <rPr>
            <sz val="10"/>
            <color rgb="FF000000"/>
            <rFont val="Arial"/>
            <scheme val="minor"/>
          </rPr>
          <t>Responder updated this value.</t>
        </r>
      </text>
    </comment>
    <comment ref="AQ57" authorId="0" shapeId="0" xr:uid="{00000000-0006-0000-0300-0000E2040000}">
      <text>
        <r>
          <rPr>
            <sz val="10"/>
            <color rgb="FF000000"/>
            <rFont val="Arial"/>
            <scheme val="minor"/>
          </rPr>
          <t>Responder updated this value.</t>
        </r>
      </text>
    </comment>
    <comment ref="AR57" authorId="0" shapeId="0" xr:uid="{00000000-0006-0000-0300-0000E3040000}">
      <text>
        <r>
          <rPr>
            <sz val="10"/>
            <color rgb="FF000000"/>
            <rFont val="Arial"/>
            <scheme val="minor"/>
          </rPr>
          <t>Responder updated this value.</t>
        </r>
      </text>
    </comment>
    <comment ref="AS57" authorId="0" shapeId="0" xr:uid="{00000000-0006-0000-0300-0000E4040000}">
      <text>
        <r>
          <rPr>
            <sz val="10"/>
            <color rgb="FF000000"/>
            <rFont val="Arial"/>
            <scheme val="minor"/>
          </rPr>
          <t>Responder updated this value.</t>
        </r>
      </text>
    </comment>
    <comment ref="AT57" authorId="0" shapeId="0" xr:uid="{00000000-0006-0000-0300-0000E5040000}">
      <text>
        <r>
          <rPr>
            <sz val="10"/>
            <color rgb="FF000000"/>
            <rFont val="Arial"/>
            <scheme val="minor"/>
          </rPr>
          <t>Responder updated this value.</t>
        </r>
      </text>
    </comment>
    <comment ref="AU57" authorId="0" shapeId="0" xr:uid="{00000000-0006-0000-0300-0000E6040000}">
      <text>
        <r>
          <rPr>
            <sz val="10"/>
            <color rgb="FF000000"/>
            <rFont val="Arial"/>
            <scheme val="minor"/>
          </rPr>
          <t>Responder updated this value.</t>
        </r>
      </text>
    </comment>
    <comment ref="D58" authorId="0" shapeId="0" xr:uid="{00000000-0006-0000-0300-0000E7040000}">
      <text>
        <r>
          <rPr>
            <sz val="10"/>
            <color rgb="FF000000"/>
            <rFont val="Arial"/>
            <scheme val="minor"/>
          </rPr>
          <t>Responder updated this value.</t>
        </r>
      </text>
    </comment>
    <comment ref="N58" authorId="0" shapeId="0" xr:uid="{00000000-0006-0000-0300-0000E8040000}">
      <text>
        <r>
          <rPr>
            <sz val="10"/>
            <color rgb="FF000000"/>
            <rFont val="Arial"/>
            <scheme val="minor"/>
          </rPr>
          <t>Responder updated this value.</t>
        </r>
      </text>
    </comment>
    <comment ref="O58" authorId="0" shapeId="0" xr:uid="{00000000-0006-0000-0300-0000E9040000}">
      <text>
        <r>
          <rPr>
            <sz val="10"/>
            <color rgb="FF000000"/>
            <rFont val="Arial"/>
            <scheme val="minor"/>
          </rPr>
          <t>Responder updated this value.</t>
        </r>
      </text>
    </comment>
    <comment ref="P58" authorId="0" shapeId="0" xr:uid="{00000000-0006-0000-0300-0000EA040000}">
      <text>
        <r>
          <rPr>
            <sz val="10"/>
            <color rgb="FF000000"/>
            <rFont val="Arial"/>
            <scheme val="minor"/>
          </rPr>
          <t>Responder updated this value.</t>
        </r>
      </text>
    </comment>
    <comment ref="Q58" authorId="0" shapeId="0" xr:uid="{00000000-0006-0000-0300-0000EB040000}">
      <text>
        <r>
          <rPr>
            <sz val="10"/>
            <color rgb="FF000000"/>
            <rFont val="Arial"/>
            <scheme val="minor"/>
          </rPr>
          <t>Responder updated this value.</t>
        </r>
      </text>
    </comment>
    <comment ref="R58" authorId="0" shapeId="0" xr:uid="{00000000-0006-0000-0300-0000EC040000}">
      <text>
        <r>
          <rPr>
            <sz val="10"/>
            <color rgb="FF000000"/>
            <rFont val="Arial"/>
            <scheme val="minor"/>
          </rPr>
          <t>Responder updated this value.</t>
        </r>
      </text>
    </comment>
    <comment ref="S58" authorId="0" shapeId="0" xr:uid="{00000000-0006-0000-0300-0000ED040000}">
      <text>
        <r>
          <rPr>
            <sz val="10"/>
            <color rgb="FF000000"/>
            <rFont val="Arial"/>
            <scheme val="minor"/>
          </rPr>
          <t>Responder updated this value.</t>
        </r>
      </text>
    </comment>
    <comment ref="T58" authorId="0" shapeId="0" xr:uid="{00000000-0006-0000-0300-0000EE040000}">
      <text>
        <r>
          <rPr>
            <sz val="10"/>
            <color rgb="FF000000"/>
            <rFont val="Arial"/>
            <scheme val="minor"/>
          </rPr>
          <t>Responder updated this value.</t>
        </r>
      </text>
    </comment>
    <comment ref="U58" authorId="0" shapeId="0" xr:uid="{00000000-0006-0000-0300-0000EF040000}">
      <text>
        <r>
          <rPr>
            <sz val="10"/>
            <color rgb="FF000000"/>
            <rFont val="Arial"/>
            <scheme val="minor"/>
          </rPr>
          <t>Responder updated this value.</t>
        </r>
      </text>
    </comment>
    <comment ref="V58" authorId="0" shapeId="0" xr:uid="{00000000-0006-0000-0300-0000F0040000}">
      <text>
        <r>
          <rPr>
            <sz val="10"/>
            <color rgb="FF000000"/>
            <rFont val="Arial"/>
            <scheme val="minor"/>
          </rPr>
          <t>Responder updated this value.</t>
        </r>
      </text>
    </comment>
    <comment ref="W58" authorId="0" shapeId="0" xr:uid="{00000000-0006-0000-0300-0000F1040000}">
      <text>
        <r>
          <rPr>
            <sz val="10"/>
            <color rgb="FF000000"/>
            <rFont val="Arial"/>
            <scheme val="minor"/>
          </rPr>
          <t>Responder updated this value.</t>
        </r>
      </text>
    </comment>
    <comment ref="X58" authorId="0" shapeId="0" xr:uid="{00000000-0006-0000-0300-0000F2040000}">
      <text>
        <r>
          <rPr>
            <sz val="10"/>
            <color rgb="FF000000"/>
            <rFont val="Arial"/>
            <scheme val="minor"/>
          </rPr>
          <t>Responder updated this value.</t>
        </r>
      </text>
    </comment>
    <comment ref="AC58" authorId="0" shapeId="0" xr:uid="{00000000-0006-0000-0300-0000F3040000}">
      <text>
        <r>
          <rPr>
            <sz val="10"/>
            <color rgb="FF000000"/>
            <rFont val="Arial"/>
            <scheme val="minor"/>
          </rPr>
          <t>Responder updated this value.</t>
        </r>
      </text>
    </comment>
    <comment ref="AD58" authorId="0" shapeId="0" xr:uid="{00000000-0006-0000-0300-0000F4040000}">
      <text>
        <r>
          <rPr>
            <sz val="10"/>
            <color rgb="FF000000"/>
            <rFont val="Arial"/>
            <scheme val="minor"/>
          </rPr>
          <t>Responder updated this value.</t>
        </r>
      </text>
    </comment>
    <comment ref="AE58" authorId="0" shapeId="0" xr:uid="{00000000-0006-0000-0300-0000F5040000}">
      <text>
        <r>
          <rPr>
            <sz val="10"/>
            <color rgb="FF000000"/>
            <rFont val="Arial"/>
            <scheme val="minor"/>
          </rPr>
          <t>Responder updated this value.</t>
        </r>
      </text>
    </comment>
    <comment ref="AF58" authorId="0" shapeId="0" xr:uid="{00000000-0006-0000-0300-0000F6040000}">
      <text>
        <r>
          <rPr>
            <sz val="10"/>
            <color rgb="FF000000"/>
            <rFont val="Arial"/>
            <scheme val="minor"/>
          </rPr>
          <t>Responder updated this value.</t>
        </r>
      </text>
    </comment>
    <comment ref="AG58" authorId="0" shapeId="0" xr:uid="{00000000-0006-0000-0300-0000F7040000}">
      <text>
        <r>
          <rPr>
            <sz val="10"/>
            <color rgb="FF000000"/>
            <rFont val="Arial"/>
            <scheme val="minor"/>
          </rPr>
          <t>Responder updated this value.</t>
        </r>
      </text>
    </comment>
    <comment ref="AH58" authorId="0" shapeId="0" xr:uid="{00000000-0006-0000-0300-0000F8040000}">
      <text>
        <r>
          <rPr>
            <sz val="10"/>
            <color rgb="FF000000"/>
            <rFont val="Arial"/>
            <scheme val="minor"/>
          </rPr>
          <t>Responder updated this value.</t>
        </r>
      </text>
    </comment>
    <comment ref="AI58" authorId="0" shapeId="0" xr:uid="{00000000-0006-0000-0300-0000F9040000}">
      <text>
        <r>
          <rPr>
            <sz val="10"/>
            <color rgb="FF000000"/>
            <rFont val="Arial"/>
            <scheme val="minor"/>
          </rPr>
          <t>Responder updated this value.</t>
        </r>
      </text>
    </comment>
    <comment ref="AJ58" authorId="0" shapeId="0" xr:uid="{00000000-0006-0000-0300-0000FA040000}">
      <text>
        <r>
          <rPr>
            <sz val="10"/>
            <color rgb="FF000000"/>
            <rFont val="Arial"/>
            <scheme val="minor"/>
          </rPr>
          <t>Responder updated this value.</t>
        </r>
      </text>
    </comment>
    <comment ref="AK58" authorId="0" shapeId="0" xr:uid="{00000000-0006-0000-0300-0000FB040000}">
      <text>
        <r>
          <rPr>
            <sz val="10"/>
            <color rgb="FF000000"/>
            <rFont val="Arial"/>
            <scheme val="minor"/>
          </rPr>
          <t>Responder updated this value.</t>
        </r>
      </text>
    </comment>
    <comment ref="AL58" authorId="0" shapeId="0" xr:uid="{00000000-0006-0000-0300-0000FC040000}">
      <text>
        <r>
          <rPr>
            <sz val="10"/>
            <color rgb="FF000000"/>
            <rFont val="Arial"/>
            <scheme val="minor"/>
          </rPr>
          <t>Responder updated this value.</t>
        </r>
      </text>
    </comment>
    <comment ref="AM58" authorId="0" shapeId="0" xr:uid="{00000000-0006-0000-0300-0000FD040000}">
      <text>
        <r>
          <rPr>
            <sz val="10"/>
            <color rgb="FF000000"/>
            <rFont val="Arial"/>
            <scheme val="minor"/>
          </rPr>
          <t>Responder updated this value.</t>
        </r>
      </text>
    </comment>
    <comment ref="AN58" authorId="0" shapeId="0" xr:uid="{00000000-0006-0000-0300-0000FE040000}">
      <text>
        <r>
          <rPr>
            <sz val="10"/>
            <color rgb="FF000000"/>
            <rFont val="Arial"/>
            <scheme val="minor"/>
          </rPr>
          <t>Responder updated this value.</t>
        </r>
      </text>
    </comment>
    <comment ref="AO58" authorId="0" shapeId="0" xr:uid="{00000000-0006-0000-0300-0000FF040000}">
      <text>
        <r>
          <rPr>
            <sz val="10"/>
            <color rgb="FF000000"/>
            <rFont val="Arial"/>
            <scheme val="minor"/>
          </rPr>
          <t>Responder updated this value.</t>
        </r>
      </text>
    </comment>
    <comment ref="AP58" authorId="0" shapeId="0" xr:uid="{00000000-0006-0000-0300-000000050000}">
      <text>
        <r>
          <rPr>
            <sz val="10"/>
            <color rgb="FF000000"/>
            <rFont val="Arial"/>
            <scheme val="minor"/>
          </rPr>
          <t>Responder updated this value.</t>
        </r>
      </text>
    </comment>
    <comment ref="AQ58" authorId="0" shapeId="0" xr:uid="{00000000-0006-0000-0300-000001050000}">
      <text>
        <r>
          <rPr>
            <sz val="10"/>
            <color rgb="FF000000"/>
            <rFont val="Arial"/>
            <scheme val="minor"/>
          </rPr>
          <t>Responder updated this value.</t>
        </r>
      </text>
    </comment>
    <comment ref="AR58" authorId="0" shapeId="0" xr:uid="{00000000-0006-0000-0300-000002050000}">
      <text>
        <r>
          <rPr>
            <sz val="10"/>
            <color rgb="FF000000"/>
            <rFont val="Arial"/>
            <scheme val="minor"/>
          </rPr>
          <t>Responder updated this value.</t>
        </r>
      </text>
    </comment>
    <comment ref="AS58" authorId="0" shapeId="0" xr:uid="{00000000-0006-0000-0300-000003050000}">
      <text>
        <r>
          <rPr>
            <sz val="10"/>
            <color rgb="FF000000"/>
            <rFont val="Arial"/>
            <scheme val="minor"/>
          </rPr>
          <t>Responder updated this value.</t>
        </r>
      </text>
    </comment>
    <comment ref="AT58" authorId="0" shapeId="0" xr:uid="{00000000-0006-0000-0300-000004050000}">
      <text>
        <r>
          <rPr>
            <sz val="10"/>
            <color rgb="FF000000"/>
            <rFont val="Arial"/>
            <scheme val="minor"/>
          </rPr>
          <t>Responder updated this value.</t>
        </r>
      </text>
    </comment>
    <comment ref="AU58" authorId="0" shapeId="0" xr:uid="{00000000-0006-0000-0300-000005050000}">
      <text>
        <r>
          <rPr>
            <sz val="10"/>
            <color rgb="FF000000"/>
            <rFont val="Arial"/>
            <scheme val="minor"/>
          </rPr>
          <t>Responder updated this value.</t>
        </r>
      </text>
    </comment>
    <comment ref="D59" authorId="0" shapeId="0" xr:uid="{00000000-0006-0000-0300-000006050000}">
      <text>
        <r>
          <rPr>
            <sz val="10"/>
            <color rgb="FF000000"/>
            <rFont val="Arial"/>
            <scheme val="minor"/>
          </rPr>
          <t>Responder updated this value.</t>
        </r>
      </text>
    </comment>
    <comment ref="N59" authorId="0" shapeId="0" xr:uid="{00000000-0006-0000-0300-000007050000}">
      <text>
        <r>
          <rPr>
            <sz val="10"/>
            <color rgb="FF000000"/>
            <rFont val="Arial"/>
            <scheme val="minor"/>
          </rPr>
          <t>Responder updated this value.</t>
        </r>
      </text>
    </comment>
    <comment ref="O59" authorId="0" shapeId="0" xr:uid="{00000000-0006-0000-0300-000008050000}">
      <text>
        <r>
          <rPr>
            <sz val="10"/>
            <color rgb="FF000000"/>
            <rFont val="Arial"/>
            <scheme val="minor"/>
          </rPr>
          <t>Responder updated this value.</t>
        </r>
      </text>
    </comment>
    <comment ref="P59" authorId="0" shapeId="0" xr:uid="{00000000-0006-0000-0300-000009050000}">
      <text>
        <r>
          <rPr>
            <sz val="10"/>
            <color rgb="FF000000"/>
            <rFont val="Arial"/>
            <scheme val="minor"/>
          </rPr>
          <t>Responder updated this value.</t>
        </r>
      </text>
    </comment>
    <comment ref="Q59" authorId="0" shapeId="0" xr:uid="{00000000-0006-0000-0300-00000A050000}">
      <text>
        <r>
          <rPr>
            <sz val="10"/>
            <color rgb="FF000000"/>
            <rFont val="Arial"/>
            <scheme val="minor"/>
          </rPr>
          <t>Responder updated this value.</t>
        </r>
      </text>
    </comment>
    <comment ref="R59" authorId="0" shapeId="0" xr:uid="{00000000-0006-0000-0300-00000B050000}">
      <text>
        <r>
          <rPr>
            <sz val="10"/>
            <color rgb="FF000000"/>
            <rFont val="Arial"/>
            <scheme val="minor"/>
          </rPr>
          <t>Responder updated this value.</t>
        </r>
      </text>
    </comment>
    <comment ref="S59" authorId="0" shapeId="0" xr:uid="{00000000-0006-0000-0300-00000C050000}">
      <text>
        <r>
          <rPr>
            <sz val="10"/>
            <color rgb="FF000000"/>
            <rFont val="Arial"/>
            <scheme val="minor"/>
          </rPr>
          <t>Responder updated this value.</t>
        </r>
      </text>
    </comment>
    <comment ref="T59" authorId="0" shapeId="0" xr:uid="{00000000-0006-0000-0300-00000D050000}">
      <text>
        <r>
          <rPr>
            <sz val="10"/>
            <color rgb="FF000000"/>
            <rFont val="Arial"/>
            <scheme val="minor"/>
          </rPr>
          <t>Responder updated this value.</t>
        </r>
      </text>
    </comment>
    <comment ref="U59" authorId="0" shapeId="0" xr:uid="{00000000-0006-0000-0300-00000E050000}">
      <text>
        <r>
          <rPr>
            <sz val="10"/>
            <color rgb="FF000000"/>
            <rFont val="Arial"/>
            <scheme val="minor"/>
          </rPr>
          <t>Responder updated this value.</t>
        </r>
      </text>
    </comment>
    <comment ref="V59" authorId="0" shapeId="0" xr:uid="{00000000-0006-0000-0300-00000F050000}">
      <text>
        <r>
          <rPr>
            <sz val="10"/>
            <color rgb="FF000000"/>
            <rFont val="Arial"/>
            <scheme val="minor"/>
          </rPr>
          <t>Responder updated this value.</t>
        </r>
      </text>
    </comment>
    <comment ref="W59" authorId="0" shapeId="0" xr:uid="{00000000-0006-0000-0300-000010050000}">
      <text>
        <r>
          <rPr>
            <sz val="10"/>
            <color rgb="FF000000"/>
            <rFont val="Arial"/>
            <scheme val="minor"/>
          </rPr>
          <t>Responder updated this value.</t>
        </r>
      </text>
    </comment>
    <comment ref="X59" authorId="0" shapeId="0" xr:uid="{00000000-0006-0000-0300-000011050000}">
      <text>
        <r>
          <rPr>
            <sz val="10"/>
            <color rgb="FF000000"/>
            <rFont val="Arial"/>
            <scheme val="minor"/>
          </rPr>
          <t>Responder updated this value.</t>
        </r>
      </text>
    </comment>
    <comment ref="AC59" authorId="0" shapeId="0" xr:uid="{00000000-0006-0000-0300-000012050000}">
      <text>
        <r>
          <rPr>
            <sz val="10"/>
            <color rgb="FF000000"/>
            <rFont val="Arial"/>
            <scheme val="minor"/>
          </rPr>
          <t>Responder updated this value.</t>
        </r>
      </text>
    </comment>
    <comment ref="AD59" authorId="0" shapeId="0" xr:uid="{00000000-0006-0000-0300-000013050000}">
      <text>
        <r>
          <rPr>
            <sz val="10"/>
            <color rgb="FF000000"/>
            <rFont val="Arial"/>
            <scheme val="minor"/>
          </rPr>
          <t>Responder updated this value.</t>
        </r>
      </text>
    </comment>
    <comment ref="AE59" authorId="0" shapeId="0" xr:uid="{00000000-0006-0000-0300-000014050000}">
      <text>
        <r>
          <rPr>
            <sz val="10"/>
            <color rgb="FF000000"/>
            <rFont val="Arial"/>
            <scheme val="minor"/>
          </rPr>
          <t>Responder updated this value.</t>
        </r>
      </text>
    </comment>
    <comment ref="AF59" authorId="0" shapeId="0" xr:uid="{00000000-0006-0000-0300-000015050000}">
      <text>
        <r>
          <rPr>
            <sz val="10"/>
            <color rgb="FF000000"/>
            <rFont val="Arial"/>
            <scheme val="minor"/>
          </rPr>
          <t>Responder updated this value.</t>
        </r>
      </text>
    </comment>
    <comment ref="AG59" authorId="0" shapeId="0" xr:uid="{00000000-0006-0000-0300-000016050000}">
      <text>
        <r>
          <rPr>
            <sz val="10"/>
            <color rgb="FF000000"/>
            <rFont val="Arial"/>
            <scheme val="minor"/>
          </rPr>
          <t>Responder updated this value.</t>
        </r>
      </text>
    </comment>
    <comment ref="AH59" authorId="0" shapeId="0" xr:uid="{00000000-0006-0000-0300-000017050000}">
      <text>
        <r>
          <rPr>
            <sz val="10"/>
            <color rgb="FF000000"/>
            <rFont val="Arial"/>
            <scheme val="minor"/>
          </rPr>
          <t>Responder updated this value.</t>
        </r>
      </text>
    </comment>
    <comment ref="AI59" authorId="0" shapeId="0" xr:uid="{00000000-0006-0000-0300-000018050000}">
      <text>
        <r>
          <rPr>
            <sz val="10"/>
            <color rgb="FF000000"/>
            <rFont val="Arial"/>
            <scheme val="minor"/>
          </rPr>
          <t>Responder updated this value.</t>
        </r>
      </text>
    </comment>
    <comment ref="AJ59" authorId="0" shapeId="0" xr:uid="{00000000-0006-0000-0300-000019050000}">
      <text>
        <r>
          <rPr>
            <sz val="10"/>
            <color rgb="FF000000"/>
            <rFont val="Arial"/>
            <scheme val="minor"/>
          </rPr>
          <t>Responder updated this value.</t>
        </r>
      </text>
    </comment>
    <comment ref="AK59" authorId="0" shapeId="0" xr:uid="{00000000-0006-0000-0300-00001A050000}">
      <text>
        <r>
          <rPr>
            <sz val="10"/>
            <color rgb="FF000000"/>
            <rFont val="Arial"/>
            <scheme val="minor"/>
          </rPr>
          <t>Responder updated this value.</t>
        </r>
      </text>
    </comment>
    <comment ref="AL59" authorId="0" shapeId="0" xr:uid="{00000000-0006-0000-0300-00001B050000}">
      <text>
        <r>
          <rPr>
            <sz val="10"/>
            <color rgb="FF000000"/>
            <rFont val="Arial"/>
            <scheme val="minor"/>
          </rPr>
          <t>Responder updated this value.</t>
        </r>
      </text>
    </comment>
    <comment ref="AM59" authorId="0" shapeId="0" xr:uid="{00000000-0006-0000-0300-00001C050000}">
      <text>
        <r>
          <rPr>
            <sz val="10"/>
            <color rgb="FF000000"/>
            <rFont val="Arial"/>
            <scheme val="minor"/>
          </rPr>
          <t>Responder updated this value.</t>
        </r>
      </text>
    </comment>
    <comment ref="AN59" authorId="0" shapeId="0" xr:uid="{00000000-0006-0000-0300-00001D050000}">
      <text>
        <r>
          <rPr>
            <sz val="10"/>
            <color rgb="FF000000"/>
            <rFont val="Arial"/>
            <scheme val="minor"/>
          </rPr>
          <t>Responder updated this value.</t>
        </r>
      </text>
    </comment>
    <comment ref="AO59" authorId="0" shapeId="0" xr:uid="{00000000-0006-0000-0300-00001E050000}">
      <text>
        <r>
          <rPr>
            <sz val="10"/>
            <color rgb="FF000000"/>
            <rFont val="Arial"/>
            <scheme val="minor"/>
          </rPr>
          <t>Responder updated this value.</t>
        </r>
      </text>
    </comment>
    <comment ref="AP59" authorId="0" shapeId="0" xr:uid="{00000000-0006-0000-0300-00001F050000}">
      <text>
        <r>
          <rPr>
            <sz val="10"/>
            <color rgb="FF000000"/>
            <rFont val="Arial"/>
            <scheme val="minor"/>
          </rPr>
          <t>Responder updated this value.</t>
        </r>
      </text>
    </comment>
    <comment ref="AQ59" authorId="0" shapeId="0" xr:uid="{00000000-0006-0000-0300-000020050000}">
      <text>
        <r>
          <rPr>
            <sz val="10"/>
            <color rgb="FF000000"/>
            <rFont val="Arial"/>
            <scheme val="minor"/>
          </rPr>
          <t>Responder updated this value.</t>
        </r>
      </text>
    </comment>
    <comment ref="AR59" authorId="0" shapeId="0" xr:uid="{00000000-0006-0000-0300-000021050000}">
      <text>
        <r>
          <rPr>
            <sz val="10"/>
            <color rgb="FF000000"/>
            <rFont val="Arial"/>
            <scheme val="minor"/>
          </rPr>
          <t>Responder updated this value.</t>
        </r>
      </text>
    </comment>
    <comment ref="AS59" authorId="0" shapeId="0" xr:uid="{00000000-0006-0000-0300-000022050000}">
      <text>
        <r>
          <rPr>
            <sz val="10"/>
            <color rgb="FF000000"/>
            <rFont val="Arial"/>
            <scheme val="minor"/>
          </rPr>
          <t>Responder updated this value.</t>
        </r>
      </text>
    </comment>
    <comment ref="AT59" authorId="0" shapeId="0" xr:uid="{00000000-0006-0000-0300-000023050000}">
      <text>
        <r>
          <rPr>
            <sz val="10"/>
            <color rgb="FF000000"/>
            <rFont val="Arial"/>
            <scheme val="minor"/>
          </rPr>
          <t>Responder updated this value.</t>
        </r>
      </text>
    </comment>
    <comment ref="AU59" authorId="0" shapeId="0" xr:uid="{00000000-0006-0000-0300-000024050000}">
      <text>
        <r>
          <rPr>
            <sz val="10"/>
            <color rgb="FF000000"/>
            <rFont val="Arial"/>
            <scheme val="minor"/>
          </rPr>
          <t>Responder updated this value.</t>
        </r>
      </text>
    </comment>
    <comment ref="D60" authorId="0" shapeId="0" xr:uid="{00000000-0006-0000-0300-000025050000}">
      <text>
        <r>
          <rPr>
            <sz val="10"/>
            <color rgb="FF000000"/>
            <rFont val="Arial"/>
            <scheme val="minor"/>
          </rPr>
          <t>Responder updated this value.</t>
        </r>
      </text>
    </comment>
    <comment ref="N60" authorId="0" shapeId="0" xr:uid="{00000000-0006-0000-0300-000026050000}">
      <text>
        <r>
          <rPr>
            <sz val="10"/>
            <color rgb="FF000000"/>
            <rFont val="Arial"/>
            <scheme val="minor"/>
          </rPr>
          <t>Responder updated this value.</t>
        </r>
      </text>
    </comment>
    <comment ref="O60" authorId="0" shapeId="0" xr:uid="{00000000-0006-0000-0300-000027050000}">
      <text>
        <r>
          <rPr>
            <sz val="10"/>
            <color rgb="FF000000"/>
            <rFont val="Arial"/>
            <scheme val="minor"/>
          </rPr>
          <t>Responder updated this value.</t>
        </r>
      </text>
    </comment>
    <comment ref="P60" authorId="0" shapeId="0" xr:uid="{00000000-0006-0000-0300-000028050000}">
      <text>
        <r>
          <rPr>
            <sz val="10"/>
            <color rgb="FF000000"/>
            <rFont val="Arial"/>
            <scheme val="minor"/>
          </rPr>
          <t>Responder updated this value.</t>
        </r>
      </text>
    </comment>
    <comment ref="Q60" authorId="0" shapeId="0" xr:uid="{00000000-0006-0000-0300-000029050000}">
      <text>
        <r>
          <rPr>
            <sz val="10"/>
            <color rgb="FF000000"/>
            <rFont val="Arial"/>
            <scheme val="minor"/>
          </rPr>
          <t>Responder updated this value.</t>
        </r>
      </text>
    </comment>
    <comment ref="R60" authorId="0" shapeId="0" xr:uid="{00000000-0006-0000-0300-00002A050000}">
      <text>
        <r>
          <rPr>
            <sz val="10"/>
            <color rgb="FF000000"/>
            <rFont val="Arial"/>
            <scheme val="minor"/>
          </rPr>
          <t>Responder updated this value.</t>
        </r>
      </text>
    </comment>
    <comment ref="S60" authorId="0" shapeId="0" xr:uid="{00000000-0006-0000-0300-00002B050000}">
      <text>
        <r>
          <rPr>
            <sz val="10"/>
            <color rgb="FF000000"/>
            <rFont val="Arial"/>
            <scheme val="minor"/>
          </rPr>
          <t>Responder updated this value.</t>
        </r>
      </text>
    </comment>
    <comment ref="T60" authorId="0" shapeId="0" xr:uid="{00000000-0006-0000-0300-00002C050000}">
      <text>
        <r>
          <rPr>
            <sz val="10"/>
            <color rgb="FF000000"/>
            <rFont val="Arial"/>
            <scheme val="minor"/>
          </rPr>
          <t>Responder updated this value.</t>
        </r>
      </text>
    </comment>
    <comment ref="U60" authorId="0" shapeId="0" xr:uid="{00000000-0006-0000-0300-00002D050000}">
      <text>
        <r>
          <rPr>
            <sz val="10"/>
            <color rgb="FF000000"/>
            <rFont val="Arial"/>
            <scheme val="minor"/>
          </rPr>
          <t>Responder updated this value.</t>
        </r>
      </text>
    </comment>
    <comment ref="V60" authorId="0" shapeId="0" xr:uid="{00000000-0006-0000-0300-00002E050000}">
      <text>
        <r>
          <rPr>
            <sz val="10"/>
            <color rgb="FF000000"/>
            <rFont val="Arial"/>
            <scheme val="minor"/>
          </rPr>
          <t>Responder updated this value.</t>
        </r>
      </text>
    </comment>
    <comment ref="W60" authorId="0" shapeId="0" xr:uid="{00000000-0006-0000-0300-00002F050000}">
      <text>
        <r>
          <rPr>
            <sz val="10"/>
            <color rgb="FF000000"/>
            <rFont val="Arial"/>
            <scheme val="minor"/>
          </rPr>
          <t>Responder updated this value.</t>
        </r>
      </text>
    </comment>
    <comment ref="X60" authorId="0" shapeId="0" xr:uid="{00000000-0006-0000-0300-000030050000}">
      <text>
        <r>
          <rPr>
            <sz val="10"/>
            <color rgb="FF000000"/>
            <rFont val="Arial"/>
            <scheme val="minor"/>
          </rPr>
          <t>Responder updated this value.</t>
        </r>
      </text>
    </comment>
    <comment ref="AC60" authorId="0" shapeId="0" xr:uid="{00000000-0006-0000-0300-000031050000}">
      <text>
        <r>
          <rPr>
            <sz val="10"/>
            <color rgb="FF000000"/>
            <rFont val="Arial"/>
            <scheme val="minor"/>
          </rPr>
          <t>Responder updated this value.</t>
        </r>
      </text>
    </comment>
    <comment ref="AD60" authorId="0" shapeId="0" xr:uid="{00000000-0006-0000-0300-000032050000}">
      <text>
        <r>
          <rPr>
            <sz val="10"/>
            <color rgb="FF000000"/>
            <rFont val="Arial"/>
            <scheme val="minor"/>
          </rPr>
          <t>Responder updated this value.</t>
        </r>
      </text>
    </comment>
    <comment ref="AE60" authorId="0" shapeId="0" xr:uid="{00000000-0006-0000-0300-000033050000}">
      <text>
        <r>
          <rPr>
            <sz val="10"/>
            <color rgb="FF000000"/>
            <rFont val="Arial"/>
            <scheme val="minor"/>
          </rPr>
          <t>Responder updated this value.</t>
        </r>
      </text>
    </comment>
    <comment ref="AF60" authorId="0" shapeId="0" xr:uid="{00000000-0006-0000-0300-000034050000}">
      <text>
        <r>
          <rPr>
            <sz val="10"/>
            <color rgb="FF000000"/>
            <rFont val="Arial"/>
            <scheme val="minor"/>
          </rPr>
          <t>Responder updated this value.</t>
        </r>
      </text>
    </comment>
    <comment ref="AG60" authorId="0" shapeId="0" xr:uid="{00000000-0006-0000-0300-000035050000}">
      <text>
        <r>
          <rPr>
            <sz val="10"/>
            <color rgb="FF000000"/>
            <rFont val="Arial"/>
            <scheme val="minor"/>
          </rPr>
          <t>Responder updated this value.</t>
        </r>
      </text>
    </comment>
    <comment ref="D61" authorId="0" shapeId="0" xr:uid="{00000000-0006-0000-0300-000036050000}">
      <text>
        <r>
          <rPr>
            <sz val="10"/>
            <color rgb="FF000000"/>
            <rFont val="Arial"/>
            <scheme val="minor"/>
          </rPr>
          <t>Responder updated this value.</t>
        </r>
      </text>
    </comment>
    <comment ref="N61" authorId="0" shapeId="0" xr:uid="{00000000-0006-0000-0300-000037050000}">
      <text>
        <r>
          <rPr>
            <sz val="10"/>
            <color rgb="FF000000"/>
            <rFont val="Arial"/>
            <scheme val="minor"/>
          </rPr>
          <t>Responder updated this value.</t>
        </r>
      </text>
    </comment>
    <comment ref="O61" authorId="0" shapeId="0" xr:uid="{00000000-0006-0000-0300-000038050000}">
      <text>
        <r>
          <rPr>
            <sz val="10"/>
            <color rgb="FF000000"/>
            <rFont val="Arial"/>
            <scheme val="minor"/>
          </rPr>
          <t>Responder updated this value.</t>
        </r>
      </text>
    </comment>
    <comment ref="P61" authorId="0" shapeId="0" xr:uid="{00000000-0006-0000-0300-000039050000}">
      <text>
        <r>
          <rPr>
            <sz val="10"/>
            <color rgb="FF000000"/>
            <rFont val="Arial"/>
            <scheme val="minor"/>
          </rPr>
          <t>Responder updated this value.</t>
        </r>
      </text>
    </comment>
    <comment ref="Q61" authorId="0" shapeId="0" xr:uid="{00000000-0006-0000-0300-00003A050000}">
      <text>
        <r>
          <rPr>
            <sz val="10"/>
            <color rgb="FF000000"/>
            <rFont val="Arial"/>
            <scheme val="minor"/>
          </rPr>
          <t>Responder updated this value.</t>
        </r>
      </text>
    </comment>
    <comment ref="R61" authorId="0" shapeId="0" xr:uid="{00000000-0006-0000-0300-00003B050000}">
      <text>
        <r>
          <rPr>
            <sz val="10"/>
            <color rgb="FF000000"/>
            <rFont val="Arial"/>
            <scheme val="minor"/>
          </rPr>
          <t>Responder updated this value.</t>
        </r>
      </text>
    </comment>
    <comment ref="S61" authorId="0" shapeId="0" xr:uid="{00000000-0006-0000-0300-00003C050000}">
      <text>
        <r>
          <rPr>
            <sz val="10"/>
            <color rgb="FF000000"/>
            <rFont val="Arial"/>
            <scheme val="minor"/>
          </rPr>
          <t>Responder updated this value.</t>
        </r>
      </text>
    </comment>
    <comment ref="T61" authorId="0" shapeId="0" xr:uid="{00000000-0006-0000-0300-00003D050000}">
      <text>
        <r>
          <rPr>
            <sz val="10"/>
            <color rgb="FF000000"/>
            <rFont val="Arial"/>
            <scheme val="minor"/>
          </rPr>
          <t>Responder updated this value.</t>
        </r>
      </text>
    </comment>
    <comment ref="U61" authorId="0" shapeId="0" xr:uid="{00000000-0006-0000-0300-00003E050000}">
      <text>
        <r>
          <rPr>
            <sz val="10"/>
            <color rgb="FF000000"/>
            <rFont val="Arial"/>
            <scheme val="minor"/>
          </rPr>
          <t>Responder updated this value.</t>
        </r>
      </text>
    </comment>
    <comment ref="V61" authorId="0" shapeId="0" xr:uid="{00000000-0006-0000-0300-00003F050000}">
      <text>
        <r>
          <rPr>
            <sz val="10"/>
            <color rgb="FF000000"/>
            <rFont val="Arial"/>
            <scheme val="minor"/>
          </rPr>
          <t>Responder updated this value.</t>
        </r>
      </text>
    </comment>
    <comment ref="W61" authorId="0" shapeId="0" xr:uid="{00000000-0006-0000-0300-000040050000}">
      <text>
        <r>
          <rPr>
            <sz val="10"/>
            <color rgb="FF000000"/>
            <rFont val="Arial"/>
            <scheme val="minor"/>
          </rPr>
          <t>Responder updated this value.</t>
        </r>
      </text>
    </comment>
    <comment ref="X61" authorId="0" shapeId="0" xr:uid="{00000000-0006-0000-0300-000041050000}">
      <text>
        <r>
          <rPr>
            <sz val="10"/>
            <color rgb="FF000000"/>
            <rFont val="Arial"/>
            <scheme val="minor"/>
          </rPr>
          <t>Responder updated this value.</t>
        </r>
      </text>
    </comment>
    <comment ref="AC61" authorId="0" shapeId="0" xr:uid="{00000000-0006-0000-0300-000042050000}">
      <text>
        <r>
          <rPr>
            <sz val="10"/>
            <color rgb="FF000000"/>
            <rFont val="Arial"/>
            <scheme val="minor"/>
          </rPr>
          <t>Responder updated this value.</t>
        </r>
      </text>
    </comment>
    <comment ref="AD61" authorId="0" shapeId="0" xr:uid="{00000000-0006-0000-0300-000043050000}">
      <text>
        <r>
          <rPr>
            <sz val="10"/>
            <color rgb="FF000000"/>
            <rFont val="Arial"/>
            <scheme val="minor"/>
          </rPr>
          <t>Responder updated this value.</t>
        </r>
      </text>
    </comment>
    <comment ref="AE61" authorId="0" shapeId="0" xr:uid="{00000000-0006-0000-0300-000044050000}">
      <text>
        <r>
          <rPr>
            <sz val="10"/>
            <color rgb="FF000000"/>
            <rFont val="Arial"/>
            <scheme val="minor"/>
          </rPr>
          <t>Responder updated this value.</t>
        </r>
      </text>
    </comment>
    <comment ref="AF61" authorId="0" shapeId="0" xr:uid="{00000000-0006-0000-0300-000045050000}">
      <text>
        <r>
          <rPr>
            <sz val="10"/>
            <color rgb="FF000000"/>
            <rFont val="Arial"/>
            <scheme val="minor"/>
          </rPr>
          <t>Responder updated this value.</t>
        </r>
      </text>
    </comment>
    <comment ref="AG61" authorId="0" shapeId="0" xr:uid="{00000000-0006-0000-0300-000046050000}">
      <text>
        <r>
          <rPr>
            <sz val="10"/>
            <color rgb="FF000000"/>
            <rFont val="Arial"/>
            <scheme val="minor"/>
          </rPr>
          <t>Responder updated this value.</t>
        </r>
      </text>
    </comment>
    <comment ref="AH61" authorId="0" shapeId="0" xr:uid="{00000000-0006-0000-0300-000047050000}">
      <text>
        <r>
          <rPr>
            <sz val="10"/>
            <color rgb="FF000000"/>
            <rFont val="Arial"/>
            <scheme val="minor"/>
          </rPr>
          <t>Responder updated this value.</t>
        </r>
      </text>
    </comment>
    <comment ref="AI61" authorId="0" shapeId="0" xr:uid="{00000000-0006-0000-0300-000048050000}">
      <text>
        <r>
          <rPr>
            <sz val="10"/>
            <color rgb="FF000000"/>
            <rFont val="Arial"/>
            <scheme val="minor"/>
          </rPr>
          <t>Responder updated this value.</t>
        </r>
      </text>
    </comment>
    <comment ref="AJ61" authorId="0" shapeId="0" xr:uid="{00000000-0006-0000-0300-000049050000}">
      <text>
        <r>
          <rPr>
            <sz val="10"/>
            <color rgb="FF000000"/>
            <rFont val="Arial"/>
            <scheme val="minor"/>
          </rPr>
          <t>Responder updated this value.</t>
        </r>
      </text>
    </comment>
    <comment ref="AK61" authorId="0" shapeId="0" xr:uid="{00000000-0006-0000-0300-00004A050000}">
      <text>
        <r>
          <rPr>
            <sz val="10"/>
            <color rgb="FF000000"/>
            <rFont val="Arial"/>
            <scheme val="minor"/>
          </rPr>
          <t>Responder updated this value.</t>
        </r>
      </text>
    </comment>
    <comment ref="AL61" authorId="0" shapeId="0" xr:uid="{00000000-0006-0000-0300-00004B050000}">
      <text>
        <r>
          <rPr>
            <sz val="10"/>
            <color rgb="FF000000"/>
            <rFont val="Arial"/>
            <scheme val="minor"/>
          </rPr>
          <t>Responder updated this value.</t>
        </r>
      </text>
    </comment>
    <comment ref="AM61" authorId="0" shapeId="0" xr:uid="{00000000-0006-0000-0300-00004C050000}">
      <text>
        <r>
          <rPr>
            <sz val="10"/>
            <color rgb="FF000000"/>
            <rFont val="Arial"/>
            <scheme val="minor"/>
          </rPr>
          <t>Responder updated this value.</t>
        </r>
      </text>
    </comment>
    <comment ref="AN61" authorId="0" shapeId="0" xr:uid="{00000000-0006-0000-0300-00004D050000}">
      <text>
        <r>
          <rPr>
            <sz val="10"/>
            <color rgb="FF000000"/>
            <rFont val="Arial"/>
            <scheme val="minor"/>
          </rPr>
          <t>Responder updated this value.</t>
        </r>
      </text>
    </comment>
    <comment ref="AO61" authorId="0" shapeId="0" xr:uid="{00000000-0006-0000-0300-00004E050000}">
      <text>
        <r>
          <rPr>
            <sz val="10"/>
            <color rgb="FF000000"/>
            <rFont val="Arial"/>
            <scheme val="minor"/>
          </rPr>
          <t>Responder updated this value.</t>
        </r>
      </text>
    </comment>
    <comment ref="AP61" authorId="0" shapeId="0" xr:uid="{00000000-0006-0000-0300-00004F050000}">
      <text>
        <r>
          <rPr>
            <sz val="10"/>
            <color rgb="FF000000"/>
            <rFont val="Arial"/>
            <scheme val="minor"/>
          </rPr>
          <t>Responder updated this value.</t>
        </r>
      </text>
    </comment>
    <comment ref="AQ61" authorId="0" shapeId="0" xr:uid="{00000000-0006-0000-0300-000050050000}">
      <text>
        <r>
          <rPr>
            <sz val="10"/>
            <color rgb="FF000000"/>
            <rFont val="Arial"/>
            <scheme val="minor"/>
          </rPr>
          <t>Responder updated this value.</t>
        </r>
      </text>
    </comment>
    <comment ref="AR61" authorId="0" shapeId="0" xr:uid="{00000000-0006-0000-0300-000051050000}">
      <text>
        <r>
          <rPr>
            <sz val="10"/>
            <color rgb="FF000000"/>
            <rFont val="Arial"/>
            <scheme val="minor"/>
          </rPr>
          <t>Responder updated this value.</t>
        </r>
      </text>
    </comment>
    <comment ref="AS61" authorId="0" shapeId="0" xr:uid="{00000000-0006-0000-0300-000052050000}">
      <text>
        <r>
          <rPr>
            <sz val="10"/>
            <color rgb="FF000000"/>
            <rFont val="Arial"/>
            <scheme val="minor"/>
          </rPr>
          <t>Responder updated this value.</t>
        </r>
      </text>
    </comment>
    <comment ref="AT61" authorId="0" shapeId="0" xr:uid="{00000000-0006-0000-0300-000053050000}">
      <text>
        <r>
          <rPr>
            <sz val="10"/>
            <color rgb="FF000000"/>
            <rFont val="Arial"/>
            <scheme val="minor"/>
          </rPr>
          <t>Responder updated this value.</t>
        </r>
      </text>
    </comment>
    <comment ref="AU61" authorId="0" shapeId="0" xr:uid="{00000000-0006-0000-0300-000054050000}">
      <text>
        <r>
          <rPr>
            <sz val="10"/>
            <color rgb="FF000000"/>
            <rFont val="Arial"/>
            <scheme val="minor"/>
          </rPr>
          <t>Responder updated this value.</t>
        </r>
      </text>
    </comment>
    <comment ref="D62" authorId="0" shapeId="0" xr:uid="{00000000-0006-0000-0300-000055050000}">
      <text>
        <r>
          <rPr>
            <sz val="10"/>
            <color rgb="FF000000"/>
            <rFont val="Arial"/>
            <scheme val="minor"/>
          </rPr>
          <t>Responder updated this value.</t>
        </r>
      </text>
    </comment>
    <comment ref="J62" authorId="0" shapeId="0" xr:uid="{00000000-0006-0000-0300-000056050000}">
      <text>
        <r>
          <rPr>
            <sz val="10"/>
            <color rgb="FF000000"/>
            <rFont val="Arial"/>
            <scheme val="minor"/>
          </rPr>
          <t>Responder updated this value.</t>
        </r>
      </text>
    </comment>
    <comment ref="K62" authorId="0" shapeId="0" xr:uid="{00000000-0006-0000-0300-000057050000}">
      <text>
        <r>
          <rPr>
            <sz val="10"/>
            <color rgb="FF000000"/>
            <rFont val="Arial"/>
            <scheme val="minor"/>
          </rPr>
          <t>Responder updated this value.</t>
        </r>
      </text>
    </comment>
    <comment ref="M62" authorId="0" shapeId="0" xr:uid="{00000000-0006-0000-0300-000058050000}">
      <text>
        <r>
          <rPr>
            <sz val="10"/>
            <color rgb="FF000000"/>
            <rFont val="Arial"/>
            <scheme val="minor"/>
          </rPr>
          <t>Responder updated this value.</t>
        </r>
      </text>
    </comment>
    <comment ref="N62" authorId="0" shapeId="0" xr:uid="{00000000-0006-0000-0300-000059050000}">
      <text>
        <r>
          <rPr>
            <sz val="10"/>
            <color rgb="FF000000"/>
            <rFont val="Arial"/>
            <scheme val="minor"/>
          </rPr>
          <t>Responder updated this value.</t>
        </r>
      </text>
    </comment>
    <comment ref="O62" authorId="0" shapeId="0" xr:uid="{00000000-0006-0000-0300-00005A050000}">
      <text>
        <r>
          <rPr>
            <sz val="10"/>
            <color rgb="FF000000"/>
            <rFont val="Arial"/>
            <scheme val="minor"/>
          </rPr>
          <t>Responder updated this value.</t>
        </r>
      </text>
    </comment>
    <comment ref="P62" authorId="0" shapeId="0" xr:uid="{00000000-0006-0000-0300-00005B050000}">
      <text>
        <r>
          <rPr>
            <sz val="10"/>
            <color rgb="FF000000"/>
            <rFont val="Arial"/>
            <scheme val="minor"/>
          </rPr>
          <t>Responder updated this value.</t>
        </r>
      </text>
    </comment>
    <comment ref="Q62" authorId="0" shapeId="0" xr:uid="{00000000-0006-0000-0300-00005C050000}">
      <text>
        <r>
          <rPr>
            <sz val="10"/>
            <color rgb="FF000000"/>
            <rFont val="Arial"/>
            <scheme val="minor"/>
          </rPr>
          <t>Responder updated this value.</t>
        </r>
      </text>
    </comment>
    <comment ref="R62" authorId="0" shapeId="0" xr:uid="{00000000-0006-0000-0300-00005D050000}">
      <text>
        <r>
          <rPr>
            <sz val="10"/>
            <color rgb="FF000000"/>
            <rFont val="Arial"/>
            <scheme val="minor"/>
          </rPr>
          <t>Responder updated this value.</t>
        </r>
      </text>
    </comment>
    <comment ref="S62" authorId="0" shapeId="0" xr:uid="{00000000-0006-0000-0300-00005E050000}">
      <text>
        <r>
          <rPr>
            <sz val="10"/>
            <color rgb="FF000000"/>
            <rFont val="Arial"/>
            <scheme val="minor"/>
          </rPr>
          <t>Responder updated this value.</t>
        </r>
      </text>
    </comment>
    <comment ref="T62" authorId="0" shapeId="0" xr:uid="{00000000-0006-0000-0300-00005F050000}">
      <text>
        <r>
          <rPr>
            <sz val="10"/>
            <color rgb="FF000000"/>
            <rFont val="Arial"/>
            <scheme val="minor"/>
          </rPr>
          <t>Responder updated this value.</t>
        </r>
      </text>
    </comment>
    <comment ref="W62" authorId="0" shapeId="0" xr:uid="{00000000-0006-0000-0300-000060050000}">
      <text>
        <r>
          <rPr>
            <sz val="10"/>
            <color rgb="FF000000"/>
            <rFont val="Arial"/>
            <scheme val="minor"/>
          </rPr>
          <t>Responder updated this value.</t>
        </r>
      </text>
    </comment>
    <comment ref="X62" authorId="0" shapeId="0" xr:uid="{00000000-0006-0000-0300-000061050000}">
      <text>
        <r>
          <rPr>
            <sz val="10"/>
            <color rgb="FF000000"/>
            <rFont val="Arial"/>
            <scheme val="minor"/>
          </rPr>
          <t>Responder updated this value.</t>
        </r>
      </text>
    </comment>
    <comment ref="AC62" authorId="0" shapeId="0" xr:uid="{00000000-0006-0000-0300-000062050000}">
      <text>
        <r>
          <rPr>
            <sz val="10"/>
            <color rgb="FF000000"/>
            <rFont val="Arial"/>
            <scheme val="minor"/>
          </rPr>
          <t>Responder updated this value.</t>
        </r>
      </text>
    </comment>
    <comment ref="AD62" authorId="0" shapeId="0" xr:uid="{00000000-0006-0000-0300-000063050000}">
      <text>
        <r>
          <rPr>
            <sz val="10"/>
            <color rgb="FF000000"/>
            <rFont val="Arial"/>
            <scheme val="minor"/>
          </rPr>
          <t>Responder updated this value.</t>
        </r>
      </text>
    </comment>
    <comment ref="AE62" authorId="0" shapeId="0" xr:uid="{00000000-0006-0000-0300-000064050000}">
      <text>
        <r>
          <rPr>
            <sz val="10"/>
            <color rgb="FF000000"/>
            <rFont val="Arial"/>
            <scheme val="minor"/>
          </rPr>
          <t>Responder updated this value.</t>
        </r>
      </text>
    </comment>
    <comment ref="AF62" authorId="0" shapeId="0" xr:uid="{00000000-0006-0000-0300-000065050000}">
      <text>
        <r>
          <rPr>
            <sz val="10"/>
            <color rgb="FF000000"/>
            <rFont val="Arial"/>
            <scheme val="minor"/>
          </rPr>
          <t>Responder updated this value.</t>
        </r>
      </text>
    </comment>
    <comment ref="AG62" authorId="0" shapeId="0" xr:uid="{00000000-0006-0000-0300-000066050000}">
      <text>
        <r>
          <rPr>
            <sz val="10"/>
            <color rgb="FF000000"/>
            <rFont val="Arial"/>
            <scheme val="minor"/>
          </rPr>
          <t>Responder updated this value.</t>
        </r>
      </text>
    </comment>
    <comment ref="AH62" authorId="0" shapeId="0" xr:uid="{00000000-0006-0000-0300-000067050000}">
      <text>
        <r>
          <rPr>
            <sz val="10"/>
            <color rgb="FF000000"/>
            <rFont val="Arial"/>
            <scheme val="minor"/>
          </rPr>
          <t>Responder updated this value.</t>
        </r>
      </text>
    </comment>
    <comment ref="AI62" authorId="0" shapeId="0" xr:uid="{00000000-0006-0000-0300-000068050000}">
      <text>
        <r>
          <rPr>
            <sz val="10"/>
            <color rgb="FF000000"/>
            <rFont val="Arial"/>
            <scheme val="minor"/>
          </rPr>
          <t>Responder updated this value.</t>
        </r>
      </text>
    </comment>
    <comment ref="AJ62" authorId="0" shapeId="0" xr:uid="{00000000-0006-0000-0300-000069050000}">
      <text>
        <r>
          <rPr>
            <sz val="10"/>
            <color rgb="FF000000"/>
            <rFont val="Arial"/>
            <scheme val="minor"/>
          </rPr>
          <t>Responder updated this value.</t>
        </r>
      </text>
    </comment>
    <comment ref="AK62" authorId="0" shapeId="0" xr:uid="{00000000-0006-0000-0300-00006A050000}">
      <text>
        <r>
          <rPr>
            <sz val="10"/>
            <color rgb="FF000000"/>
            <rFont val="Arial"/>
            <scheme val="minor"/>
          </rPr>
          <t>Responder updated this value.</t>
        </r>
      </text>
    </comment>
    <comment ref="AL62" authorId="0" shapeId="0" xr:uid="{00000000-0006-0000-0300-00006B050000}">
      <text>
        <r>
          <rPr>
            <sz val="10"/>
            <color rgb="FF000000"/>
            <rFont val="Arial"/>
            <scheme val="minor"/>
          </rPr>
          <t>Responder updated this value.</t>
        </r>
      </text>
    </comment>
    <comment ref="AM62" authorId="0" shapeId="0" xr:uid="{00000000-0006-0000-0300-00006C050000}">
      <text>
        <r>
          <rPr>
            <sz val="10"/>
            <color rgb="FF000000"/>
            <rFont val="Arial"/>
            <scheme val="minor"/>
          </rPr>
          <t>Responder updated this value.</t>
        </r>
      </text>
    </comment>
    <comment ref="AN62" authorId="0" shapeId="0" xr:uid="{00000000-0006-0000-0300-00006D050000}">
      <text>
        <r>
          <rPr>
            <sz val="10"/>
            <color rgb="FF000000"/>
            <rFont val="Arial"/>
            <scheme val="minor"/>
          </rPr>
          <t>Responder updated this value.</t>
        </r>
      </text>
    </comment>
    <comment ref="AO62" authorId="0" shapeId="0" xr:uid="{00000000-0006-0000-0300-00006E050000}">
      <text>
        <r>
          <rPr>
            <sz val="10"/>
            <color rgb="FF000000"/>
            <rFont val="Arial"/>
            <scheme val="minor"/>
          </rPr>
          <t>Responder updated this value.</t>
        </r>
      </text>
    </comment>
    <comment ref="AP62" authorId="0" shapeId="0" xr:uid="{00000000-0006-0000-0300-00006F050000}">
      <text>
        <r>
          <rPr>
            <sz val="10"/>
            <color rgb="FF000000"/>
            <rFont val="Arial"/>
            <scheme val="minor"/>
          </rPr>
          <t>Responder updated this value.</t>
        </r>
      </text>
    </comment>
    <comment ref="AQ62" authorId="0" shapeId="0" xr:uid="{00000000-0006-0000-0300-000070050000}">
      <text>
        <r>
          <rPr>
            <sz val="10"/>
            <color rgb="FF000000"/>
            <rFont val="Arial"/>
            <scheme val="minor"/>
          </rPr>
          <t>Responder updated this value.</t>
        </r>
      </text>
    </comment>
    <comment ref="AR62" authorId="0" shapeId="0" xr:uid="{00000000-0006-0000-0300-000071050000}">
      <text>
        <r>
          <rPr>
            <sz val="10"/>
            <color rgb="FF000000"/>
            <rFont val="Arial"/>
            <scheme val="minor"/>
          </rPr>
          <t>Responder updated this value.</t>
        </r>
      </text>
    </comment>
    <comment ref="AS62" authorId="0" shapeId="0" xr:uid="{00000000-0006-0000-0300-000072050000}">
      <text>
        <r>
          <rPr>
            <sz val="10"/>
            <color rgb="FF000000"/>
            <rFont val="Arial"/>
            <scheme val="minor"/>
          </rPr>
          <t>Responder updated this value.</t>
        </r>
      </text>
    </comment>
    <comment ref="AT62" authorId="0" shapeId="0" xr:uid="{00000000-0006-0000-0300-000073050000}">
      <text>
        <r>
          <rPr>
            <sz val="10"/>
            <color rgb="FF000000"/>
            <rFont val="Arial"/>
            <scheme val="minor"/>
          </rPr>
          <t>Responder updated this value.</t>
        </r>
      </text>
    </comment>
    <comment ref="AU62" authorId="0" shapeId="0" xr:uid="{00000000-0006-0000-0300-000074050000}">
      <text>
        <r>
          <rPr>
            <sz val="10"/>
            <color rgb="FF000000"/>
            <rFont val="Arial"/>
            <scheme val="minor"/>
          </rPr>
          <t>Responder updated this value.</t>
        </r>
      </text>
    </comment>
    <comment ref="D63" authorId="0" shapeId="0" xr:uid="{00000000-0006-0000-0300-000075050000}">
      <text>
        <r>
          <rPr>
            <sz val="10"/>
            <color rgb="FF000000"/>
            <rFont val="Arial"/>
            <scheme val="minor"/>
          </rPr>
          <t>Responder updated this value.</t>
        </r>
      </text>
    </comment>
    <comment ref="M63" authorId="0" shapeId="0" xr:uid="{00000000-0006-0000-0300-000076050000}">
      <text>
        <r>
          <rPr>
            <sz val="10"/>
            <color rgb="FF000000"/>
            <rFont val="Arial"/>
            <scheme val="minor"/>
          </rPr>
          <t>Responder updated this value.</t>
        </r>
      </text>
    </comment>
    <comment ref="N63" authorId="0" shapeId="0" xr:uid="{00000000-0006-0000-0300-000077050000}">
      <text>
        <r>
          <rPr>
            <sz val="10"/>
            <color rgb="FF000000"/>
            <rFont val="Arial"/>
            <scheme val="minor"/>
          </rPr>
          <t>Responder updated this value.</t>
        </r>
      </text>
    </comment>
    <comment ref="AC63" authorId="0" shapeId="0" xr:uid="{00000000-0006-0000-0300-000078050000}">
      <text>
        <r>
          <rPr>
            <sz val="10"/>
            <color rgb="FF000000"/>
            <rFont val="Arial"/>
            <scheme val="minor"/>
          </rPr>
          <t>Responder updated this value.</t>
        </r>
      </text>
    </comment>
    <comment ref="AD63" authorId="0" shapeId="0" xr:uid="{00000000-0006-0000-0300-000079050000}">
      <text>
        <r>
          <rPr>
            <sz val="10"/>
            <color rgb="FF000000"/>
            <rFont val="Arial"/>
            <scheme val="minor"/>
          </rPr>
          <t>Responder updated this value.</t>
        </r>
      </text>
    </comment>
    <comment ref="AE63" authorId="0" shapeId="0" xr:uid="{00000000-0006-0000-0300-00007A050000}">
      <text>
        <r>
          <rPr>
            <sz val="10"/>
            <color rgb="FF000000"/>
            <rFont val="Arial"/>
            <scheme val="minor"/>
          </rPr>
          <t>Responder updated this value.</t>
        </r>
      </text>
    </comment>
    <comment ref="AF63" authorId="0" shapeId="0" xr:uid="{00000000-0006-0000-0300-00007B050000}">
      <text>
        <r>
          <rPr>
            <sz val="10"/>
            <color rgb="FF000000"/>
            <rFont val="Arial"/>
            <scheme val="minor"/>
          </rPr>
          <t>Responder updated this value.</t>
        </r>
      </text>
    </comment>
    <comment ref="AG63" authorId="0" shapeId="0" xr:uid="{00000000-0006-0000-0300-00007C050000}">
      <text>
        <r>
          <rPr>
            <sz val="10"/>
            <color rgb="FF000000"/>
            <rFont val="Arial"/>
            <scheme val="minor"/>
          </rPr>
          <t>Responder updated this value.</t>
        </r>
      </text>
    </comment>
    <comment ref="AH63" authorId="0" shapeId="0" xr:uid="{00000000-0006-0000-0300-00007D050000}">
      <text>
        <r>
          <rPr>
            <sz val="10"/>
            <color rgb="FF000000"/>
            <rFont val="Arial"/>
            <scheme val="minor"/>
          </rPr>
          <t>Responder updated this value.</t>
        </r>
      </text>
    </comment>
    <comment ref="AI63" authorId="0" shapeId="0" xr:uid="{00000000-0006-0000-0300-00007E050000}">
      <text>
        <r>
          <rPr>
            <sz val="10"/>
            <color rgb="FF000000"/>
            <rFont val="Arial"/>
            <scheme val="minor"/>
          </rPr>
          <t>Responder updated this value.</t>
        </r>
      </text>
    </comment>
    <comment ref="AJ63" authorId="0" shapeId="0" xr:uid="{00000000-0006-0000-0300-00007F050000}">
      <text>
        <r>
          <rPr>
            <sz val="10"/>
            <color rgb="FF000000"/>
            <rFont val="Arial"/>
            <scheme val="minor"/>
          </rPr>
          <t>Responder updated this value.</t>
        </r>
      </text>
    </comment>
    <comment ref="AK63" authorId="0" shapeId="0" xr:uid="{00000000-0006-0000-0300-000080050000}">
      <text>
        <r>
          <rPr>
            <sz val="10"/>
            <color rgb="FF000000"/>
            <rFont val="Arial"/>
            <scheme val="minor"/>
          </rPr>
          <t>Responder updated this value.</t>
        </r>
      </text>
    </comment>
    <comment ref="AL63" authorId="0" shapeId="0" xr:uid="{00000000-0006-0000-0300-000081050000}">
      <text>
        <r>
          <rPr>
            <sz val="10"/>
            <color rgb="FF000000"/>
            <rFont val="Arial"/>
            <scheme val="minor"/>
          </rPr>
          <t>Responder updated this value.</t>
        </r>
      </text>
    </comment>
    <comment ref="AM63" authorId="0" shapeId="0" xr:uid="{00000000-0006-0000-0300-000082050000}">
      <text>
        <r>
          <rPr>
            <sz val="10"/>
            <color rgb="FF000000"/>
            <rFont val="Arial"/>
            <scheme val="minor"/>
          </rPr>
          <t>Responder updated this value.</t>
        </r>
      </text>
    </comment>
    <comment ref="AN63" authorId="0" shapeId="0" xr:uid="{00000000-0006-0000-0300-000083050000}">
      <text>
        <r>
          <rPr>
            <sz val="10"/>
            <color rgb="FF000000"/>
            <rFont val="Arial"/>
            <scheme val="minor"/>
          </rPr>
          <t>Responder updated this value.</t>
        </r>
      </text>
    </comment>
    <comment ref="AO63" authorId="0" shapeId="0" xr:uid="{00000000-0006-0000-0300-000084050000}">
      <text>
        <r>
          <rPr>
            <sz val="10"/>
            <color rgb="FF000000"/>
            <rFont val="Arial"/>
            <scheme val="minor"/>
          </rPr>
          <t>Responder updated this value.</t>
        </r>
      </text>
    </comment>
    <comment ref="AP63" authorId="0" shapeId="0" xr:uid="{00000000-0006-0000-0300-000085050000}">
      <text>
        <r>
          <rPr>
            <sz val="10"/>
            <color rgb="FF000000"/>
            <rFont val="Arial"/>
            <scheme val="minor"/>
          </rPr>
          <t>Responder updated this value.</t>
        </r>
      </text>
    </comment>
    <comment ref="AQ63" authorId="0" shapeId="0" xr:uid="{00000000-0006-0000-0300-000086050000}">
      <text>
        <r>
          <rPr>
            <sz val="10"/>
            <color rgb="FF000000"/>
            <rFont val="Arial"/>
            <scheme val="minor"/>
          </rPr>
          <t>Responder updated this value.</t>
        </r>
      </text>
    </comment>
    <comment ref="AR63" authorId="0" shapeId="0" xr:uid="{00000000-0006-0000-0300-000087050000}">
      <text>
        <r>
          <rPr>
            <sz val="10"/>
            <color rgb="FF000000"/>
            <rFont val="Arial"/>
            <scheme val="minor"/>
          </rPr>
          <t>Responder updated this value.</t>
        </r>
      </text>
    </comment>
    <comment ref="AS63" authorId="0" shapeId="0" xr:uid="{00000000-0006-0000-0300-000088050000}">
      <text>
        <r>
          <rPr>
            <sz val="10"/>
            <color rgb="FF000000"/>
            <rFont val="Arial"/>
            <scheme val="minor"/>
          </rPr>
          <t>Responder updated this value.</t>
        </r>
      </text>
    </comment>
    <comment ref="AT63" authorId="0" shapeId="0" xr:uid="{00000000-0006-0000-0300-000089050000}">
      <text>
        <r>
          <rPr>
            <sz val="10"/>
            <color rgb="FF000000"/>
            <rFont val="Arial"/>
            <scheme val="minor"/>
          </rPr>
          <t>Responder updated this value.</t>
        </r>
      </text>
    </comment>
    <comment ref="AU63" authorId="0" shapeId="0" xr:uid="{00000000-0006-0000-0300-00008A050000}">
      <text>
        <r>
          <rPr>
            <sz val="10"/>
            <color rgb="FF000000"/>
            <rFont val="Arial"/>
            <scheme val="minor"/>
          </rPr>
          <t>Responder updated this value.</t>
        </r>
      </text>
    </comment>
    <comment ref="D64" authorId="0" shapeId="0" xr:uid="{00000000-0006-0000-0300-00008B050000}">
      <text>
        <r>
          <rPr>
            <sz val="10"/>
            <color rgb="FF000000"/>
            <rFont val="Arial"/>
            <scheme val="minor"/>
          </rPr>
          <t>Responder updated this value.</t>
        </r>
      </text>
    </comment>
    <comment ref="AE64" authorId="0" shapeId="0" xr:uid="{00000000-0006-0000-0300-00008C050000}">
      <text>
        <r>
          <rPr>
            <sz val="10"/>
            <color rgb="FF000000"/>
            <rFont val="Arial"/>
            <scheme val="minor"/>
          </rPr>
          <t>Responder updated this value.</t>
        </r>
      </text>
    </comment>
    <comment ref="AF64" authorId="0" shapeId="0" xr:uid="{00000000-0006-0000-0300-00008D050000}">
      <text>
        <r>
          <rPr>
            <sz val="10"/>
            <color rgb="FF000000"/>
            <rFont val="Arial"/>
            <scheme val="minor"/>
          </rPr>
          <t>Responder updated this value.</t>
        </r>
      </text>
    </comment>
    <comment ref="AG64" authorId="0" shapeId="0" xr:uid="{00000000-0006-0000-0300-00008E050000}">
      <text>
        <r>
          <rPr>
            <sz val="10"/>
            <color rgb="FF000000"/>
            <rFont val="Arial"/>
            <scheme val="minor"/>
          </rPr>
          <t>Responder updated this value.</t>
        </r>
      </text>
    </comment>
    <comment ref="AH64" authorId="0" shapeId="0" xr:uid="{00000000-0006-0000-0300-00008F050000}">
      <text>
        <r>
          <rPr>
            <sz val="10"/>
            <color rgb="FF000000"/>
            <rFont val="Arial"/>
            <scheme val="minor"/>
          </rPr>
          <t>Responder updated this value.</t>
        </r>
      </text>
    </comment>
    <comment ref="AI64" authorId="0" shapeId="0" xr:uid="{00000000-0006-0000-0300-000090050000}">
      <text>
        <r>
          <rPr>
            <sz val="10"/>
            <color rgb="FF000000"/>
            <rFont val="Arial"/>
            <scheme val="minor"/>
          </rPr>
          <t>Responder updated this value.</t>
        </r>
      </text>
    </comment>
    <comment ref="AK64" authorId="0" shapeId="0" xr:uid="{00000000-0006-0000-0300-000091050000}">
      <text>
        <r>
          <rPr>
            <sz val="10"/>
            <color rgb="FF000000"/>
            <rFont val="Arial"/>
            <scheme val="minor"/>
          </rPr>
          <t>Responder updated this value.</t>
        </r>
      </text>
    </comment>
    <comment ref="AL64" authorId="0" shapeId="0" xr:uid="{00000000-0006-0000-0300-000092050000}">
      <text>
        <r>
          <rPr>
            <sz val="10"/>
            <color rgb="FF000000"/>
            <rFont val="Arial"/>
            <scheme val="minor"/>
          </rPr>
          <t>Responder updated this value.</t>
        </r>
      </text>
    </comment>
    <comment ref="AM64" authorId="0" shapeId="0" xr:uid="{00000000-0006-0000-0300-000093050000}">
      <text>
        <r>
          <rPr>
            <sz val="10"/>
            <color rgb="FF000000"/>
            <rFont val="Arial"/>
            <scheme val="minor"/>
          </rPr>
          <t>Responder updated this value.</t>
        </r>
      </text>
    </comment>
    <comment ref="AN64" authorId="0" shapeId="0" xr:uid="{00000000-0006-0000-0300-000094050000}">
      <text>
        <r>
          <rPr>
            <sz val="10"/>
            <color rgb="FF000000"/>
            <rFont val="Arial"/>
            <scheme val="minor"/>
          </rPr>
          <t>Responder updated this value.</t>
        </r>
      </text>
    </comment>
    <comment ref="AO64" authorId="0" shapeId="0" xr:uid="{00000000-0006-0000-0300-000095050000}">
      <text>
        <r>
          <rPr>
            <sz val="10"/>
            <color rgb="FF000000"/>
            <rFont val="Arial"/>
            <scheme val="minor"/>
          </rPr>
          <t>Responder updated this value.</t>
        </r>
      </text>
    </comment>
    <comment ref="AP64" authorId="0" shapeId="0" xr:uid="{00000000-0006-0000-0300-000096050000}">
      <text>
        <r>
          <rPr>
            <sz val="10"/>
            <color rgb="FF000000"/>
            <rFont val="Arial"/>
            <scheme val="minor"/>
          </rPr>
          <t>Responder updated this value.</t>
        </r>
      </text>
    </comment>
    <comment ref="AQ64" authorId="0" shapeId="0" xr:uid="{00000000-0006-0000-0300-000097050000}">
      <text>
        <r>
          <rPr>
            <sz val="10"/>
            <color rgb="FF000000"/>
            <rFont val="Arial"/>
            <scheme val="minor"/>
          </rPr>
          <t>Responder updated this value.</t>
        </r>
      </text>
    </comment>
    <comment ref="AR64" authorId="0" shapeId="0" xr:uid="{00000000-0006-0000-0300-000098050000}">
      <text>
        <r>
          <rPr>
            <sz val="10"/>
            <color rgb="FF000000"/>
            <rFont val="Arial"/>
            <scheme val="minor"/>
          </rPr>
          <t>Responder updated this value.</t>
        </r>
      </text>
    </comment>
    <comment ref="AS64" authorId="0" shapeId="0" xr:uid="{00000000-0006-0000-0300-000099050000}">
      <text>
        <r>
          <rPr>
            <sz val="10"/>
            <color rgb="FF000000"/>
            <rFont val="Arial"/>
            <scheme val="minor"/>
          </rPr>
          <t>Responder updated this value.</t>
        </r>
      </text>
    </comment>
    <comment ref="AT64" authorId="0" shapeId="0" xr:uid="{00000000-0006-0000-0300-00009A050000}">
      <text>
        <r>
          <rPr>
            <sz val="10"/>
            <color rgb="FF000000"/>
            <rFont val="Arial"/>
            <scheme val="minor"/>
          </rPr>
          <t>Responder updated this value.</t>
        </r>
      </text>
    </comment>
    <comment ref="AU64" authorId="0" shapeId="0" xr:uid="{00000000-0006-0000-0300-00009B050000}">
      <text>
        <r>
          <rPr>
            <sz val="10"/>
            <color rgb="FF000000"/>
            <rFont val="Arial"/>
            <scheme val="minor"/>
          </rPr>
          <t>Responder updated this value.</t>
        </r>
      </text>
    </comment>
    <comment ref="D65" authorId="0" shapeId="0" xr:uid="{00000000-0006-0000-0300-00009C050000}">
      <text>
        <r>
          <rPr>
            <sz val="10"/>
            <color rgb="FF000000"/>
            <rFont val="Arial"/>
            <scheme val="minor"/>
          </rPr>
          <t>Responder updated this value.</t>
        </r>
      </text>
    </comment>
    <comment ref="I65" authorId="0" shapeId="0" xr:uid="{00000000-0006-0000-0300-00009D050000}">
      <text>
        <r>
          <rPr>
            <sz val="10"/>
            <color rgb="FF000000"/>
            <rFont val="Arial"/>
            <scheme val="minor"/>
          </rPr>
          <t>Responder updated this value.</t>
        </r>
      </text>
    </comment>
    <comment ref="AE65" authorId="0" shapeId="0" xr:uid="{00000000-0006-0000-0300-00009E050000}">
      <text>
        <r>
          <rPr>
            <sz val="10"/>
            <color rgb="FF000000"/>
            <rFont val="Arial"/>
            <scheme val="minor"/>
          </rPr>
          <t>Responder updated this value.</t>
        </r>
      </text>
    </comment>
    <comment ref="AK65" authorId="0" shapeId="0" xr:uid="{00000000-0006-0000-0300-00009F050000}">
      <text>
        <r>
          <rPr>
            <sz val="10"/>
            <color rgb="FF000000"/>
            <rFont val="Arial"/>
            <scheme val="minor"/>
          </rPr>
          <t>Responder updated this value.</t>
        </r>
      </text>
    </comment>
    <comment ref="AL65" authorId="0" shapeId="0" xr:uid="{00000000-0006-0000-0300-0000A0050000}">
      <text>
        <r>
          <rPr>
            <sz val="10"/>
            <color rgb="FF000000"/>
            <rFont val="Arial"/>
            <scheme val="minor"/>
          </rPr>
          <t>Responder updated this value.</t>
        </r>
      </text>
    </comment>
    <comment ref="AM65" authorId="0" shapeId="0" xr:uid="{00000000-0006-0000-0300-0000A1050000}">
      <text>
        <r>
          <rPr>
            <sz val="10"/>
            <color rgb="FF000000"/>
            <rFont val="Arial"/>
            <scheme val="minor"/>
          </rPr>
          <t>Responder updated this value.</t>
        </r>
      </text>
    </comment>
    <comment ref="AN65" authorId="0" shapeId="0" xr:uid="{00000000-0006-0000-0300-0000A2050000}">
      <text>
        <r>
          <rPr>
            <sz val="10"/>
            <color rgb="FF000000"/>
            <rFont val="Arial"/>
            <scheme val="minor"/>
          </rPr>
          <t>Responder updated this value.</t>
        </r>
      </text>
    </comment>
    <comment ref="AO65" authorId="0" shapeId="0" xr:uid="{00000000-0006-0000-0300-0000A3050000}">
      <text>
        <r>
          <rPr>
            <sz val="10"/>
            <color rgb="FF000000"/>
            <rFont val="Arial"/>
            <scheme val="minor"/>
          </rPr>
          <t>Responder updated this value.</t>
        </r>
      </text>
    </comment>
    <comment ref="AP65" authorId="0" shapeId="0" xr:uid="{00000000-0006-0000-0300-0000A4050000}">
      <text>
        <r>
          <rPr>
            <sz val="10"/>
            <color rgb="FF000000"/>
            <rFont val="Arial"/>
            <scheme val="minor"/>
          </rPr>
          <t>Responder updated this value.</t>
        </r>
      </text>
    </comment>
    <comment ref="AQ65" authorId="0" shapeId="0" xr:uid="{00000000-0006-0000-0300-0000A5050000}">
      <text>
        <r>
          <rPr>
            <sz val="10"/>
            <color rgb="FF000000"/>
            <rFont val="Arial"/>
            <scheme val="minor"/>
          </rPr>
          <t>Responder updated this value.</t>
        </r>
      </text>
    </comment>
    <comment ref="AR65" authorId="0" shapeId="0" xr:uid="{00000000-0006-0000-0300-0000A6050000}">
      <text>
        <r>
          <rPr>
            <sz val="10"/>
            <color rgb="FF000000"/>
            <rFont val="Arial"/>
            <scheme val="minor"/>
          </rPr>
          <t>Responder updated this value.</t>
        </r>
      </text>
    </comment>
    <comment ref="AS65" authorId="0" shapeId="0" xr:uid="{00000000-0006-0000-0300-0000A7050000}">
      <text>
        <r>
          <rPr>
            <sz val="10"/>
            <color rgb="FF000000"/>
            <rFont val="Arial"/>
            <scheme val="minor"/>
          </rPr>
          <t>Responder updated this value.</t>
        </r>
      </text>
    </comment>
    <comment ref="AT65" authorId="0" shapeId="0" xr:uid="{00000000-0006-0000-0300-0000A8050000}">
      <text>
        <r>
          <rPr>
            <sz val="10"/>
            <color rgb="FF000000"/>
            <rFont val="Arial"/>
            <scheme val="minor"/>
          </rPr>
          <t>Responder updated this value.</t>
        </r>
      </text>
    </comment>
    <comment ref="AU65" authorId="0" shapeId="0" xr:uid="{00000000-0006-0000-0300-0000A9050000}">
      <text>
        <r>
          <rPr>
            <sz val="10"/>
            <color rgb="FF000000"/>
            <rFont val="Arial"/>
            <scheme val="minor"/>
          </rPr>
          <t>Responder updated this value.</t>
        </r>
      </text>
    </comment>
    <comment ref="D66" authorId="0" shapeId="0" xr:uid="{00000000-0006-0000-0300-0000AA050000}">
      <text>
        <r>
          <rPr>
            <sz val="10"/>
            <color rgb="FF000000"/>
            <rFont val="Arial"/>
            <scheme val="minor"/>
          </rPr>
          <t>Responder updated this value.</t>
        </r>
      </text>
    </comment>
    <comment ref="E66" authorId="0" shapeId="0" xr:uid="{00000000-0006-0000-0300-0000AB050000}">
      <text>
        <r>
          <rPr>
            <sz val="10"/>
            <color rgb="FF000000"/>
            <rFont val="Arial"/>
            <scheme val="minor"/>
          </rPr>
          <t>Responder updated this value.</t>
        </r>
      </text>
    </comment>
    <comment ref="H66" authorId="0" shapeId="0" xr:uid="{00000000-0006-0000-0300-0000AC050000}">
      <text>
        <r>
          <rPr>
            <sz val="10"/>
            <color rgb="FF000000"/>
            <rFont val="Arial"/>
            <scheme val="minor"/>
          </rPr>
          <t>Responder updated this value.</t>
        </r>
      </text>
    </comment>
    <comment ref="J66" authorId="0" shapeId="0" xr:uid="{00000000-0006-0000-0300-0000AD050000}">
      <text>
        <r>
          <rPr>
            <sz val="10"/>
            <color rgb="FF000000"/>
            <rFont val="Arial"/>
            <scheme val="minor"/>
          </rPr>
          <t>Responder updated this value.</t>
        </r>
      </text>
    </comment>
    <comment ref="K66" authorId="0" shapeId="0" xr:uid="{00000000-0006-0000-0300-0000AE050000}">
      <text>
        <r>
          <rPr>
            <sz val="10"/>
            <color rgb="FF000000"/>
            <rFont val="Arial"/>
            <scheme val="minor"/>
          </rPr>
          <t>Responder updated this value.</t>
        </r>
      </text>
    </comment>
    <comment ref="L66" authorId="0" shapeId="0" xr:uid="{00000000-0006-0000-0300-0000AF050000}">
      <text>
        <r>
          <rPr>
            <sz val="10"/>
            <color rgb="FF000000"/>
            <rFont val="Arial"/>
            <scheme val="minor"/>
          </rPr>
          <t>Responder updated this value.</t>
        </r>
      </text>
    </comment>
    <comment ref="M66" authorId="0" shapeId="0" xr:uid="{00000000-0006-0000-0300-0000B0050000}">
      <text>
        <r>
          <rPr>
            <sz val="10"/>
            <color rgb="FF000000"/>
            <rFont val="Arial"/>
            <scheme val="minor"/>
          </rPr>
          <t>Responder updated this value.</t>
        </r>
      </text>
    </comment>
    <comment ref="N66" authorId="0" shapeId="0" xr:uid="{00000000-0006-0000-0300-0000B1050000}">
      <text>
        <r>
          <rPr>
            <sz val="10"/>
            <color rgb="FF000000"/>
            <rFont val="Arial"/>
            <scheme val="minor"/>
          </rPr>
          <t>Responder updated this value.</t>
        </r>
      </text>
    </comment>
    <comment ref="O66" authorId="0" shapeId="0" xr:uid="{00000000-0006-0000-0300-0000B2050000}">
      <text>
        <r>
          <rPr>
            <sz val="10"/>
            <color rgb="FF000000"/>
            <rFont val="Arial"/>
            <scheme val="minor"/>
          </rPr>
          <t>Responder updated this value.</t>
        </r>
      </text>
    </comment>
    <comment ref="P66" authorId="0" shapeId="0" xr:uid="{00000000-0006-0000-0300-0000B3050000}">
      <text>
        <r>
          <rPr>
            <sz val="10"/>
            <color rgb="FF000000"/>
            <rFont val="Arial"/>
            <scheme val="minor"/>
          </rPr>
          <t>Responder updated this value.</t>
        </r>
      </text>
    </comment>
    <comment ref="Q66" authorId="0" shapeId="0" xr:uid="{00000000-0006-0000-0300-0000B4050000}">
      <text>
        <r>
          <rPr>
            <sz val="10"/>
            <color rgb="FF000000"/>
            <rFont val="Arial"/>
            <scheme val="minor"/>
          </rPr>
          <t>Responder updated this value.</t>
        </r>
      </text>
    </comment>
    <comment ref="R66" authorId="0" shapeId="0" xr:uid="{00000000-0006-0000-0300-0000B5050000}">
      <text>
        <r>
          <rPr>
            <sz val="10"/>
            <color rgb="FF000000"/>
            <rFont val="Arial"/>
            <scheme val="minor"/>
          </rPr>
          <t>Responder updated this value.</t>
        </r>
      </text>
    </comment>
    <comment ref="S66" authorId="0" shapeId="0" xr:uid="{00000000-0006-0000-0300-0000B6050000}">
      <text>
        <r>
          <rPr>
            <sz val="10"/>
            <color rgb="FF000000"/>
            <rFont val="Arial"/>
            <scheme val="minor"/>
          </rPr>
          <t>Responder updated this value.</t>
        </r>
      </text>
    </comment>
    <comment ref="T66" authorId="0" shapeId="0" xr:uid="{00000000-0006-0000-0300-0000B7050000}">
      <text>
        <r>
          <rPr>
            <sz val="10"/>
            <color rgb="FF000000"/>
            <rFont val="Arial"/>
            <scheme val="minor"/>
          </rPr>
          <t>Responder updated this value.</t>
        </r>
      </text>
    </comment>
    <comment ref="U66" authorId="0" shapeId="0" xr:uid="{00000000-0006-0000-0300-0000B8050000}">
      <text>
        <r>
          <rPr>
            <sz val="10"/>
            <color rgb="FF000000"/>
            <rFont val="Arial"/>
            <scheme val="minor"/>
          </rPr>
          <t>Responder updated this value.</t>
        </r>
      </text>
    </comment>
    <comment ref="W66" authorId="0" shapeId="0" xr:uid="{00000000-0006-0000-0300-0000B9050000}">
      <text>
        <r>
          <rPr>
            <sz val="10"/>
            <color rgb="FF000000"/>
            <rFont val="Arial"/>
            <scheme val="minor"/>
          </rPr>
          <t>Responder updated this value.</t>
        </r>
      </text>
    </comment>
    <comment ref="X66" authorId="0" shapeId="0" xr:uid="{00000000-0006-0000-0300-0000BA050000}">
      <text>
        <r>
          <rPr>
            <sz val="10"/>
            <color rgb="FF000000"/>
            <rFont val="Arial"/>
            <scheme val="minor"/>
          </rPr>
          <t>Responder updated this value.</t>
        </r>
      </text>
    </comment>
    <comment ref="AC66" authorId="0" shapeId="0" xr:uid="{00000000-0006-0000-0300-0000BB050000}">
      <text>
        <r>
          <rPr>
            <sz val="10"/>
            <color rgb="FF000000"/>
            <rFont val="Arial"/>
            <scheme val="minor"/>
          </rPr>
          <t>Responder updated this value.</t>
        </r>
      </text>
    </comment>
    <comment ref="AD66" authorId="0" shapeId="0" xr:uid="{00000000-0006-0000-0300-0000BC050000}">
      <text>
        <r>
          <rPr>
            <sz val="10"/>
            <color rgb="FF000000"/>
            <rFont val="Arial"/>
            <scheme val="minor"/>
          </rPr>
          <t>Responder updated this value.</t>
        </r>
      </text>
    </comment>
    <comment ref="AE66" authorId="0" shapeId="0" xr:uid="{00000000-0006-0000-0300-0000BD050000}">
      <text>
        <r>
          <rPr>
            <sz val="10"/>
            <color rgb="FF000000"/>
            <rFont val="Arial"/>
            <scheme val="minor"/>
          </rPr>
          <t>Responder updated this value.</t>
        </r>
      </text>
    </comment>
    <comment ref="AF66" authorId="0" shapeId="0" xr:uid="{00000000-0006-0000-0300-0000BE050000}">
      <text>
        <r>
          <rPr>
            <sz val="10"/>
            <color rgb="FF000000"/>
            <rFont val="Arial"/>
            <scheme val="minor"/>
          </rPr>
          <t>Responder updated this value.</t>
        </r>
      </text>
    </comment>
    <comment ref="AG66" authorId="0" shapeId="0" xr:uid="{00000000-0006-0000-0300-0000BF050000}">
      <text>
        <r>
          <rPr>
            <sz val="10"/>
            <color rgb="FF000000"/>
            <rFont val="Arial"/>
            <scheme val="minor"/>
          </rPr>
          <t>Responder updated this value.</t>
        </r>
      </text>
    </comment>
    <comment ref="AH66" authorId="0" shapeId="0" xr:uid="{00000000-0006-0000-0300-0000C0050000}">
      <text>
        <r>
          <rPr>
            <sz val="10"/>
            <color rgb="FF000000"/>
            <rFont val="Arial"/>
            <scheme val="minor"/>
          </rPr>
          <t>Responder updated this value.</t>
        </r>
      </text>
    </comment>
    <comment ref="AI66" authorId="0" shapeId="0" xr:uid="{00000000-0006-0000-0300-0000C1050000}">
      <text>
        <r>
          <rPr>
            <sz val="10"/>
            <color rgb="FF000000"/>
            <rFont val="Arial"/>
            <scheme val="minor"/>
          </rPr>
          <t>Responder updated this value.</t>
        </r>
      </text>
    </comment>
    <comment ref="AJ66" authorId="0" shapeId="0" xr:uid="{00000000-0006-0000-0300-0000C2050000}">
      <text>
        <r>
          <rPr>
            <sz val="10"/>
            <color rgb="FF000000"/>
            <rFont val="Arial"/>
            <scheme val="minor"/>
          </rPr>
          <t>Responder updated this value.</t>
        </r>
      </text>
    </comment>
    <comment ref="AK66" authorId="0" shapeId="0" xr:uid="{00000000-0006-0000-0300-0000C3050000}">
      <text>
        <r>
          <rPr>
            <sz val="10"/>
            <color rgb="FF000000"/>
            <rFont val="Arial"/>
            <scheme val="minor"/>
          </rPr>
          <t>Responder updated this value.</t>
        </r>
      </text>
    </comment>
    <comment ref="AL66" authorId="0" shapeId="0" xr:uid="{00000000-0006-0000-0300-0000C4050000}">
      <text>
        <r>
          <rPr>
            <sz val="10"/>
            <color rgb="FF000000"/>
            <rFont val="Arial"/>
            <scheme val="minor"/>
          </rPr>
          <t>Responder updated this value.</t>
        </r>
      </text>
    </comment>
    <comment ref="AR66" authorId="0" shapeId="0" xr:uid="{00000000-0006-0000-0300-0000C5050000}">
      <text>
        <r>
          <rPr>
            <sz val="10"/>
            <color rgb="FF000000"/>
            <rFont val="Arial"/>
            <scheme val="minor"/>
          </rPr>
          <t>Responder updated this value.</t>
        </r>
      </text>
    </comment>
    <comment ref="D67" authorId="0" shapeId="0" xr:uid="{00000000-0006-0000-0300-0000C6050000}">
      <text>
        <r>
          <rPr>
            <sz val="10"/>
            <color rgb="FF000000"/>
            <rFont val="Arial"/>
            <scheme val="minor"/>
          </rPr>
          <t>Responder updated this value.</t>
        </r>
      </text>
    </comment>
    <comment ref="M67" authorId="0" shapeId="0" xr:uid="{00000000-0006-0000-0300-0000C7050000}">
      <text>
        <r>
          <rPr>
            <sz val="10"/>
            <color rgb="FF000000"/>
            <rFont val="Arial"/>
            <scheme val="minor"/>
          </rPr>
          <t>Responder updated this value.</t>
        </r>
      </text>
    </comment>
    <comment ref="N67" authorId="0" shapeId="0" xr:uid="{00000000-0006-0000-0300-0000C8050000}">
      <text>
        <r>
          <rPr>
            <sz val="10"/>
            <color rgb="FF000000"/>
            <rFont val="Arial"/>
            <scheme val="minor"/>
          </rPr>
          <t>Responder updated this value.</t>
        </r>
      </text>
    </comment>
    <comment ref="O67" authorId="0" shapeId="0" xr:uid="{00000000-0006-0000-0300-0000C9050000}">
      <text>
        <r>
          <rPr>
            <sz val="10"/>
            <color rgb="FF000000"/>
            <rFont val="Arial"/>
            <scheme val="minor"/>
          </rPr>
          <t>Responder updated this value.</t>
        </r>
      </text>
    </comment>
    <comment ref="P67" authorId="0" shapeId="0" xr:uid="{00000000-0006-0000-0300-0000CA050000}">
      <text>
        <r>
          <rPr>
            <sz val="10"/>
            <color rgb="FF000000"/>
            <rFont val="Arial"/>
            <scheme val="minor"/>
          </rPr>
          <t>Responder updated this value.</t>
        </r>
      </text>
    </comment>
    <comment ref="Q67" authorId="0" shapeId="0" xr:uid="{00000000-0006-0000-0300-0000CB050000}">
      <text>
        <r>
          <rPr>
            <sz val="10"/>
            <color rgb="FF000000"/>
            <rFont val="Arial"/>
            <scheme val="minor"/>
          </rPr>
          <t>Responder updated this value.</t>
        </r>
      </text>
    </comment>
    <comment ref="R67" authorId="0" shapeId="0" xr:uid="{00000000-0006-0000-0300-0000CC050000}">
      <text>
        <r>
          <rPr>
            <sz val="10"/>
            <color rgb="FF000000"/>
            <rFont val="Arial"/>
            <scheme val="minor"/>
          </rPr>
          <t>Responder updated this value.</t>
        </r>
      </text>
    </comment>
    <comment ref="S67" authorId="0" shapeId="0" xr:uid="{00000000-0006-0000-0300-0000CD050000}">
      <text>
        <r>
          <rPr>
            <sz val="10"/>
            <color rgb="FF000000"/>
            <rFont val="Arial"/>
            <scheme val="minor"/>
          </rPr>
          <t>Responder updated this value.</t>
        </r>
      </text>
    </comment>
    <comment ref="T67" authorId="0" shapeId="0" xr:uid="{00000000-0006-0000-0300-0000CE050000}">
      <text>
        <r>
          <rPr>
            <sz val="10"/>
            <color rgb="FF000000"/>
            <rFont val="Arial"/>
            <scheme val="minor"/>
          </rPr>
          <t>Responder updated this value.</t>
        </r>
      </text>
    </comment>
    <comment ref="U67" authorId="0" shapeId="0" xr:uid="{00000000-0006-0000-0300-0000CF050000}">
      <text>
        <r>
          <rPr>
            <sz val="10"/>
            <color rgb="FF000000"/>
            <rFont val="Arial"/>
            <scheme val="minor"/>
          </rPr>
          <t>Responder updated this value.</t>
        </r>
      </text>
    </comment>
    <comment ref="W67" authorId="0" shapeId="0" xr:uid="{00000000-0006-0000-0300-0000D0050000}">
      <text>
        <r>
          <rPr>
            <sz val="10"/>
            <color rgb="FF000000"/>
            <rFont val="Arial"/>
            <scheme val="minor"/>
          </rPr>
          <t>Responder updated this value.</t>
        </r>
      </text>
    </comment>
    <comment ref="X67" authorId="0" shapeId="0" xr:uid="{00000000-0006-0000-0300-0000D1050000}">
      <text>
        <r>
          <rPr>
            <sz val="10"/>
            <color rgb="FF000000"/>
            <rFont val="Arial"/>
            <scheme val="minor"/>
          </rPr>
          <t>Responder updated this value.</t>
        </r>
      </text>
    </comment>
    <comment ref="AC67" authorId="0" shapeId="0" xr:uid="{00000000-0006-0000-0300-0000D2050000}">
      <text>
        <r>
          <rPr>
            <sz val="10"/>
            <color rgb="FF000000"/>
            <rFont val="Arial"/>
            <scheme val="minor"/>
          </rPr>
          <t>Responder updated this value.</t>
        </r>
      </text>
    </comment>
    <comment ref="AD67" authorId="0" shapeId="0" xr:uid="{00000000-0006-0000-0300-0000D3050000}">
      <text>
        <r>
          <rPr>
            <sz val="10"/>
            <color rgb="FF000000"/>
            <rFont val="Arial"/>
            <scheme val="minor"/>
          </rPr>
          <t>Responder updated this value.</t>
        </r>
      </text>
    </comment>
    <comment ref="AE67" authorId="0" shapeId="0" xr:uid="{00000000-0006-0000-0300-0000D4050000}">
      <text>
        <r>
          <rPr>
            <sz val="10"/>
            <color rgb="FF000000"/>
            <rFont val="Arial"/>
            <scheme val="minor"/>
          </rPr>
          <t>Responder updated this value.</t>
        </r>
      </text>
    </comment>
    <comment ref="AF67" authorId="0" shapeId="0" xr:uid="{00000000-0006-0000-0300-0000D5050000}">
      <text>
        <r>
          <rPr>
            <sz val="10"/>
            <color rgb="FF000000"/>
            <rFont val="Arial"/>
            <scheme val="minor"/>
          </rPr>
          <t>Responder updated this value.</t>
        </r>
      </text>
    </comment>
    <comment ref="AG67" authorId="0" shapeId="0" xr:uid="{00000000-0006-0000-0300-0000D6050000}">
      <text>
        <r>
          <rPr>
            <sz val="10"/>
            <color rgb="FF000000"/>
            <rFont val="Arial"/>
            <scheme val="minor"/>
          </rPr>
          <t>Responder updated this value.</t>
        </r>
      </text>
    </comment>
    <comment ref="AH67" authorId="0" shapeId="0" xr:uid="{00000000-0006-0000-0300-0000D7050000}">
      <text>
        <r>
          <rPr>
            <sz val="10"/>
            <color rgb="FF000000"/>
            <rFont val="Arial"/>
            <scheme val="minor"/>
          </rPr>
          <t>Responder updated this value.</t>
        </r>
      </text>
    </comment>
    <comment ref="AI67" authorId="0" shapeId="0" xr:uid="{00000000-0006-0000-0300-0000D8050000}">
      <text>
        <r>
          <rPr>
            <sz val="10"/>
            <color rgb="FF000000"/>
            <rFont val="Arial"/>
            <scheme val="minor"/>
          </rPr>
          <t>Responder updated this value.</t>
        </r>
      </text>
    </comment>
    <comment ref="AJ67" authorId="0" shapeId="0" xr:uid="{00000000-0006-0000-0300-0000D9050000}">
      <text>
        <r>
          <rPr>
            <sz val="10"/>
            <color rgb="FF000000"/>
            <rFont val="Arial"/>
            <scheme val="minor"/>
          </rPr>
          <t>Responder updated this value.</t>
        </r>
      </text>
    </comment>
    <comment ref="AK67" authorId="0" shapeId="0" xr:uid="{00000000-0006-0000-0300-0000DA050000}">
      <text>
        <r>
          <rPr>
            <sz val="10"/>
            <color rgb="FF000000"/>
            <rFont val="Arial"/>
            <scheme val="minor"/>
          </rPr>
          <t>Responder updated this value.</t>
        </r>
      </text>
    </comment>
    <comment ref="AL67" authorId="0" shapeId="0" xr:uid="{00000000-0006-0000-0300-0000DB050000}">
      <text>
        <r>
          <rPr>
            <sz val="10"/>
            <color rgb="FF000000"/>
            <rFont val="Arial"/>
            <scheme val="minor"/>
          </rPr>
          <t>Responder updated this value.</t>
        </r>
      </text>
    </comment>
    <comment ref="AM67" authorId="0" shapeId="0" xr:uid="{00000000-0006-0000-0300-0000DC050000}">
      <text>
        <r>
          <rPr>
            <sz val="10"/>
            <color rgb="FF000000"/>
            <rFont val="Arial"/>
            <scheme val="minor"/>
          </rPr>
          <t>Responder updated this value.</t>
        </r>
      </text>
    </comment>
    <comment ref="AN67" authorId="0" shapeId="0" xr:uid="{00000000-0006-0000-0300-0000DD050000}">
      <text>
        <r>
          <rPr>
            <sz val="10"/>
            <color rgb="FF000000"/>
            <rFont val="Arial"/>
            <scheme val="minor"/>
          </rPr>
          <t>Responder updated this value.</t>
        </r>
      </text>
    </comment>
    <comment ref="AO67" authorId="0" shapeId="0" xr:uid="{00000000-0006-0000-0300-0000DE050000}">
      <text>
        <r>
          <rPr>
            <sz val="10"/>
            <color rgb="FF000000"/>
            <rFont val="Arial"/>
            <scheme val="minor"/>
          </rPr>
          <t>Responder updated this value.</t>
        </r>
      </text>
    </comment>
    <comment ref="AP67" authorId="0" shapeId="0" xr:uid="{00000000-0006-0000-0300-0000DF050000}">
      <text>
        <r>
          <rPr>
            <sz val="10"/>
            <color rgb="FF000000"/>
            <rFont val="Arial"/>
            <scheme val="minor"/>
          </rPr>
          <t>Responder updated this value.</t>
        </r>
      </text>
    </comment>
    <comment ref="AQ67" authorId="0" shapeId="0" xr:uid="{00000000-0006-0000-0300-0000E0050000}">
      <text>
        <r>
          <rPr>
            <sz val="10"/>
            <color rgb="FF000000"/>
            <rFont val="Arial"/>
            <scheme val="minor"/>
          </rPr>
          <t>Responder updated this value.</t>
        </r>
      </text>
    </comment>
    <comment ref="AR67" authorId="0" shapeId="0" xr:uid="{00000000-0006-0000-0300-0000E1050000}">
      <text>
        <r>
          <rPr>
            <sz val="10"/>
            <color rgb="FF000000"/>
            <rFont val="Arial"/>
            <scheme val="minor"/>
          </rPr>
          <t>Responder updated this value.</t>
        </r>
      </text>
    </comment>
    <comment ref="AS67" authorId="0" shapeId="0" xr:uid="{00000000-0006-0000-0300-0000E2050000}">
      <text>
        <r>
          <rPr>
            <sz val="10"/>
            <color rgb="FF000000"/>
            <rFont val="Arial"/>
            <scheme val="minor"/>
          </rPr>
          <t>Responder updated this value.</t>
        </r>
      </text>
    </comment>
    <comment ref="AU67" authorId="0" shapeId="0" xr:uid="{00000000-0006-0000-0300-0000E3050000}">
      <text>
        <r>
          <rPr>
            <sz val="10"/>
            <color rgb="FF000000"/>
            <rFont val="Arial"/>
            <scheme val="minor"/>
          </rPr>
          <t>Responder updated this value.</t>
        </r>
      </text>
    </comment>
    <comment ref="D68" authorId="0" shapeId="0" xr:uid="{00000000-0006-0000-0300-0000E4050000}">
      <text>
        <r>
          <rPr>
            <sz val="10"/>
            <color rgb="FF000000"/>
            <rFont val="Arial"/>
            <scheme val="minor"/>
          </rPr>
          <t>Responder updated this value.</t>
        </r>
      </text>
    </comment>
    <comment ref="K68" authorId="0" shapeId="0" xr:uid="{00000000-0006-0000-0300-0000E5050000}">
      <text>
        <r>
          <rPr>
            <sz val="10"/>
            <color rgb="FF000000"/>
            <rFont val="Arial"/>
            <scheme val="minor"/>
          </rPr>
          <t>Responder updated this value.</t>
        </r>
      </text>
    </comment>
    <comment ref="M68" authorId="0" shapeId="0" xr:uid="{00000000-0006-0000-0300-0000E6050000}">
      <text>
        <r>
          <rPr>
            <sz val="10"/>
            <color rgb="FF000000"/>
            <rFont val="Arial"/>
            <scheme val="minor"/>
          </rPr>
          <t>Responder updated this value.</t>
        </r>
      </text>
    </comment>
    <comment ref="AC68" authorId="0" shapeId="0" xr:uid="{00000000-0006-0000-0300-0000E7050000}">
      <text>
        <r>
          <rPr>
            <sz val="10"/>
            <color rgb="FF000000"/>
            <rFont val="Arial"/>
            <scheme val="minor"/>
          </rPr>
          <t>Responder updated this value.</t>
        </r>
      </text>
    </comment>
    <comment ref="AD68" authorId="0" shapeId="0" xr:uid="{00000000-0006-0000-0300-0000E8050000}">
      <text>
        <r>
          <rPr>
            <sz val="10"/>
            <color rgb="FF000000"/>
            <rFont val="Arial"/>
            <scheme val="minor"/>
          </rPr>
          <t>Responder updated this value.</t>
        </r>
      </text>
    </comment>
    <comment ref="AE68" authorId="0" shapeId="0" xr:uid="{00000000-0006-0000-0300-0000E9050000}">
      <text>
        <r>
          <rPr>
            <sz val="10"/>
            <color rgb="FF000000"/>
            <rFont val="Arial"/>
            <scheme val="minor"/>
          </rPr>
          <t>Responder updated this value.</t>
        </r>
      </text>
    </comment>
    <comment ref="AF68" authorId="0" shapeId="0" xr:uid="{00000000-0006-0000-0300-0000EA050000}">
      <text>
        <r>
          <rPr>
            <sz val="10"/>
            <color rgb="FF000000"/>
            <rFont val="Arial"/>
            <scheme val="minor"/>
          </rPr>
          <t>Responder updated this value.</t>
        </r>
      </text>
    </comment>
    <comment ref="AG68" authorId="0" shapeId="0" xr:uid="{00000000-0006-0000-0300-0000EB050000}">
      <text>
        <r>
          <rPr>
            <sz val="10"/>
            <color rgb="FF000000"/>
            <rFont val="Arial"/>
            <scheme val="minor"/>
          </rPr>
          <t>Responder updated this value.</t>
        </r>
      </text>
    </comment>
    <comment ref="AH68" authorId="0" shapeId="0" xr:uid="{00000000-0006-0000-0300-0000EC050000}">
      <text>
        <r>
          <rPr>
            <sz val="10"/>
            <color rgb="FF000000"/>
            <rFont val="Arial"/>
            <scheme val="minor"/>
          </rPr>
          <t>Responder updated this value.</t>
        </r>
      </text>
    </comment>
    <comment ref="AI68" authorId="0" shapeId="0" xr:uid="{00000000-0006-0000-0300-0000ED050000}">
      <text>
        <r>
          <rPr>
            <sz val="10"/>
            <color rgb="FF000000"/>
            <rFont val="Arial"/>
            <scheme val="minor"/>
          </rPr>
          <t>Responder updated this value.</t>
        </r>
      </text>
    </comment>
    <comment ref="AJ68" authorId="0" shapeId="0" xr:uid="{00000000-0006-0000-0300-0000EE050000}">
      <text>
        <r>
          <rPr>
            <sz val="10"/>
            <color rgb="FF000000"/>
            <rFont val="Arial"/>
            <scheme val="minor"/>
          </rPr>
          <t>Responder updated this value.</t>
        </r>
      </text>
    </comment>
    <comment ref="AK68" authorId="0" shapeId="0" xr:uid="{00000000-0006-0000-0300-0000EF050000}">
      <text>
        <r>
          <rPr>
            <sz val="10"/>
            <color rgb="FF000000"/>
            <rFont val="Arial"/>
            <scheme val="minor"/>
          </rPr>
          <t>Responder updated this value.</t>
        </r>
      </text>
    </comment>
    <comment ref="AL68" authorId="0" shapeId="0" xr:uid="{00000000-0006-0000-0300-0000F0050000}">
      <text>
        <r>
          <rPr>
            <sz val="10"/>
            <color rgb="FF000000"/>
            <rFont val="Arial"/>
            <scheme val="minor"/>
          </rPr>
          <t>Responder updated this value.</t>
        </r>
      </text>
    </comment>
    <comment ref="AM68" authorId="0" shapeId="0" xr:uid="{00000000-0006-0000-0300-0000F1050000}">
      <text>
        <r>
          <rPr>
            <sz val="10"/>
            <color rgb="FF000000"/>
            <rFont val="Arial"/>
            <scheme val="minor"/>
          </rPr>
          <t>Responder updated this value.</t>
        </r>
      </text>
    </comment>
    <comment ref="AN68" authorId="0" shapeId="0" xr:uid="{00000000-0006-0000-0300-0000F2050000}">
      <text>
        <r>
          <rPr>
            <sz val="10"/>
            <color rgb="FF000000"/>
            <rFont val="Arial"/>
            <scheme val="minor"/>
          </rPr>
          <t>Responder updated this value.</t>
        </r>
      </text>
    </comment>
    <comment ref="AO68" authorId="0" shapeId="0" xr:uid="{00000000-0006-0000-0300-0000F3050000}">
      <text>
        <r>
          <rPr>
            <sz val="10"/>
            <color rgb="FF000000"/>
            <rFont val="Arial"/>
            <scheme val="minor"/>
          </rPr>
          <t>Responder updated this value.</t>
        </r>
      </text>
    </comment>
    <comment ref="AP68" authorId="0" shapeId="0" xr:uid="{00000000-0006-0000-0300-0000F4050000}">
      <text>
        <r>
          <rPr>
            <sz val="10"/>
            <color rgb="FF000000"/>
            <rFont val="Arial"/>
            <scheme val="minor"/>
          </rPr>
          <t>Responder updated this value.</t>
        </r>
      </text>
    </comment>
    <comment ref="AQ68" authorId="0" shapeId="0" xr:uid="{00000000-0006-0000-0300-0000F5050000}">
      <text>
        <r>
          <rPr>
            <sz val="10"/>
            <color rgb="FF000000"/>
            <rFont val="Arial"/>
            <scheme val="minor"/>
          </rPr>
          <t>Responder updated this value.</t>
        </r>
      </text>
    </comment>
    <comment ref="AR68" authorId="0" shapeId="0" xr:uid="{00000000-0006-0000-0300-0000F6050000}">
      <text>
        <r>
          <rPr>
            <sz val="10"/>
            <color rgb="FF000000"/>
            <rFont val="Arial"/>
            <scheme val="minor"/>
          </rPr>
          <t>Responder updated this value.</t>
        </r>
      </text>
    </comment>
    <comment ref="AS68" authorId="0" shapeId="0" xr:uid="{00000000-0006-0000-0300-0000F7050000}">
      <text>
        <r>
          <rPr>
            <sz val="10"/>
            <color rgb="FF000000"/>
            <rFont val="Arial"/>
            <scheme val="minor"/>
          </rPr>
          <t>Responder updated this value.</t>
        </r>
      </text>
    </comment>
    <comment ref="AT68" authorId="0" shapeId="0" xr:uid="{00000000-0006-0000-0300-0000F8050000}">
      <text>
        <r>
          <rPr>
            <sz val="10"/>
            <color rgb="FF000000"/>
            <rFont val="Arial"/>
            <scheme val="minor"/>
          </rPr>
          <t>Responder updated this value.</t>
        </r>
      </text>
    </comment>
    <comment ref="AU68" authorId="0" shapeId="0" xr:uid="{00000000-0006-0000-0300-0000F9050000}">
      <text>
        <r>
          <rPr>
            <sz val="10"/>
            <color rgb="FF000000"/>
            <rFont val="Arial"/>
            <scheme val="minor"/>
          </rPr>
          <t>Responder updated this value.</t>
        </r>
      </text>
    </comment>
    <comment ref="D69" authorId="0" shapeId="0" xr:uid="{00000000-0006-0000-0300-0000FA050000}">
      <text>
        <r>
          <rPr>
            <sz val="10"/>
            <color rgb="FF000000"/>
            <rFont val="Arial"/>
            <scheme val="minor"/>
          </rPr>
          <t>Responder updated this value.</t>
        </r>
      </text>
    </comment>
    <comment ref="J69" authorId="0" shapeId="0" xr:uid="{00000000-0006-0000-0300-0000FB050000}">
      <text>
        <r>
          <rPr>
            <sz val="10"/>
            <color rgb="FF000000"/>
            <rFont val="Arial"/>
            <scheme val="minor"/>
          </rPr>
          <t>Responder updated this value.</t>
        </r>
      </text>
    </comment>
    <comment ref="M69" authorId="0" shapeId="0" xr:uid="{00000000-0006-0000-0300-0000FC050000}">
      <text>
        <r>
          <rPr>
            <sz val="10"/>
            <color rgb="FF000000"/>
            <rFont val="Arial"/>
            <scheme val="minor"/>
          </rPr>
          <t>Responder updated this value.</t>
        </r>
      </text>
    </comment>
    <comment ref="AC69" authorId="0" shapeId="0" xr:uid="{00000000-0006-0000-0300-0000FD050000}">
      <text>
        <r>
          <rPr>
            <sz val="10"/>
            <color rgb="FF000000"/>
            <rFont val="Arial"/>
            <scheme val="minor"/>
          </rPr>
          <t>Responder updated this value.</t>
        </r>
      </text>
    </comment>
    <comment ref="AD69" authorId="0" shapeId="0" xr:uid="{00000000-0006-0000-0300-0000FE050000}">
      <text>
        <r>
          <rPr>
            <sz val="10"/>
            <color rgb="FF000000"/>
            <rFont val="Arial"/>
            <scheme val="minor"/>
          </rPr>
          <t>Responder updated this value.</t>
        </r>
      </text>
    </comment>
    <comment ref="AE69" authorId="0" shapeId="0" xr:uid="{00000000-0006-0000-0300-0000FF050000}">
      <text>
        <r>
          <rPr>
            <sz val="10"/>
            <color rgb="FF000000"/>
            <rFont val="Arial"/>
            <scheme val="minor"/>
          </rPr>
          <t>Responder updated this value.</t>
        </r>
      </text>
    </comment>
    <comment ref="AF69" authorId="0" shapeId="0" xr:uid="{00000000-0006-0000-0300-000000060000}">
      <text>
        <r>
          <rPr>
            <sz val="10"/>
            <color rgb="FF000000"/>
            <rFont val="Arial"/>
            <scheme val="minor"/>
          </rPr>
          <t>Responder updated this value.</t>
        </r>
      </text>
    </comment>
    <comment ref="AG69" authorId="0" shapeId="0" xr:uid="{00000000-0006-0000-0300-000001060000}">
      <text>
        <r>
          <rPr>
            <sz val="10"/>
            <color rgb="FF000000"/>
            <rFont val="Arial"/>
            <scheme val="minor"/>
          </rPr>
          <t>Responder updated this value.</t>
        </r>
      </text>
    </comment>
    <comment ref="AH69" authorId="0" shapeId="0" xr:uid="{00000000-0006-0000-0300-000002060000}">
      <text>
        <r>
          <rPr>
            <sz val="10"/>
            <color rgb="FF000000"/>
            <rFont val="Arial"/>
            <scheme val="minor"/>
          </rPr>
          <t>Responder updated this value.</t>
        </r>
      </text>
    </comment>
    <comment ref="AI69" authorId="0" shapeId="0" xr:uid="{00000000-0006-0000-0300-000003060000}">
      <text>
        <r>
          <rPr>
            <sz val="10"/>
            <color rgb="FF000000"/>
            <rFont val="Arial"/>
            <scheme val="minor"/>
          </rPr>
          <t>Responder updated this value.</t>
        </r>
      </text>
    </comment>
    <comment ref="AJ69" authorId="0" shapeId="0" xr:uid="{00000000-0006-0000-0300-000004060000}">
      <text>
        <r>
          <rPr>
            <sz val="10"/>
            <color rgb="FF000000"/>
            <rFont val="Arial"/>
            <scheme val="minor"/>
          </rPr>
          <t>Responder updated this value.</t>
        </r>
      </text>
    </comment>
    <comment ref="AK69" authorId="0" shapeId="0" xr:uid="{00000000-0006-0000-0300-000005060000}">
      <text>
        <r>
          <rPr>
            <sz val="10"/>
            <color rgb="FF000000"/>
            <rFont val="Arial"/>
            <scheme val="minor"/>
          </rPr>
          <t>Responder updated this value.</t>
        </r>
      </text>
    </comment>
    <comment ref="AL69" authorId="0" shapeId="0" xr:uid="{00000000-0006-0000-0300-000006060000}">
      <text>
        <r>
          <rPr>
            <sz val="10"/>
            <color rgb="FF000000"/>
            <rFont val="Arial"/>
            <scheme val="minor"/>
          </rPr>
          <t>Responder updated this value.</t>
        </r>
      </text>
    </comment>
    <comment ref="AM69" authorId="0" shapeId="0" xr:uid="{00000000-0006-0000-0300-000007060000}">
      <text>
        <r>
          <rPr>
            <sz val="10"/>
            <color rgb="FF000000"/>
            <rFont val="Arial"/>
            <scheme val="minor"/>
          </rPr>
          <t>Responder updated this value.</t>
        </r>
      </text>
    </comment>
    <comment ref="AN69" authorId="0" shapeId="0" xr:uid="{00000000-0006-0000-0300-000008060000}">
      <text>
        <r>
          <rPr>
            <sz val="10"/>
            <color rgb="FF000000"/>
            <rFont val="Arial"/>
            <scheme val="minor"/>
          </rPr>
          <t>Responder updated this value.</t>
        </r>
      </text>
    </comment>
    <comment ref="AO69" authorId="0" shapeId="0" xr:uid="{00000000-0006-0000-0300-000009060000}">
      <text>
        <r>
          <rPr>
            <sz val="10"/>
            <color rgb="FF000000"/>
            <rFont val="Arial"/>
            <scheme val="minor"/>
          </rPr>
          <t>Responder updated this value.</t>
        </r>
      </text>
    </comment>
    <comment ref="AP69" authorId="0" shapeId="0" xr:uid="{00000000-0006-0000-0300-00000A060000}">
      <text>
        <r>
          <rPr>
            <sz val="10"/>
            <color rgb="FF000000"/>
            <rFont val="Arial"/>
            <scheme val="minor"/>
          </rPr>
          <t>Responder updated this value.</t>
        </r>
      </text>
    </comment>
    <comment ref="AQ69" authorId="0" shapeId="0" xr:uid="{00000000-0006-0000-0300-00000B060000}">
      <text>
        <r>
          <rPr>
            <sz val="10"/>
            <color rgb="FF000000"/>
            <rFont val="Arial"/>
            <scheme val="minor"/>
          </rPr>
          <t>Responder updated this value.</t>
        </r>
      </text>
    </comment>
    <comment ref="AR69" authorId="0" shapeId="0" xr:uid="{00000000-0006-0000-0300-00000C060000}">
      <text>
        <r>
          <rPr>
            <sz val="10"/>
            <color rgb="FF000000"/>
            <rFont val="Arial"/>
            <scheme val="minor"/>
          </rPr>
          <t>Responder updated this value.</t>
        </r>
      </text>
    </comment>
    <comment ref="AS69" authorId="0" shapeId="0" xr:uid="{00000000-0006-0000-0300-00000D060000}">
      <text>
        <r>
          <rPr>
            <sz val="10"/>
            <color rgb="FF000000"/>
            <rFont val="Arial"/>
            <scheme val="minor"/>
          </rPr>
          <t>Responder updated this value.</t>
        </r>
      </text>
    </comment>
    <comment ref="AT69" authorId="0" shapeId="0" xr:uid="{00000000-0006-0000-0300-00000E060000}">
      <text>
        <r>
          <rPr>
            <sz val="10"/>
            <color rgb="FF000000"/>
            <rFont val="Arial"/>
            <scheme val="minor"/>
          </rPr>
          <t>Responder updated this value.</t>
        </r>
      </text>
    </comment>
    <comment ref="AU69" authorId="0" shapeId="0" xr:uid="{00000000-0006-0000-0300-00000F060000}">
      <text>
        <r>
          <rPr>
            <sz val="10"/>
            <color rgb="FF000000"/>
            <rFont val="Arial"/>
            <scheme val="minor"/>
          </rPr>
          <t>Responder updated this value.</t>
        </r>
      </text>
    </comment>
    <comment ref="D70" authorId="0" shapeId="0" xr:uid="{00000000-0006-0000-0300-000010060000}">
      <text>
        <r>
          <rPr>
            <sz val="10"/>
            <color rgb="FF000000"/>
            <rFont val="Arial"/>
            <scheme val="minor"/>
          </rPr>
          <t>Responder updated this value.</t>
        </r>
      </text>
    </comment>
    <comment ref="I70" authorId="0" shapeId="0" xr:uid="{00000000-0006-0000-0300-000011060000}">
      <text>
        <r>
          <rPr>
            <sz val="10"/>
            <color rgb="FF000000"/>
            <rFont val="Arial"/>
            <scheme val="minor"/>
          </rPr>
          <t>Responder updated this value.</t>
        </r>
      </text>
    </comment>
    <comment ref="M70" authorId="0" shapeId="0" xr:uid="{00000000-0006-0000-0300-000012060000}">
      <text>
        <r>
          <rPr>
            <sz val="10"/>
            <color rgb="FF000000"/>
            <rFont val="Arial"/>
            <scheme val="minor"/>
          </rPr>
          <t>Responder updated this value.</t>
        </r>
      </text>
    </comment>
    <comment ref="AC70" authorId="0" shapeId="0" xr:uid="{00000000-0006-0000-0300-000013060000}">
      <text>
        <r>
          <rPr>
            <sz val="10"/>
            <color rgb="FF000000"/>
            <rFont val="Arial"/>
            <scheme val="minor"/>
          </rPr>
          <t>Responder updated this value.</t>
        </r>
      </text>
    </comment>
    <comment ref="AD70" authorId="0" shapeId="0" xr:uid="{00000000-0006-0000-0300-000014060000}">
      <text>
        <r>
          <rPr>
            <sz val="10"/>
            <color rgb="FF000000"/>
            <rFont val="Arial"/>
            <scheme val="minor"/>
          </rPr>
          <t>Responder updated this value.</t>
        </r>
      </text>
    </comment>
    <comment ref="AE70" authorId="0" shapeId="0" xr:uid="{00000000-0006-0000-0300-000015060000}">
      <text>
        <r>
          <rPr>
            <sz val="10"/>
            <color rgb="FF000000"/>
            <rFont val="Arial"/>
            <scheme val="minor"/>
          </rPr>
          <t>Responder updated this value.</t>
        </r>
      </text>
    </comment>
    <comment ref="AF70" authorId="0" shapeId="0" xr:uid="{00000000-0006-0000-0300-000016060000}">
      <text>
        <r>
          <rPr>
            <sz val="10"/>
            <color rgb="FF000000"/>
            <rFont val="Arial"/>
            <scheme val="minor"/>
          </rPr>
          <t>Responder updated this value.</t>
        </r>
      </text>
    </comment>
    <comment ref="AG70" authorId="0" shapeId="0" xr:uid="{00000000-0006-0000-0300-000017060000}">
      <text>
        <r>
          <rPr>
            <sz val="10"/>
            <color rgb="FF000000"/>
            <rFont val="Arial"/>
            <scheme val="minor"/>
          </rPr>
          <t>Responder updated this value.</t>
        </r>
      </text>
    </comment>
    <comment ref="AH70" authorId="0" shapeId="0" xr:uid="{00000000-0006-0000-0300-000018060000}">
      <text>
        <r>
          <rPr>
            <sz val="10"/>
            <color rgb="FF000000"/>
            <rFont val="Arial"/>
            <scheme val="minor"/>
          </rPr>
          <t>Responder updated this value.</t>
        </r>
      </text>
    </comment>
    <comment ref="AI70" authorId="0" shapeId="0" xr:uid="{00000000-0006-0000-0300-000019060000}">
      <text>
        <r>
          <rPr>
            <sz val="10"/>
            <color rgb="FF000000"/>
            <rFont val="Arial"/>
            <scheme val="minor"/>
          </rPr>
          <t>Responder updated this value.</t>
        </r>
      </text>
    </comment>
    <comment ref="AJ70" authorId="0" shapeId="0" xr:uid="{00000000-0006-0000-0300-00001A060000}">
      <text>
        <r>
          <rPr>
            <sz val="10"/>
            <color rgb="FF000000"/>
            <rFont val="Arial"/>
            <scheme val="minor"/>
          </rPr>
          <t>Responder updated this value.</t>
        </r>
      </text>
    </comment>
    <comment ref="AK70" authorId="0" shapeId="0" xr:uid="{00000000-0006-0000-0300-00001B060000}">
      <text>
        <r>
          <rPr>
            <sz val="10"/>
            <color rgb="FF000000"/>
            <rFont val="Arial"/>
            <scheme val="minor"/>
          </rPr>
          <t>Responder updated this value.</t>
        </r>
      </text>
    </comment>
    <comment ref="AL70" authorId="0" shapeId="0" xr:uid="{00000000-0006-0000-0300-00001C060000}">
      <text>
        <r>
          <rPr>
            <sz val="10"/>
            <color rgb="FF000000"/>
            <rFont val="Arial"/>
            <scheme val="minor"/>
          </rPr>
          <t>Responder updated this value.</t>
        </r>
      </text>
    </comment>
    <comment ref="AM70" authorId="0" shapeId="0" xr:uid="{00000000-0006-0000-0300-00001D060000}">
      <text>
        <r>
          <rPr>
            <sz val="10"/>
            <color rgb="FF000000"/>
            <rFont val="Arial"/>
            <scheme val="minor"/>
          </rPr>
          <t>Responder updated this value.</t>
        </r>
      </text>
    </comment>
    <comment ref="AN70" authorId="0" shapeId="0" xr:uid="{00000000-0006-0000-0300-00001E060000}">
      <text>
        <r>
          <rPr>
            <sz val="10"/>
            <color rgb="FF000000"/>
            <rFont val="Arial"/>
            <scheme val="minor"/>
          </rPr>
          <t>Responder updated this value.</t>
        </r>
      </text>
    </comment>
    <comment ref="AO70" authorId="0" shapeId="0" xr:uid="{00000000-0006-0000-0300-00001F060000}">
      <text>
        <r>
          <rPr>
            <sz val="10"/>
            <color rgb="FF000000"/>
            <rFont val="Arial"/>
            <scheme val="minor"/>
          </rPr>
          <t>Responder updated this value.</t>
        </r>
      </text>
    </comment>
    <comment ref="AP70" authorId="0" shapeId="0" xr:uid="{00000000-0006-0000-0300-000020060000}">
      <text>
        <r>
          <rPr>
            <sz val="10"/>
            <color rgb="FF000000"/>
            <rFont val="Arial"/>
            <scheme val="minor"/>
          </rPr>
          <t>Responder updated this value.</t>
        </r>
      </text>
    </comment>
    <comment ref="AQ70" authorId="0" shapeId="0" xr:uid="{00000000-0006-0000-0300-000021060000}">
      <text>
        <r>
          <rPr>
            <sz val="10"/>
            <color rgb="FF000000"/>
            <rFont val="Arial"/>
            <scheme val="minor"/>
          </rPr>
          <t>Responder updated this value.</t>
        </r>
      </text>
    </comment>
    <comment ref="AR70" authorId="0" shapeId="0" xr:uid="{00000000-0006-0000-0300-000022060000}">
      <text>
        <r>
          <rPr>
            <sz val="10"/>
            <color rgb="FF000000"/>
            <rFont val="Arial"/>
            <scheme val="minor"/>
          </rPr>
          <t>Responder updated this value.</t>
        </r>
      </text>
    </comment>
    <comment ref="AS70" authorId="0" shapeId="0" xr:uid="{00000000-0006-0000-0300-000023060000}">
      <text>
        <r>
          <rPr>
            <sz val="10"/>
            <color rgb="FF000000"/>
            <rFont val="Arial"/>
            <scheme val="minor"/>
          </rPr>
          <t>Responder updated this value.</t>
        </r>
      </text>
    </comment>
    <comment ref="AT70" authorId="0" shapeId="0" xr:uid="{00000000-0006-0000-0300-000024060000}">
      <text>
        <r>
          <rPr>
            <sz val="10"/>
            <color rgb="FF000000"/>
            <rFont val="Arial"/>
            <scheme val="minor"/>
          </rPr>
          <t>Responder updated this value.</t>
        </r>
      </text>
    </comment>
    <comment ref="AU70" authorId="0" shapeId="0" xr:uid="{00000000-0006-0000-0300-000025060000}">
      <text>
        <r>
          <rPr>
            <sz val="10"/>
            <color rgb="FF000000"/>
            <rFont val="Arial"/>
            <scheme val="minor"/>
          </rPr>
          <t>Responder updated this value.</t>
        </r>
      </text>
    </comment>
    <comment ref="D71" authorId="0" shapeId="0" xr:uid="{00000000-0006-0000-0300-000026060000}">
      <text>
        <r>
          <rPr>
            <sz val="10"/>
            <color rgb="FF000000"/>
            <rFont val="Arial"/>
            <scheme val="minor"/>
          </rPr>
          <t>Responder updated this value.</t>
        </r>
      </text>
    </comment>
    <comment ref="J71" authorId="0" shapeId="0" xr:uid="{00000000-0006-0000-0300-000027060000}">
      <text>
        <r>
          <rPr>
            <sz val="10"/>
            <color rgb="FF000000"/>
            <rFont val="Arial"/>
            <scheme val="minor"/>
          </rPr>
          <t>Responder updated this value.</t>
        </r>
      </text>
    </comment>
    <comment ref="N71" authorId="0" shapeId="0" xr:uid="{00000000-0006-0000-0300-000028060000}">
      <text>
        <r>
          <rPr>
            <sz val="10"/>
            <color rgb="FF000000"/>
            <rFont val="Arial"/>
            <scheme val="minor"/>
          </rPr>
          <t>Responder updated this value.</t>
        </r>
      </text>
    </comment>
    <comment ref="O71" authorId="0" shapeId="0" xr:uid="{00000000-0006-0000-0300-000029060000}">
      <text>
        <r>
          <rPr>
            <sz val="10"/>
            <color rgb="FF000000"/>
            <rFont val="Arial"/>
            <scheme val="minor"/>
          </rPr>
          <t>Responder updated this value.</t>
        </r>
      </text>
    </comment>
    <comment ref="P71" authorId="0" shapeId="0" xr:uid="{00000000-0006-0000-0300-00002A060000}">
      <text>
        <r>
          <rPr>
            <sz val="10"/>
            <color rgb="FF000000"/>
            <rFont val="Arial"/>
            <scheme val="minor"/>
          </rPr>
          <t>Responder updated this value.</t>
        </r>
      </text>
    </comment>
    <comment ref="Q71" authorId="0" shapeId="0" xr:uid="{00000000-0006-0000-0300-00002B060000}">
      <text>
        <r>
          <rPr>
            <sz val="10"/>
            <color rgb="FF000000"/>
            <rFont val="Arial"/>
            <scheme val="minor"/>
          </rPr>
          <t>Responder updated this value.</t>
        </r>
      </text>
    </comment>
    <comment ref="R71" authorId="0" shapeId="0" xr:uid="{00000000-0006-0000-0300-00002C060000}">
      <text>
        <r>
          <rPr>
            <sz val="10"/>
            <color rgb="FF000000"/>
            <rFont val="Arial"/>
            <scheme val="minor"/>
          </rPr>
          <t>Responder updated this value.</t>
        </r>
      </text>
    </comment>
    <comment ref="S71" authorId="0" shapeId="0" xr:uid="{00000000-0006-0000-0300-00002D060000}">
      <text>
        <r>
          <rPr>
            <sz val="10"/>
            <color rgb="FF000000"/>
            <rFont val="Arial"/>
            <scheme val="minor"/>
          </rPr>
          <t>Responder updated this value.</t>
        </r>
      </text>
    </comment>
    <comment ref="T71" authorId="0" shapeId="0" xr:uid="{00000000-0006-0000-0300-00002E060000}">
      <text>
        <r>
          <rPr>
            <sz val="10"/>
            <color rgb="FF000000"/>
            <rFont val="Arial"/>
            <scheme val="minor"/>
          </rPr>
          <t>Responder updated this value.</t>
        </r>
      </text>
    </comment>
    <comment ref="W71" authorId="0" shapeId="0" xr:uid="{00000000-0006-0000-0300-00002F060000}">
      <text>
        <r>
          <rPr>
            <sz val="10"/>
            <color rgb="FF000000"/>
            <rFont val="Arial"/>
            <scheme val="minor"/>
          </rPr>
          <t>Responder updated this value.</t>
        </r>
      </text>
    </comment>
    <comment ref="X71" authorId="0" shapeId="0" xr:uid="{00000000-0006-0000-0300-000030060000}">
      <text>
        <r>
          <rPr>
            <sz val="10"/>
            <color rgb="FF000000"/>
            <rFont val="Arial"/>
            <scheme val="minor"/>
          </rPr>
          <t>Responder updated this value.</t>
        </r>
      </text>
    </comment>
    <comment ref="AC71" authorId="0" shapeId="0" xr:uid="{00000000-0006-0000-0300-000031060000}">
      <text>
        <r>
          <rPr>
            <sz val="10"/>
            <color rgb="FF000000"/>
            <rFont val="Arial"/>
            <scheme val="minor"/>
          </rPr>
          <t>Responder updated this value.</t>
        </r>
      </text>
    </comment>
    <comment ref="AD71" authorId="0" shapeId="0" xr:uid="{00000000-0006-0000-0300-000032060000}">
      <text>
        <r>
          <rPr>
            <sz val="10"/>
            <color rgb="FF000000"/>
            <rFont val="Arial"/>
            <scheme val="minor"/>
          </rPr>
          <t>Responder updated this value.</t>
        </r>
      </text>
    </comment>
    <comment ref="AE71" authorId="0" shapeId="0" xr:uid="{00000000-0006-0000-0300-000033060000}">
      <text>
        <r>
          <rPr>
            <sz val="10"/>
            <color rgb="FF000000"/>
            <rFont val="Arial"/>
            <scheme val="minor"/>
          </rPr>
          <t>Responder updated this value.</t>
        </r>
      </text>
    </comment>
    <comment ref="AF71" authorId="0" shapeId="0" xr:uid="{00000000-0006-0000-0300-000034060000}">
      <text>
        <r>
          <rPr>
            <sz val="10"/>
            <color rgb="FF000000"/>
            <rFont val="Arial"/>
            <scheme val="minor"/>
          </rPr>
          <t>Responder updated this value.</t>
        </r>
      </text>
    </comment>
    <comment ref="AG71" authorId="0" shapeId="0" xr:uid="{00000000-0006-0000-0300-000035060000}">
      <text>
        <r>
          <rPr>
            <sz val="10"/>
            <color rgb="FF000000"/>
            <rFont val="Arial"/>
            <scheme val="minor"/>
          </rPr>
          <t>Responder updated this value.</t>
        </r>
      </text>
    </comment>
    <comment ref="AH71" authorId="0" shapeId="0" xr:uid="{00000000-0006-0000-0300-000036060000}">
      <text>
        <r>
          <rPr>
            <sz val="10"/>
            <color rgb="FF000000"/>
            <rFont val="Arial"/>
            <scheme val="minor"/>
          </rPr>
          <t>Responder updated this value.</t>
        </r>
      </text>
    </comment>
    <comment ref="AI71" authorId="0" shapeId="0" xr:uid="{00000000-0006-0000-0300-000037060000}">
      <text>
        <r>
          <rPr>
            <sz val="10"/>
            <color rgb="FF000000"/>
            <rFont val="Arial"/>
            <scheme val="minor"/>
          </rPr>
          <t>Responder updated this value.</t>
        </r>
      </text>
    </comment>
    <comment ref="AJ71" authorId="0" shapeId="0" xr:uid="{00000000-0006-0000-0300-000038060000}">
      <text>
        <r>
          <rPr>
            <sz val="10"/>
            <color rgb="FF000000"/>
            <rFont val="Arial"/>
            <scheme val="minor"/>
          </rPr>
          <t>Responder updated this value.</t>
        </r>
      </text>
    </comment>
    <comment ref="AK71" authorId="0" shapeId="0" xr:uid="{00000000-0006-0000-0300-000039060000}">
      <text>
        <r>
          <rPr>
            <sz val="10"/>
            <color rgb="FF000000"/>
            <rFont val="Arial"/>
            <scheme val="minor"/>
          </rPr>
          <t>Responder updated this value.</t>
        </r>
      </text>
    </comment>
    <comment ref="AL71" authorId="0" shapeId="0" xr:uid="{00000000-0006-0000-0300-00003A060000}">
      <text>
        <r>
          <rPr>
            <sz val="10"/>
            <color rgb="FF000000"/>
            <rFont val="Arial"/>
            <scheme val="minor"/>
          </rPr>
          <t>Responder updated this value.</t>
        </r>
      </text>
    </comment>
    <comment ref="AM71" authorId="0" shapeId="0" xr:uid="{00000000-0006-0000-0300-00003B060000}">
      <text>
        <r>
          <rPr>
            <sz val="10"/>
            <color rgb="FF000000"/>
            <rFont val="Arial"/>
            <scheme val="minor"/>
          </rPr>
          <t>Responder updated this value.</t>
        </r>
      </text>
    </comment>
    <comment ref="AP71" authorId="0" shapeId="0" xr:uid="{00000000-0006-0000-0300-00003C060000}">
      <text>
        <r>
          <rPr>
            <sz val="10"/>
            <color rgb="FF000000"/>
            <rFont val="Arial"/>
            <scheme val="minor"/>
          </rPr>
          <t>Responder updated this value.</t>
        </r>
      </text>
    </comment>
    <comment ref="AQ71" authorId="0" shapeId="0" xr:uid="{00000000-0006-0000-0300-00003D060000}">
      <text>
        <r>
          <rPr>
            <sz val="10"/>
            <color rgb="FF000000"/>
            <rFont val="Arial"/>
            <scheme val="minor"/>
          </rPr>
          <t>Responder updated this value.</t>
        </r>
      </text>
    </comment>
    <comment ref="AR71" authorId="0" shapeId="0" xr:uid="{00000000-0006-0000-0300-00003E060000}">
      <text>
        <r>
          <rPr>
            <sz val="10"/>
            <color rgb="FF000000"/>
            <rFont val="Arial"/>
            <scheme val="minor"/>
          </rPr>
          <t>Responder updated this value.</t>
        </r>
      </text>
    </comment>
    <comment ref="AS71" authorId="0" shapeId="0" xr:uid="{00000000-0006-0000-0300-00003F060000}">
      <text>
        <r>
          <rPr>
            <sz val="10"/>
            <color rgb="FF000000"/>
            <rFont val="Arial"/>
            <scheme val="minor"/>
          </rPr>
          <t>Responder updated this value.</t>
        </r>
      </text>
    </comment>
    <comment ref="AT71" authorId="0" shapeId="0" xr:uid="{00000000-0006-0000-0300-000040060000}">
      <text>
        <r>
          <rPr>
            <sz val="10"/>
            <color rgb="FF000000"/>
            <rFont val="Arial"/>
            <scheme val="minor"/>
          </rPr>
          <t>Responder updated this value.</t>
        </r>
      </text>
    </comment>
    <comment ref="AU71" authorId="0" shapeId="0" xr:uid="{00000000-0006-0000-0300-000041060000}">
      <text>
        <r>
          <rPr>
            <sz val="10"/>
            <color rgb="FF000000"/>
            <rFont val="Arial"/>
            <scheme val="minor"/>
          </rPr>
          <t>Responder updated this value.</t>
        </r>
      </text>
    </comment>
    <comment ref="D72" authorId="0" shapeId="0" xr:uid="{00000000-0006-0000-0300-000042060000}">
      <text>
        <r>
          <rPr>
            <sz val="10"/>
            <color rgb="FF000000"/>
            <rFont val="Arial"/>
            <scheme val="minor"/>
          </rPr>
          <t>Responder updated this value.</t>
        </r>
      </text>
    </comment>
    <comment ref="N72" authorId="0" shapeId="0" xr:uid="{00000000-0006-0000-0300-000043060000}">
      <text>
        <r>
          <rPr>
            <sz val="10"/>
            <color rgb="FF000000"/>
            <rFont val="Arial"/>
            <scheme val="minor"/>
          </rPr>
          <t>Responder updated this value.</t>
        </r>
      </text>
    </comment>
    <comment ref="O72" authorId="0" shapeId="0" xr:uid="{00000000-0006-0000-0300-000044060000}">
      <text>
        <r>
          <rPr>
            <sz val="10"/>
            <color rgb="FF000000"/>
            <rFont val="Arial"/>
            <scheme val="minor"/>
          </rPr>
          <t>Responder updated this value.</t>
        </r>
      </text>
    </comment>
    <comment ref="P72" authorId="0" shapeId="0" xr:uid="{00000000-0006-0000-0300-000045060000}">
      <text>
        <r>
          <rPr>
            <sz val="10"/>
            <color rgb="FF000000"/>
            <rFont val="Arial"/>
            <scheme val="minor"/>
          </rPr>
          <t>Responder updated this value.</t>
        </r>
      </text>
    </comment>
    <comment ref="Q72" authorId="0" shapeId="0" xr:uid="{00000000-0006-0000-0300-000046060000}">
      <text>
        <r>
          <rPr>
            <sz val="10"/>
            <color rgb="FF000000"/>
            <rFont val="Arial"/>
            <scheme val="minor"/>
          </rPr>
          <t>Responder updated this value.</t>
        </r>
      </text>
    </comment>
    <comment ref="R72" authorId="0" shapeId="0" xr:uid="{00000000-0006-0000-0300-000047060000}">
      <text>
        <r>
          <rPr>
            <sz val="10"/>
            <color rgb="FF000000"/>
            <rFont val="Arial"/>
            <scheme val="minor"/>
          </rPr>
          <t>Responder updated this value.</t>
        </r>
      </text>
    </comment>
    <comment ref="S72" authorId="0" shapeId="0" xr:uid="{00000000-0006-0000-0300-000048060000}">
      <text>
        <r>
          <rPr>
            <sz val="10"/>
            <color rgb="FF000000"/>
            <rFont val="Arial"/>
            <scheme val="minor"/>
          </rPr>
          <t>Responder updated this value.</t>
        </r>
      </text>
    </comment>
    <comment ref="T72" authorId="0" shapeId="0" xr:uid="{00000000-0006-0000-0300-000049060000}">
      <text>
        <r>
          <rPr>
            <sz val="10"/>
            <color rgb="FF000000"/>
            <rFont val="Arial"/>
            <scheme val="minor"/>
          </rPr>
          <t>Responder updated this value.</t>
        </r>
      </text>
    </comment>
    <comment ref="W72" authorId="0" shapeId="0" xr:uid="{00000000-0006-0000-0300-00004A060000}">
      <text>
        <r>
          <rPr>
            <sz val="10"/>
            <color rgb="FF000000"/>
            <rFont val="Arial"/>
            <scheme val="minor"/>
          </rPr>
          <t>Responder updated this value.</t>
        </r>
      </text>
    </comment>
    <comment ref="X72" authorId="0" shapeId="0" xr:uid="{00000000-0006-0000-0300-00004B060000}">
      <text>
        <r>
          <rPr>
            <sz val="10"/>
            <color rgb="FF000000"/>
            <rFont val="Arial"/>
            <scheme val="minor"/>
          </rPr>
          <t>Responder updated this value.</t>
        </r>
      </text>
    </comment>
    <comment ref="AC72" authorId="0" shapeId="0" xr:uid="{00000000-0006-0000-0300-00004C060000}">
      <text>
        <r>
          <rPr>
            <sz val="10"/>
            <color rgb="FF000000"/>
            <rFont val="Arial"/>
            <scheme val="minor"/>
          </rPr>
          <t>Responder updated this value.</t>
        </r>
      </text>
    </comment>
    <comment ref="AD72" authorId="0" shapeId="0" xr:uid="{00000000-0006-0000-0300-00004D060000}">
      <text>
        <r>
          <rPr>
            <sz val="10"/>
            <color rgb="FF000000"/>
            <rFont val="Arial"/>
            <scheme val="minor"/>
          </rPr>
          <t>Responder updated this value.</t>
        </r>
      </text>
    </comment>
    <comment ref="AE72" authorId="0" shapeId="0" xr:uid="{00000000-0006-0000-0300-00004E060000}">
      <text>
        <r>
          <rPr>
            <sz val="10"/>
            <color rgb="FF000000"/>
            <rFont val="Arial"/>
            <scheme val="minor"/>
          </rPr>
          <t>Responder updated this value.</t>
        </r>
      </text>
    </comment>
    <comment ref="AF72" authorId="0" shapeId="0" xr:uid="{00000000-0006-0000-0300-00004F060000}">
      <text>
        <r>
          <rPr>
            <sz val="10"/>
            <color rgb="FF000000"/>
            <rFont val="Arial"/>
            <scheme val="minor"/>
          </rPr>
          <t>Responder updated this value.</t>
        </r>
      </text>
    </comment>
    <comment ref="AG72" authorId="0" shapeId="0" xr:uid="{00000000-0006-0000-0300-000050060000}">
      <text>
        <r>
          <rPr>
            <sz val="10"/>
            <color rgb="FF000000"/>
            <rFont val="Arial"/>
            <scheme val="minor"/>
          </rPr>
          <t>Responder updated this value.</t>
        </r>
      </text>
    </comment>
    <comment ref="AH72" authorId="0" shapeId="0" xr:uid="{00000000-0006-0000-0300-000051060000}">
      <text>
        <r>
          <rPr>
            <sz val="10"/>
            <color rgb="FF000000"/>
            <rFont val="Arial"/>
            <scheme val="minor"/>
          </rPr>
          <t>Responder updated this value.</t>
        </r>
      </text>
    </comment>
    <comment ref="AI72" authorId="0" shapeId="0" xr:uid="{00000000-0006-0000-0300-000052060000}">
      <text>
        <r>
          <rPr>
            <sz val="10"/>
            <color rgb="FF000000"/>
            <rFont val="Arial"/>
            <scheme val="minor"/>
          </rPr>
          <t>Responder updated this value.</t>
        </r>
      </text>
    </comment>
    <comment ref="AJ72" authorId="0" shapeId="0" xr:uid="{00000000-0006-0000-0300-000053060000}">
      <text>
        <r>
          <rPr>
            <sz val="10"/>
            <color rgb="FF000000"/>
            <rFont val="Arial"/>
            <scheme val="minor"/>
          </rPr>
          <t>Responder updated this value.</t>
        </r>
      </text>
    </comment>
    <comment ref="AK72" authorId="0" shapeId="0" xr:uid="{00000000-0006-0000-0300-000054060000}">
      <text>
        <r>
          <rPr>
            <sz val="10"/>
            <color rgb="FF000000"/>
            <rFont val="Arial"/>
            <scheme val="minor"/>
          </rPr>
          <t>Responder updated this value.</t>
        </r>
      </text>
    </comment>
    <comment ref="AL72" authorId="0" shapeId="0" xr:uid="{00000000-0006-0000-0300-000055060000}">
      <text>
        <r>
          <rPr>
            <sz val="10"/>
            <color rgb="FF000000"/>
            <rFont val="Arial"/>
            <scheme val="minor"/>
          </rPr>
          <t>Responder updated this value.</t>
        </r>
      </text>
    </comment>
    <comment ref="AM72" authorId="0" shapeId="0" xr:uid="{00000000-0006-0000-0300-000056060000}">
      <text>
        <r>
          <rPr>
            <sz val="10"/>
            <color rgb="FF000000"/>
            <rFont val="Arial"/>
            <scheme val="minor"/>
          </rPr>
          <t>Responder updated this value.</t>
        </r>
      </text>
    </comment>
    <comment ref="AN72" authorId="0" shapeId="0" xr:uid="{00000000-0006-0000-0300-000057060000}">
      <text>
        <r>
          <rPr>
            <sz val="10"/>
            <color rgb="FF000000"/>
            <rFont val="Arial"/>
            <scheme val="minor"/>
          </rPr>
          <t>Responder updated this value.</t>
        </r>
      </text>
    </comment>
    <comment ref="AO72" authorId="0" shapeId="0" xr:uid="{00000000-0006-0000-0300-000058060000}">
      <text>
        <r>
          <rPr>
            <sz val="10"/>
            <color rgb="FF000000"/>
            <rFont val="Arial"/>
            <scheme val="minor"/>
          </rPr>
          <t>Responder updated this value.</t>
        </r>
      </text>
    </comment>
    <comment ref="AP72" authorId="0" shapeId="0" xr:uid="{00000000-0006-0000-0300-000059060000}">
      <text>
        <r>
          <rPr>
            <sz val="10"/>
            <color rgb="FF000000"/>
            <rFont val="Arial"/>
            <scheme val="minor"/>
          </rPr>
          <t>Responder updated this value.</t>
        </r>
      </text>
    </comment>
    <comment ref="AQ72" authorId="0" shapeId="0" xr:uid="{00000000-0006-0000-0300-00005A060000}">
      <text>
        <r>
          <rPr>
            <sz val="10"/>
            <color rgb="FF000000"/>
            <rFont val="Arial"/>
            <scheme val="minor"/>
          </rPr>
          <t>Responder updated this value.</t>
        </r>
      </text>
    </comment>
    <comment ref="AR72" authorId="0" shapeId="0" xr:uid="{00000000-0006-0000-0300-00005B060000}">
      <text>
        <r>
          <rPr>
            <sz val="10"/>
            <color rgb="FF000000"/>
            <rFont val="Arial"/>
            <scheme val="minor"/>
          </rPr>
          <t>Responder updated this value.</t>
        </r>
      </text>
    </comment>
    <comment ref="AS72" authorId="0" shapeId="0" xr:uid="{00000000-0006-0000-0300-00005C060000}">
      <text>
        <r>
          <rPr>
            <sz val="10"/>
            <color rgb="FF000000"/>
            <rFont val="Arial"/>
            <scheme val="minor"/>
          </rPr>
          <t>Responder updated this value.</t>
        </r>
      </text>
    </comment>
    <comment ref="AT72" authorId="0" shapeId="0" xr:uid="{00000000-0006-0000-0300-00005D060000}">
      <text>
        <r>
          <rPr>
            <sz val="10"/>
            <color rgb="FF000000"/>
            <rFont val="Arial"/>
            <scheme val="minor"/>
          </rPr>
          <t>Responder updated this value.</t>
        </r>
      </text>
    </comment>
    <comment ref="AU72" authorId="0" shapeId="0" xr:uid="{00000000-0006-0000-0300-00005E060000}">
      <text>
        <r>
          <rPr>
            <sz val="10"/>
            <color rgb="FF000000"/>
            <rFont val="Arial"/>
            <scheme val="minor"/>
          </rPr>
          <t>Responder updated this value.</t>
        </r>
      </text>
    </comment>
    <comment ref="D73" authorId="0" shapeId="0" xr:uid="{00000000-0006-0000-0300-00005F060000}">
      <text>
        <r>
          <rPr>
            <sz val="10"/>
            <color rgb="FF000000"/>
            <rFont val="Arial"/>
            <scheme val="minor"/>
          </rPr>
          <t>Responder updated this value.</t>
        </r>
      </text>
    </comment>
    <comment ref="N73" authorId="0" shapeId="0" xr:uid="{00000000-0006-0000-0300-000060060000}">
      <text>
        <r>
          <rPr>
            <sz val="10"/>
            <color rgb="FF000000"/>
            <rFont val="Arial"/>
            <scheme val="minor"/>
          </rPr>
          <t>Responder updated this value.</t>
        </r>
      </text>
    </comment>
    <comment ref="O73" authorId="0" shapeId="0" xr:uid="{00000000-0006-0000-0300-000061060000}">
      <text>
        <r>
          <rPr>
            <sz val="10"/>
            <color rgb="FF000000"/>
            <rFont val="Arial"/>
            <scheme val="minor"/>
          </rPr>
          <t>Responder updated this value.</t>
        </r>
      </text>
    </comment>
    <comment ref="P73" authorId="0" shapeId="0" xr:uid="{00000000-0006-0000-0300-000062060000}">
      <text>
        <r>
          <rPr>
            <sz val="10"/>
            <color rgb="FF000000"/>
            <rFont val="Arial"/>
            <scheme val="minor"/>
          </rPr>
          <t>Responder updated this value.</t>
        </r>
      </text>
    </comment>
    <comment ref="R73" authorId="0" shapeId="0" xr:uid="{00000000-0006-0000-0300-000063060000}">
      <text>
        <r>
          <rPr>
            <sz val="10"/>
            <color rgb="FF000000"/>
            <rFont val="Arial"/>
            <scheme val="minor"/>
          </rPr>
          <t>Responder updated this value.</t>
        </r>
      </text>
    </comment>
    <comment ref="S73" authorId="0" shapeId="0" xr:uid="{00000000-0006-0000-0300-000064060000}">
      <text>
        <r>
          <rPr>
            <sz val="10"/>
            <color rgb="FF000000"/>
            <rFont val="Arial"/>
            <scheme val="minor"/>
          </rPr>
          <t>Responder updated this value.</t>
        </r>
      </text>
    </comment>
    <comment ref="T73" authorId="0" shapeId="0" xr:uid="{00000000-0006-0000-0300-000065060000}">
      <text>
        <r>
          <rPr>
            <sz val="10"/>
            <color rgb="FF000000"/>
            <rFont val="Arial"/>
            <scheme val="minor"/>
          </rPr>
          <t>Responder updated this value.</t>
        </r>
      </text>
    </comment>
    <comment ref="W73" authorId="0" shapeId="0" xr:uid="{00000000-0006-0000-0300-000066060000}">
      <text>
        <r>
          <rPr>
            <sz val="10"/>
            <color rgb="FF000000"/>
            <rFont val="Arial"/>
            <scheme val="minor"/>
          </rPr>
          <t>Responder updated this value.</t>
        </r>
      </text>
    </comment>
    <comment ref="X73" authorId="0" shapeId="0" xr:uid="{00000000-0006-0000-0300-000067060000}">
      <text>
        <r>
          <rPr>
            <sz val="10"/>
            <color rgb="FF000000"/>
            <rFont val="Arial"/>
            <scheme val="minor"/>
          </rPr>
          <t>Responder updated this value.</t>
        </r>
      </text>
    </comment>
    <comment ref="AC73" authorId="0" shapeId="0" xr:uid="{00000000-0006-0000-0300-000068060000}">
      <text>
        <r>
          <rPr>
            <sz val="10"/>
            <color rgb="FF000000"/>
            <rFont val="Arial"/>
            <scheme val="minor"/>
          </rPr>
          <t>Responder updated this value.</t>
        </r>
      </text>
    </comment>
    <comment ref="AD73" authorId="0" shapeId="0" xr:uid="{00000000-0006-0000-0300-000069060000}">
      <text>
        <r>
          <rPr>
            <sz val="10"/>
            <color rgb="FF000000"/>
            <rFont val="Arial"/>
            <scheme val="minor"/>
          </rPr>
          <t>Responder updated this value.</t>
        </r>
      </text>
    </comment>
    <comment ref="AE73" authorId="0" shapeId="0" xr:uid="{00000000-0006-0000-0300-00006A060000}">
      <text>
        <r>
          <rPr>
            <sz val="10"/>
            <color rgb="FF000000"/>
            <rFont val="Arial"/>
            <scheme val="minor"/>
          </rPr>
          <t>Responder updated this value.</t>
        </r>
      </text>
    </comment>
    <comment ref="AF73" authorId="0" shapeId="0" xr:uid="{00000000-0006-0000-0300-00006B060000}">
      <text>
        <r>
          <rPr>
            <sz val="10"/>
            <color rgb="FF000000"/>
            <rFont val="Arial"/>
            <scheme val="minor"/>
          </rPr>
          <t>Responder updated this value.</t>
        </r>
      </text>
    </comment>
    <comment ref="AG73" authorId="0" shapeId="0" xr:uid="{00000000-0006-0000-0300-00006C060000}">
      <text>
        <r>
          <rPr>
            <sz val="10"/>
            <color rgb="FF000000"/>
            <rFont val="Arial"/>
            <scheme val="minor"/>
          </rPr>
          <t>Responder updated this value.</t>
        </r>
      </text>
    </comment>
    <comment ref="AH73" authorId="0" shapeId="0" xr:uid="{00000000-0006-0000-0300-00006D060000}">
      <text>
        <r>
          <rPr>
            <sz val="10"/>
            <color rgb="FF000000"/>
            <rFont val="Arial"/>
            <scheme val="minor"/>
          </rPr>
          <t>Responder updated this value.</t>
        </r>
      </text>
    </comment>
    <comment ref="AI73" authorId="0" shapeId="0" xr:uid="{00000000-0006-0000-0300-00006E060000}">
      <text>
        <r>
          <rPr>
            <sz val="10"/>
            <color rgb="FF000000"/>
            <rFont val="Arial"/>
            <scheme val="minor"/>
          </rPr>
          <t>Responder updated this value.</t>
        </r>
      </text>
    </comment>
    <comment ref="AJ73" authorId="0" shapeId="0" xr:uid="{00000000-0006-0000-0300-00006F060000}">
      <text>
        <r>
          <rPr>
            <sz val="10"/>
            <color rgb="FF000000"/>
            <rFont val="Arial"/>
            <scheme val="minor"/>
          </rPr>
          <t>Responder updated this value.</t>
        </r>
      </text>
    </comment>
    <comment ref="AK73" authorId="0" shapeId="0" xr:uid="{00000000-0006-0000-0300-000070060000}">
      <text>
        <r>
          <rPr>
            <sz val="10"/>
            <color rgb="FF000000"/>
            <rFont val="Arial"/>
            <scheme val="minor"/>
          </rPr>
          <t>Responder updated this value.</t>
        </r>
      </text>
    </comment>
    <comment ref="AL73" authorId="0" shapeId="0" xr:uid="{00000000-0006-0000-0300-000071060000}">
      <text>
        <r>
          <rPr>
            <sz val="10"/>
            <color rgb="FF000000"/>
            <rFont val="Arial"/>
            <scheme val="minor"/>
          </rPr>
          <t>Responder updated this value.</t>
        </r>
      </text>
    </comment>
    <comment ref="AM73" authorId="0" shapeId="0" xr:uid="{00000000-0006-0000-0300-000072060000}">
      <text>
        <r>
          <rPr>
            <sz val="10"/>
            <color rgb="FF000000"/>
            <rFont val="Arial"/>
            <scheme val="minor"/>
          </rPr>
          <t>Responder updated this value.</t>
        </r>
      </text>
    </comment>
    <comment ref="AN73" authorId="0" shapeId="0" xr:uid="{00000000-0006-0000-0300-000073060000}">
      <text>
        <r>
          <rPr>
            <sz val="10"/>
            <color rgb="FF000000"/>
            <rFont val="Arial"/>
            <scheme val="minor"/>
          </rPr>
          <t>Responder updated this value.</t>
        </r>
      </text>
    </comment>
    <comment ref="AO73" authorId="0" shapeId="0" xr:uid="{00000000-0006-0000-0300-000074060000}">
      <text>
        <r>
          <rPr>
            <sz val="10"/>
            <color rgb="FF000000"/>
            <rFont val="Arial"/>
            <scheme val="minor"/>
          </rPr>
          <t>Responder updated this value.</t>
        </r>
      </text>
    </comment>
    <comment ref="AP73" authorId="0" shapeId="0" xr:uid="{00000000-0006-0000-0300-000075060000}">
      <text>
        <r>
          <rPr>
            <sz val="10"/>
            <color rgb="FF000000"/>
            <rFont val="Arial"/>
            <scheme val="minor"/>
          </rPr>
          <t>Responder updated this value.</t>
        </r>
      </text>
    </comment>
    <comment ref="AQ73" authorId="0" shapeId="0" xr:uid="{00000000-0006-0000-0300-000076060000}">
      <text>
        <r>
          <rPr>
            <sz val="10"/>
            <color rgb="FF000000"/>
            <rFont val="Arial"/>
            <scheme val="minor"/>
          </rPr>
          <t>Responder updated this value.</t>
        </r>
      </text>
    </comment>
    <comment ref="AR73" authorId="0" shapeId="0" xr:uid="{00000000-0006-0000-0300-000077060000}">
      <text>
        <r>
          <rPr>
            <sz val="10"/>
            <color rgb="FF000000"/>
            <rFont val="Arial"/>
            <scheme val="minor"/>
          </rPr>
          <t>Responder updated this value.</t>
        </r>
      </text>
    </comment>
    <comment ref="AS73" authorId="0" shapeId="0" xr:uid="{00000000-0006-0000-0300-000078060000}">
      <text>
        <r>
          <rPr>
            <sz val="10"/>
            <color rgb="FF000000"/>
            <rFont val="Arial"/>
            <scheme val="minor"/>
          </rPr>
          <t>Responder updated this value.</t>
        </r>
      </text>
    </comment>
    <comment ref="AT73" authorId="0" shapeId="0" xr:uid="{00000000-0006-0000-0300-000079060000}">
      <text>
        <r>
          <rPr>
            <sz val="10"/>
            <color rgb="FF000000"/>
            <rFont val="Arial"/>
            <scheme val="minor"/>
          </rPr>
          <t>Responder updated this value.</t>
        </r>
      </text>
    </comment>
    <comment ref="AU73" authorId="0" shapeId="0" xr:uid="{00000000-0006-0000-0300-00007A060000}">
      <text>
        <r>
          <rPr>
            <sz val="10"/>
            <color rgb="FF000000"/>
            <rFont val="Arial"/>
            <scheme val="minor"/>
          </rPr>
          <t>Responder updated this value.</t>
        </r>
      </text>
    </comment>
    <comment ref="D74" authorId="0" shapeId="0" xr:uid="{00000000-0006-0000-0300-00007B060000}">
      <text>
        <r>
          <rPr>
            <sz val="10"/>
            <color rgb="FF000000"/>
            <rFont val="Arial"/>
            <scheme val="minor"/>
          </rPr>
          <t>Responder updated this value.</t>
        </r>
      </text>
    </comment>
    <comment ref="N74" authorId="0" shapeId="0" xr:uid="{00000000-0006-0000-0300-00007C060000}">
      <text>
        <r>
          <rPr>
            <sz val="10"/>
            <color rgb="FF000000"/>
            <rFont val="Arial"/>
            <scheme val="minor"/>
          </rPr>
          <t>Responder updated this value.</t>
        </r>
      </text>
    </comment>
    <comment ref="O74" authorId="0" shapeId="0" xr:uid="{00000000-0006-0000-0300-00007D060000}">
      <text>
        <r>
          <rPr>
            <sz val="10"/>
            <color rgb="FF000000"/>
            <rFont val="Arial"/>
            <scheme val="minor"/>
          </rPr>
          <t>Responder updated this value.</t>
        </r>
      </text>
    </comment>
    <comment ref="P74" authorId="0" shapeId="0" xr:uid="{00000000-0006-0000-0300-00007E060000}">
      <text>
        <r>
          <rPr>
            <sz val="10"/>
            <color rgb="FF000000"/>
            <rFont val="Arial"/>
            <scheme val="minor"/>
          </rPr>
          <t>Responder updated this value.</t>
        </r>
      </text>
    </comment>
    <comment ref="Q74" authorId="0" shapeId="0" xr:uid="{00000000-0006-0000-0300-00007F060000}">
      <text>
        <r>
          <rPr>
            <sz val="10"/>
            <color rgb="FF000000"/>
            <rFont val="Arial"/>
            <scheme val="minor"/>
          </rPr>
          <t>Responder updated this value.</t>
        </r>
      </text>
    </comment>
    <comment ref="R74" authorId="0" shapeId="0" xr:uid="{00000000-0006-0000-0300-000080060000}">
      <text>
        <r>
          <rPr>
            <sz val="10"/>
            <color rgb="FF000000"/>
            <rFont val="Arial"/>
            <scheme val="minor"/>
          </rPr>
          <t>Responder updated this value.</t>
        </r>
      </text>
    </comment>
    <comment ref="S74" authorId="0" shapeId="0" xr:uid="{00000000-0006-0000-0300-000081060000}">
      <text>
        <r>
          <rPr>
            <sz val="10"/>
            <color rgb="FF000000"/>
            <rFont val="Arial"/>
            <scheme val="minor"/>
          </rPr>
          <t>Responder updated this value.</t>
        </r>
      </text>
    </comment>
    <comment ref="T74" authorId="0" shapeId="0" xr:uid="{00000000-0006-0000-0300-000082060000}">
      <text>
        <r>
          <rPr>
            <sz val="10"/>
            <color rgb="FF000000"/>
            <rFont val="Arial"/>
            <scheme val="minor"/>
          </rPr>
          <t>Responder updated this value.</t>
        </r>
      </text>
    </comment>
    <comment ref="V74" authorId="0" shapeId="0" xr:uid="{00000000-0006-0000-0300-000083060000}">
      <text>
        <r>
          <rPr>
            <sz val="10"/>
            <color rgb="FF000000"/>
            <rFont val="Arial"/>
            <scheme val="minor"/>
          </rPr>
          <t>Responder updated this value.</t>
        </r>
      </text>
    </comment>
    <comment ref="W74" authorId="0" shapeId="0" xr:uid="{00000000-0006-0000-0300-000084060000}">
      <text>
        <r>
          <rPr>
            <sz val="10"/>
            <color rgb="FF000000"/>
            <rFont val="Arial"/>
            <scheme val="minor"/>
          </rPr>
          <t>Responder updated this value.</t>
        </r>
      </text>
    </comment>
    <comment ref="X74" authorId="0" shapeId="0" xr:uid="{00000000-0006-0000-0300-000085060000}">
      <text>
        <r>
          <rPr>
            <sz val="10"/>
            <color rgb="FF000000"/>
            <rFont val="Arial"/>
            <scheme val="minor"/>
          </rPr>
          <t>Responder updated this value.</t>
        </r>
      </text>
    </comment>
    <comment ref="AC74" authorId="0" shapeId="0" xr:uid="{00000000-0006-0000-0300-000086060000}">
      <text>
        <r>
          <rPr>
            <sz val="10"/>
            <color rgb="FF000000"/>
            <rFont val="Arial"/>
            <scheme val="minor"/>
          </rPr>
          <t>Responder updated this value.</t>
        </r>
      </text>
    </comment>
    <comment ref="AD74" authorId="0" shapeId="0" xr:uid="{00000000-0006-0000-0300-000087060000}">
      <text>
        <r>
          <rPr>
            <sz val="10"/>
            <color rgb="FF000000"/>
            <rFont val="Arial"/>
            <scheme val="minor"/>
          </rPr>
          <t>Responder updated this value.</t>
        </r>
      </text>
    </comment>
    <comment ref="AE74" authorId="0" shapeId="0" xr:uid="{00000000-0006-0000-0300-000088060000}">
      <text>
        <r>
          <rPr>
            <sz val="10"/>
            <color rgb="FF000000"/>
            <rFont val="Arial"/>
            <scheme val="minor"/>
          </rPr>
          <t>Responder updated this value.</t>
        </r>
      </text>
    </comment>
    <comment ref="AF74" authorId="0" shapeId="0" xr:uid="{00000000-0006-0000-0300-000089060000}">
      <text>
        <r>
          <rPr>
            <sz val="10"/>
            <color rgb="FF000000"/>
            <rFont val="Arial"/>
            <scheme val="minor"/>
          </rPr>
          <t>Responder updated this value.</t>
        </r>
      </text>
    </comment>
    <comment ref="AI74" authorId="0" shapeId="0" xr:uid="{00000000-0006-0000-0300-00008A060000}">
      <text>
        <r>
          <rPr>
            <sz val="10"/>
            <color rgb="FF000000"/>
            <rFont val="Arial"/>
            <scheme val="minor"/>
          </rPr>
          <t>Responder updated this value.</t>
        </r>
      </text>
    </comment>
    <comment ref="AJ74" authorId="0" shapeId="0" xr:uid="{00000000-0006-0000-0300-00008B060000}">
      <text>
        <r>
          <rPr>
            <sz val="10"/>
            <color rgb="FF000000"/>
            <rFont val="Arial"/>
            <scheme val="minor"/>
          </rPr>
          <t>Responder updated this value.</t>
        </r>
      </text>
    </comment>
    <comment ref="AK74" authorId="0" shapeId="0" xr:uid="{00000000-0006-0000-0300-00008C060000}">
      <text>
        <r>
          <rPr>
            <sz val="10"/>
            <color rgb="FF000000"/>
            <rFont val="Arial"/>
            <scheme val="minor"/>
          </rPr>
          <t>Responder updated this value.</t>
        </r>
      </text>
    </comment>
    <comment ref="AL74" authorId="0" shapeId="0" xr:uid="{00000000-0006-0000-0300-00008D060000}">
      <text>
        <r>
          <rPr>
            <sz val="10"/>
            <color rgb="FF000000"/>
            <rFont val="Arial"/>
            <scheme val="minor"/>
          </rPr>
          <t>Responder updated this value.</t>
        </r>
      </text>
    </comment>
    <comment ref="AM74" authorId="0" shapeId="0" xr:uid="{00000000-0006-0000-0300-00008E060000}">
      <text>
        <r>
          <rPr>
            <sz val="10"/>
            <color rgb="FF000000"/>
            <rFont val="Arial"/>
            <scheme val="minor"/>
          </rPr>
          <t>Responder updated this value.</t>
        </r>
      </text>
    </comment>
    <comment ref="AN74" authorId="0" shapeId="0" xr:uid="{00000000-0006-0000-0300-00008F060000}">
      <text>
        <r>
          <rPr>
            <sz val="10"/>
            <color rgb="FF000000"/>
            <rFont val="Arial"/>
            <scheme val="minor"/>
          </rPr>
          <t>Responder updated this value.</t>
        </r>
      </text>
    </comment>
    <comment ref="AO74" authorId="0" shapeId="0" xr:uid="{00000000-0006-0000-0300-000090060000}">
      <text>
        <r>
          <rPr>
            <sz val="10"/>
            <color rgb="FF000000"/>
            <rFont val="Arial"/>
            <scheme val="minor"/>
          </rPr>
          <t>Responder updated this value.</t>
        </r>
      </text>
    </comment>
    <comment ref="AP74" authorId="0" shapeId="0" xr:uid="{00000000-0006-0000-0300-000091060000}">
      <text>
        <r>
          <rPr>
            <sz val="10"/>
            <color rgb="FF000000"/>
            <rFont val="Arial"/>
            <scheme val="minor"/>
          </rPr>
          <t>Responder updated this value.</t>
        </r>
      </text>
    </comment>
    <comment ref="AQ74" authorId="0" shapeId="0" xr:uid="{00000000-0006-0000-0300-000092060000}">
      <text>
        <r>
          <rPr>
            <sz val="10"/>
            <color rgb="FF000000"/>
            <rFont val="Arial"/>
            <scheme val="minor"/>
          </rPr>
          <t>Responder updated this value.</t>
        </r>
      </text>
    </comment>
    <comment ref="AR74" authorId="0" shapeId="0" xr:uid="{00000000-0006-0000-0300-000093060000}">
      <text>
        <r>
          <rPr>
            <sz val="10"/>
            <color rgb="FF000000"/>
            <rFont val="Arial"/>
            <scheme val="minor"/>
          </rPr>
          <t>Responder updated this value.</t>
        </r>
      </text>
    </comment>
    <comment ref="AS74" authorId="0" shapeId="0" xr:uid="{00000000-0006-0000-0300-000094060000}">
      <text>
        <r>
          <rPr>
            <sz val="10"/>
            <color rgb="FF000000"/>
            <rFont val="Arial"/>
            <scheme val="minor"/>
          </rPr>
          <t>Responder updated this value.</t>
        </r>
      </text>
    </comment>
    <comment ref="AT74" authorId="0" shapeId="0" xr:uid="{00000000-0006-0000-0300-000095060000}">
      <text>
        <r>
          <rPr>
            <sz val="10"/>
            <color rgb="FF000000"/>
            <rFont val="Arial"/>
            <scheme val="minor"/>
          </rPr>
          <t>Responder updated this value.</t>
        </r>
      </text>
    </comment>
    <comment ref="AU74" authorId="0" shapeId="0" xr:uid="{00000000-0006-0000-0300-000096060000}">
      <text>
        <r>
          <rPr>
            <sz val="10"/>
            <color rgb="FF000000"/>
            <rFont val="Arial"/>
            <scheme val="minor"/>
          </rPr>
          <t>Responder updated this value.</t>
        </r>
      </text>
    </comment>
    <comment ref="D75" authorId="0" shapeId="0" xr:uid="{00000000-0006-0000-0300-000097060000}">
      <text>
        <r>
          <rPr>
            <sz val="10"/>
            <color rgb="FF000000"/>
            <rFont val="Arial"/>
            <scheme val="minor"/>
          </rPr>
          <t>Responder updated this value.</t>
        </r>
      </text>
    </comment>
    <comment ref="N75" authorId="0" shapeId="0" xr:uid="{00000000-0006-0000-0300-000098060000}">
      <text>
        <r>
          <rPr>
            <sz val="10"/>
            <color rgb="FF000000"/>
            <rFont val="Arial"/>
            <scheme val="minor"/>
          </rPr>
          <t>Responder updated this value.</t>
        </r>
      </text>
    </comment>
    <comment ref="O75" authorId="0" shapeId="0" xr:uid="{00000000-0006-0000-0300-000099060000}">
      <text>
        <r>
          <rPr>
            <sz val="10"/>
            <color rgb="FF000000"/>
            <rFont val="Arial"/>
            <scheme val="minor"/>
          </rPr>
          <t>Responder updated this value.</t>
        </r>
      </text>
    </comment>
    <comment ref="P75" authorId="0" shapeId="0" xr:uid="{00000000-0006-0000-0300-00009A060000}">
      <text>
        <r>
          <rPr>
            <sz val="10"/>
            <color rgb="FF000000"/>
            <rFont val="Arial"/>
            <scheme val="minor"/>
          </rPr>
          <t>Responder updated this value.</t>
        </r>
      </text>
    </comment>
    <comment ref="Q75" authorId="0" shapeId="0" xr:uid="{00000000-0006-0000-0300-00009B060000}">
      <text>
        <r>
          <rPr>
            <sz val="10"/>
            <color rgb="FF000000"/>
            <rFont val="Arial"/>
            <scheme val="minor"/>
          </rPr>
          <t>Responder updated this value.</t>
        </r>
      </text>
    </comment>
    <comment ref="R75" authorId="0" shapeId="0" xr:uid="{00000000-0006-0000-0300-00009C060000}">
      <text>
        <r>
          <rPr>
            <sz val="10"/>
            <color rgb="FF000000"/>
            <rFont val="Arial"/>
            <scheme val="minor"/>
          </rPr>
          <t>Responder updated this value.</t>
        </r>
      </text>
    </comment>
    <comment ref="S75" authorId="0" shapeId="0" xr:uid="{00000000-0006-0000-0300-00009D060000}">
      <text>
        <r>
          <rPr>
            <sz val="10"/>
            <color rgb="FF000000"/>
            <rFont val="Arial"/>
            <scheme val="minor"/>
          </rPr>
          <t>Responder updated this value.</t>
        </r>
      </text>
    </comment>
    <comment ref="T75" authorId="0" shapeId="0" xr:uid="{00000000-0006-0000-0300-00009E060000}">
      <text>
        <r>
          <rPr>
            <sz val="10"/>
            <color rgb="FF000000"/>
            <rFont val="Arial"/>
            <scheme val="minor"/>
          </rPr>
          <t>Responder updated this value.</t>
        </r>
      </text>
    </comment>
    <comment ref="V75" authorId="0" shapeId="0" xr:uid="{00000000-0006-0000-0300-00009F060000}">
      <text>
        <r>
          <rPr>
            <sz val="10"/>
            <color rgb="FF000000"/>
            <rFont val="Arial"/>
            <scheme val="minor"/>
          </rPr>
          <t>Responder updated this value.</t>
        </r>
      </text>
    </comment>
    <comment ref="W75" authorId="0" shapeId="0" xr:uid="{00000000-0006-0000-0300-0000A0060000}">
      <text>
        <r>
          <rPr>
            <sz val="10"/>
            <color rgb="FF000000"/>
            <rFont val="Arial"/>
            <scheme val="minor"/>
          </rPr>
          <t>Responder updated this value.</t>
        </r>
      </text>
    </comment>
    <comment ref="X75" authorId="0" shapeId="0" xr:uid="{00000000-0006-0000-0300-0000A1060000}">
      <text>
        <r>
          <rPr>
            <sz val="10"/>
            <color rgb="FF000000"/>
            <rFont val="Arial"/>
            <scheme val="minor"/>
          </rPr>
          <t>Responder updated this value.</t>
        </r>
      </text>
    </comment>
    <comment ref="AC75" authorId="0" shapeId="0" xr:uid="{00000000-0006-0000-0300-0000A2060000}">
      <text>
        <r>
          <rPr>
            <sz val="10"/>
            <color rgb="FF000000"/>
            <rFont val="Arial"/>
            <scheme val="minor"/>
          </rPr>
          <t>Responder updated this value.</t>
        </r>
      </text>
    </comment>
    <comment ref="AD75" authorId="0" shapeId="0" xr:uid="{00000000-0006-0000-0300-0000A3060000}">
      <text>
        <r>
          <rPr>
            <sz val="10"/>
            <color rgb="FF000000"/>
            <rFont val="Arial"/>
            <scheme val="minor"/>
          </rPr>
          <t>Responder updated this value.</t>
        </r>
      </text>
    </comment>
    <comment ref="AE75" authorId="0" shapeId="0" xr:uid="{00000000-0006-0000-0300-0000A4060000}">
      <text>
        <r>
          <rPr>
            <sz val="10"/>
            <color rgb="FF000000"/>
            <rFont val="Arial"/>
            <scheme val="minor"/>
          </rPr>
          <t>Responder updated this value.</t>
        </r>
      </text>
    </comment>
    <comment ref="AI75" authorId="0" shapeId="0" xr:uid="{00000000-0006-0000-0300-0000A5060000}">
      <text>
        <r>
          <rPr>
            <sz val="10"/>
            <color rgb="FF000000"/>
            <rFont val="Arial"/>
            <scheme val="minor"/>
          </rPr>
          <t>Responder updated this value.</t>
        </r>
      </text>
    </comment>
    <comment ref="AJ75" authorId="0" shapeId="0" xr:uid="{00000000-0006-0000-0300-0000A6060000}">
      <text>
        <r>
          <rPr>
            <sz val="10"/>
            <color rgb="FF000000"/>
            <rFont val="Arial"/>
            <scheme val="minor"/>
          </rPr>
          <t>Responder updated this value.</t>
        </r>
      </text>
    </comment>
    <comment ref="AK75" authorId="0" shapeId="0" xr:uid="{00000000-0006-0000-0300-0000A7060000}">
      <text>
        <r>
          <rPr>
            <sz val="10"/>
            <color rgb="FF000000"/>
            <rFont val="Arial"/>
            <scheme val="minor"/>
          </rPr>
          <t>Responder updated this value.</t>
        </r>
      </text>
    </comment>
    <comment ref="AL75" authorId="0" shapeId="0" xr:uid="{00000000-0006-0000-0300-0000A8060000}">
      <text>
        <r>
          <rPr>
            <sz val="10"/>
            <color rgb="FF000000"/>
            <rFont val="Arial"/>
            <scheme val="minor"/>
          </rPr>
          <t>Responder updated this value.</t>
        </r>
      </text>
    </comment>
    <comment ref="AM75" authorId="0" shapeId="0" xr:uid="{00000000-0006-0000-0300-0000A9060000}">
      <text>
        <r>
          <rPr>
            <sz val="10"/>
            <color rgb="FF000000"/>
            <rFont val="Arial"/>
            <scheme val="minor"/>
          </rPr>
          <t>Responder updated this value.</t>
        </r>
      </text>
    </comment>
    <comment ref="AN75" authorId="0" shapeId="0" xr:uid="{00000000-0006-0000-0300-0000AA060000}">
      <text>
        <r>
          <rPr>
            <sz val="10"/>
            <color rgb="FF000000"/>
            <rFont val="Arial"/>
            <scheme val="minor"/>
          </rPr>
          <t>Responder updated this value.</t>
        </r>
      </text>
    </comment>
    <comment ref="AO75" authorId="0" shapeId="0" xr:uid="{00000000-0006-0000-0300-0000AB060000}">
      <text>
        <r>
          <rPr>
            <sz val="10"/>
            <color rgb="FF000000"/>
            <rFont val="Arial"/>
            <scheme val="minor"/>
          </rPr>
          <t>Responder updated this value.</t>
        </r>
      </text>
    </comment>
    <comment ref="AP75" authorId="0" shapeId="0" xr:uid="{00000000-0006-0000-0300-0000AC060000}">
      <text>
        <r>
          <rPr>
            <sz val="10"/>
            <color rgb="FF000000"/>
            <rFont val="Arial"/>
            <scheme val="minor"/>
          </rPr>
          <t>Responder updated this value.</t>
        </r>
      </text>
    </comment>
    <comment ref="AQ75" authorId="0" shapeId="0" xr:uid="{00000000-0006-0000-0300-0000AD060000}">
      <text>
        <r>
          <rPr>
            <sz val="10"/>
            <color rgb="FF000000"/>
            <rFont val="Arial"/>
            <scheme val="minor"/>
          </rPr>
          <t>Responder updated this value.</t>
        </r>
      </text>
    </comment>
    <comment ref="AR75" authorId="0" shapeId="0" xr:uid="{00000000-0006-0000-0300-0000AE060000}">
      <text>
        <r>
          <rPr>
            <sz val="10"/>
            <color rgb="FF000000"/>
            <rFont val="Arial"/>
            <scheme val="minor"/>
          </rPr>
          <t>Responder updated this value.</t>
        </r>
      </text>
    </comment>
    <comment ref="AS75" authorId="0" shapeId="0" xr:uid="{00000000-0006-0000-0300-0000AF060000}">
      <text>
        <r>
          <rPr>
            <sz val="10"/>
            <color rgb="FF000000"/>
            <rFont val="Arial"/>
            <scheme val="minor"/>
          </rPr>
          <t>Responder updated this value.</t>
        </r>
      </text>
    </comment>
    <comment ref="AT75" authorId="0" shapeId="0" xr:uid="{00000000-0006-0000-0300-0000B0060000}">
      <text>
        <r>
          <rPr>
            <sz val="10"/>
            <color rgb="FF000000"/>
            <rFont val="Arial"/>
            <scheme val="minor"/>
          </rPr>
          <t>Responder updated this value.</t>
        </r>
      </text>
    </comment>
    <comment ref="AU75" authorId="0" shapeId="0" xr:uid="{00000000-0006-0000-0300-0000B1060000}">
      <text>
        <r>
          <rPr>
            <sz val="10"/>
            <color rgb="FF000000"/>
            <rFont val="Arial"/>
            <scheme val="minor"/>
          </rPr>
          <t>Responder updated this value.</t>
        </r>
      </text>
    </comment>
    <comment ref="D76" authorId="0" shapeId="0" xr:uid="{00000000-0006-0000-0300-0000B2060000}">
      <text>
        <r>
          <rPr>
            <sz val="10"/>
            <color rgb="FF000000"/>
            <rFont val="Arial"/>
            <scheme val="minor"/>
          </rPr>
          <t>Responder updated this value.</t>
        </r>
      </text>
    </comment>
    <comment ref="AD76" authorId="0" shapeId="0" xr:uid="{00000000-0006-0000-0300-0000B3060000}">
      <text>
        <r>
          <rPr>
            <sz val="10"/>
            <color rgb="FF000000"/>
            <rFont val="Arial"/>
            <scheme val="minor"/>
          </rPr>
          <t>Responder updated this value.</t>
        </r>
      </text>
    </comment>
    <comment ref="AE76" authorId="0" shapeId="0" xr:uid="{00000000-0006-0000-0300-0000B4060000}">
      <text>
        <r>
          <rPr>
            <sz val="10"/>
            <color rgb="FF000000"/>
            <rFont val="Arial"/>
            <scheme val="minor"/>
          </rPr>
          <t>Responder updated this value.</t>
        </r>
      </text>
    </comment>
    <comment ref="AH76" authorId="0" shapeId="0" xr:uid="{00000000-0006-0000-0300-0000B5060000}">
      <text>
        <r>
          <rPr>
            <sz val="10"/>
            <color rgb="FF000000"/>
            <rFont val="Arial"/>
            <scheme val="minor"/>
          </rPr>
          <t>Responder updated this value.</t>
        </r>
      </text>
    </comment>
    <comment ref="AI76" authorId="0" shapeId="0" xr:uid="{00000000-0006-0000-0300-0000B6060000}">
      <text>
        <r>
          <rPr>
            <sz val="10"/>
            <color rgb="FF000000"/>
            <rFont val="Arial"/>
            <scheme val="minor"/>
          </rPr>
          <t>Responder updated this value.</t>
        </r>
      </text>
    </comment>
    <comment ref="AJ76" authorId="0" shapeId="0" xr:uid="{00000000-0006-0000-0300-0000B7060000}">
      <text>
        <r>
          <rPr>
            <sz val="10"/>
            <color rgb="FF000000"/>
            <rFont val="Arial"/>
            <scheme val="minor"/>
          </rPr>
          <t>Responder updated this value.</t>
        </r>
      </text>
    </comment>
    <comment ref="AK76" authorId="0" shapeId="0" xr:uid="{00000000-0006-0000-0300-0000B8060000}">
      <text>
        <r>
          <rPr>
            <sz val="10"/>
            <color rgb="FF000000"/>
            <rFont val="Arial"/>
            <scheme val="minor"/>
          </rPr>
          <t>Responder updated this value.</t>
        </r>
      </text>
    </comment>
    <comment ref="AM76" authorId="0" shapeId="0" xr:uid="{00000000-0006-0000-0300-0000B9060000}">
      <text>
        <r>
          <rPr>
            <sz val="10"/>
            <color rgb="FF000000"/>
            <rFont val="Arial"/>
            <scheme val="minor"/>
          </rPr>
          <t>Responder updated this value.</t>
        </r>
      </text>
    </comment>
    <comment ref="AN76" authorId="0" shapeId="0" xr:uid="{00000000-0006-0000-0300-0000BA060000}">
      <text>
        <r>
          <rPr>
            <sz val="10"/>
            <color rgb="FF000000"/>
            <rFont val="Arial"/>
            <scheme val="minor"/>
          </rPr>
          <t>Responder updated this value.</t>
        </r>
      </text>
    </comment>
    <comment ref="AO76" authorId="0" shapeId="0" xr:uid="{00000000-0006-0000-0300-0000BB060000}">
      <text>
        <r>
          <rPr>
            <sz val="10"/>
            <color rgb="FF000000"/>
            <rFont val="Arial"/>
            <scheme val="minor"/>
          </rPr>
          <t>Responder updated this value.</t>
        </r>
      </text>
    </comment>
    <comment ref="AP76" authorId="0" shapeId="0" xr:uid="{00000000-0006-0000-0300-0000BC060000}">
      <text>
        <r>
          <rPr>
            <sz val="10"/>
            <color rgb="FF000000"/>
            <rFont val="Arial"/>
            <scheme val="minor"/>
          </rPr>
          <t>Responder updated this value.</t>
        </r>
      </text>
    </comment>
    <comment ref="AQ76" authorId="0" shapeId="0" xr:uid="{00000000-0006-0000-0300-0000BD060000}">
      <text>
        <r>
          <rPr>
            <sz val="10"/>
            <color rgb="FF000000"/>
            <rFont val="Arial"/>
            <scheme val="minor"/>
          </rPr>
          <t>Responder updated this value.</t>
        </r>
      </text>
    </comment>
    <comment ref="AR76" authorId="0" shapeId="0" xr:uid="{00000000-0006-0000-0300-0000BE060000}">
      <text>
        <r>
          <rPr>
            <sz val="10"/>
            <color rgb="FF000000"/>
            <rFont val="Arial"/>
            <scheme val="minor"/>
          </rPr>
          <t>Responder updated this value.</t>
        </r>
      </text>
    </comment>
    <comment ref="AU76" authorId="0" shapeId="0" xr:uid="{00000000-0006-0000-0300-0000BF060000}">
      <text>
        <r>
          <rPr>
            <sz val="10"/>
            <color rgb="FF000000"/>
            <rFont val="Arial"/>
            <scheme val="minor"/>
          </rPr>
          <t>Responder updated this value.</t>
        </r>
      </text>
    </comment>
    <comment ref="D77" authorId="0" shapeId="0" xr:uid="{00000000-0006-0000-0300-0000C0060000}">
      <text>
        <r>
          <rPr>
            <sz val="10"/>
            <color rgb="FF000000"/>
            <rFont val="Arial"/>
            <scheme val="minor"/>
          </rPr>
          <t>Responder updated this value.</t>
        </r>
      </text>
    </comment>
    <comment ref="E77" authorId="0" shapeId="0" xr:uid="{00000000-0006-0000-0300-0000C1060000}">
      <text>
        <r>
          <rPr>
            <sz val="10"/>
            <color rgb="FF000000"/>
            <rFont val="Arial"/>
            <scheme val="minor"/>
          </rPr>
          <t>Responder updated this value.</t>
        </r>
      </text>
    </comment>
    <comment ref="AE77" authorId="0" shapeId="0" xr:uid="{00000000-0006-0000-0300-0000C2060000}">
      <text>
        <r>
          <rPr>
            <sz val="10"/>
            <color rgb="FF000000"/>
            <rFont val="Arial"/>
            <scheme val="minor"/>
          </rPr>
          <t>Responder updated this value.</t>
        </r>
      </text>
    </comment>
    <comment ref="AH77" authorId="0" shapeId="0" xr:uid="{00000000-0006-0000-0300-0000C3060000}">
      <text>
        <r>
          <rPr>
            <sz val="10"/>
            <color rgb="FF000000"/>
            <rFont val="Arial"/>
            <scheme val="minor"/>
          </rPr>
          <t>Responder updated this value.</t>
        </r>
      </text>
    </comment>
    <comment ref="AI77" authorId="0" shapeId="0" xr:uid="{00000000-0006-0000-0300-0000C4060000}">
      <text>
        <r>
          <rPr>
            <sz val="10"/>
            <color rgb="FF000000"/>
            <rFont val="Arial"/>
            <scheme val="minor"/>
          </rPr>
          <t>Responder updated this value.</t>
        </r>
      </text>
    </comment>
    <comment ref="AJ77" authorId="0" shapeId="0" xr:uid="{00000000-0006-0000-0300-0000C5060000}">
      <text>
        <r>
          <rPr>
            <sz val="10"/>
            <color rgb="FF000000"/>
            <rFont val="Arial"/>
            <scheme val="minor"/>
          </rPr>
          <t>Responder updated this value.</t>
        </r>
      </text>
    </comment>
    <comment ref="AK77" authorId="0" shapeId="0" xr:uid="{00000000-0006-0000-0300-0000C6060000}">
      <text>
        <r>
          <rPr>
            <sz val="10"/>
            <color rgb="FF000000"/>
            <rFont val="Arial"/>
            <scheme val="minor"/>
          </rPr>
          <t>Responder updated this value.</t>
        </r>
      </text>
    </comment>
    <comment ref="AM77" authorId="0" shapeId="0" xr:uid="{00000000-0006-0000-0300-0000C7060000}">
      <text>
        <r>
          <rPr>
            <sz val="10"/>
            <color rgb="FF000000"/>
            <rFont val="Arial"/>
            <scheme val="minor"/>
          </rPr>
          <t>Responder updated this value.</t>
        </r>
      </text>
    </comment>
    <comment ref="AN77" authorId="0" shapeId="0" xr:uid="{00000000-0006-0000-0300-0000C8060000}">
      <text>
        <r>
          <rPr>
            <sz val="10"/>
            <color rgb="FF000000"/>
            <rFont val="Arial"/>
            <scheme val="minor"/>
          </rPr>
          <t>Responder updated this value.</t>
        </r>
      </text>
    </comment>
    <comment ref="AO77" authorId="0" shapeId="0" xr:uid="{00000000-0006-0000-0300-0000C9060000}">
      <text>
        <r>
          <rPr>
            <sz val="10"/>
            <color rgb="FF000000"/>
            <rFont val="Arial"/>
            <scheme val="minor"/>
          </rPr>
          <t>Responder updated this value.</t>
        </r>
      </text>
    </comment>
    <comment ref="AP77" authorId="0" shapeId="0" xr:uid="{00000000-0006-0000-0300-0000CA060000}">
      <text>
        <r>
          <rPr>
            <sz val="10"/>
            <color rgb="FF000000"/>
            <rFont val="Arial"/>
            <scheme val="minor"/>
          </rPr>
          <t>Responder updated this value.</t>
        </r>
      </text>
    </comment>
    <comment ref="AQ77" authorId="0" shapeId="0" xr:uid="{00000000-0006-0000-0300-0000CB060000}">
      <text>
        <r>
          <rPr>
            <sz val="10"/>
            <color rgb="FF000000"/>
            <rFont val="Arial"/>
            <scheme val="minor"/>
          </rPr>
          <t>Responder updated this value.</t>
        </r>
      </text>
    </comment>
    <comment ref="AU77" authorId="0" shapeId="0" xr:uid="{00000000-0006-0000-0300-0000CC060000}">
      <text>
        <r>
          <rPr>
            <sz val="10"/>
            <color rgb="FF000000"/>
            <rFont val="Arial"/>
            <scheme val="minor"/>
          </rPr>
          <t>Responder updated this value.</t>
        </r>
      </text>
    </comment>
    <comment ref="D78" authorId="0" shapeId="0" xr:uid="{00000000-0006-0000-0300-0000CD060000}">
      <text>
        <r>
          <rPr>
            <sz val="10"/>
            <color rgb="FF000000"/>
            <rFont val="Arial"/>
            <scheme val="minor"/>
          </rPr>
          <t>Responder updated this value.</t>
        </r>
      </text>
    </comment>
    <comment ref="F78" authorId="0" shapeId="0" xr:uid="{00000000-0006-0000-0300-0000CE060000}">
      <text>
        <r>
          <rPr>
            <sz val="10"/>
            <color rgb="FF000000"/>
            <rFont val="Arial"/>
            <scheme val="minor"/>
          </rPr>
          <t>Responder updated this value.</t>
        </r>
      </text>
    </comment>
    <comment ref="AC78" authorId="0" shapeId="0" xr:uid="{00000000-0006-0000-0300-0000CF060000}">
      <text>
        <r>
          <rPr>
            <sz val="10"/>
            <color rgb="FF000000"/>
            <rFont val="Arial"/>
            <scheme val="minor"/>
          </rPr>
          <t>Responder updated this value.</t>
        </r>
      </text>
    </comment>
    <comment ref="AE78" authorId="0" shapeId="0" xr:uid="{00000000-0006-0000-0300-0000D0060000}">
      <text>
        <r>
          <rPr>
            <sz val="10"/>
            <color rgb="FF000000"/>
            <rFont val="Arial"/>
            <scheme val="minor"/>
          </rPr>
          <t>Responder updated this value.</t>
        </r>
      </text>
    </comment>
    <comment ref="AH78" authorId="0" shapeId="0" xr:uid="{00000000-0006-0000-0300-0000D1060000}">
      <text>
        <r>
          <rPr>
            <sz val="10"/>
            <color rgb="FF000000"/>
            <rFont val="Arial"/>
            <scheme val="minor"/>
          </rPr>
          <t>Responder updated this value.</t>
        </r>
      </text>
    </comment>
    <comment ref="AI78" authorId="0" shapeId="0" xr:uid="{00000000-0006-0000-0300-0000D2060000}">
      <text>
        <r>
          <rPr>
            <sz val="10"/>
            <color rgb="FF000000"/>
            <rFont val="Arial"/>
            <scheme val="minor"/>
          </rPr>
          <t>Responder updated this value.</t>
        </r>
      </text>
    </comment>
    <comment ref="AK78" authorId="0" shapeId="0" xr:uid="{00000000-0006-0000-0300-0000D3060000}">
      <text>
        <r>
          <rPr>
            <sz val="10"/>
            <color rgb="FF000000"/>
            <rFont val="Arial"/>
            <scheme val="minor"/>
          </rPr>
          <t>Responder updated this value.</t>
        </r>
      </text>
    </comment>
    <comment ref="AL78" authorId="0" shapeId="0" xr:uid="{00000000-0006-0000-0300-0000D4060000}">
      <text>
        <r>
          <rPr>
            <sz val="10"/>
            <color rgb="FF000000"/>
            <rFont val="Arial"/>
            <scheme val="minor"/>
          </rPr>
          <t>Responder updated this value.</t>
        </r>
      </text>
    </comment>
    <comment ref="AM78" authorId="0" shapeId="0" xr:uid="{00000000-0006-0000-0300-0000D5060000}">
      <text>
        <r>
          <rPr>
            <sz val="10"/>
            <color rgb="FF000000"/>
            <rFont val="Arial"/>
            <scheme val="minor"/>
          </rPr>
          <t>Responder updated this value.</t>
        </r>
      </text>
    </comment>
    <comment ref="AN78" authorId="0" shapeId="0" xr:uid="{00000000-0006-0000-0300-0000D6060000}">
      <text>
        <r>
          <rPr>
            <sz val="10"/>
            <color rgb="FF000000"/>
            <rFont val="Arial"/>
            <scheme val="minor"/>
          </rPr>
          <t>Responder updated this value.</t>
        </r>
      </text>
    </comment>
    <comment ref="AO78" authorId="0" shapeId="0" xr:uid="{00000000-0006-0000-0300-0000D7060000}">
      <text>
        <r>
          <rPr>
            <sz val="10"/>
            <color rgb="FF000000"/>
            <rFont val="Arial"/>
            <scheme val="minor"/>
          </rPr>
          <t>Responder updated this value.</t>
        </r>
      </text>
    </comment>
    <comment ref="AP78" authorId="0" shapeId="0" xr:uid="{00000000-0006-0000-0300-0000D8060000}">
      <text>
        <r>
          <rPr>
            <sz val="10"/>
            <color rgb="FF000000"/>
            <rFont val="Arial"/>
            <scheme val="minor"/>
          </rPr>
          <t>Responder updated this value.</t>
        </r>
      </text>
    </comment>
    <comment ref="AQ78" authorId="0" shapeId="0" xr:uid="{00000000-0006-0000-0300-0000D9060000}">
      <text>
        <r>
          <rPr>
            <sz val="10"/>
            <color rgb="FF000000"/>
            <rFont val="Arial"/>
            <scheme val="minor"/>
          </rPr>
          <t>Responder updated this value.</t>
        </r>
      </text>
    </comment>
    <comment ref="AR78" authorId="0" shapeId="0" xr:uid="{00000000-0006-0000-0300-0000DA060000}">
      <text>
        <r>
          <rPr>
            <sz val="10"/>
            <color rgb="FF000000"/>
            <rFont val="Arial"/>
            <scheme val="minor"/>
          </rPr>
          <t>Responder updated this value.</t>
        </r>
      </text>
    </comment>
    <comment ref="AS78" authorId="0" shapeId="0" xr:uid="{00000000-0006-0000-0300-0000DB060000}">
      <text>
        <r>
          <rPr>
            <sz val="10"/>
            <color rgb="FF000000"/>
            <rFont val="Arial"/>
            <scheme val="minor"/>
          </rPr>
          <t>Responder updated this value.</t>
        </r>
      </text>
    </comment>
    <comment ref="AT78" authorId="0" shapeId="0" xr:uid="{00000000-0006-0000-0300-0000DC060000}">
      <text>
        <r>
          <rPr>
            <sz val="10"/>
            <color rgb="FF000000"/>
            <rFont val="Arial"/>
            <scheme val="minor"/>
          </rPr>
          <t>Responder updated this value.</t>
        </r>
      </text>
    </comment>
    <comment ref="AU78" authorId="0" shapeId="0" xr:uid="{00000000-0006-0000-0300-0000DD060000}">
      <text>
        <r>
          <rPr>
            <sz val="10"/>
            <color rgb="FF000000"/>
            <rFont val="Arial"/>
            <scheme val="minor"/>
          </rPr>
          <t>Responder updated this value.</t>
        </r>
      </text>
    </comment>
    <comment ref="D79" authorId="0" shapeId="0" xr:uid="{00000000-0006-0000-0300-0000DE060000}">
      <text>
        <r>
          <rPr>
            <sz val="10"/>
            <color rgb="FF000000"/>
            <rFont val="Arial"/>
            <scheme val="minor"/>
          </rPr>
          <t>Responder updated this value.</t>
        </r>
      </text>
    </comment>
    <comment ref="M79" authorId="0" shapeId="0" xr:uid="{00000000-0006-0000-0300-0000DF060000}">
      <text>
        <r>
          <rPr>
            <sz val="10"/>
            <color rgb="FF000000"/>
            <rFont val="Arial"/>
            <scheme val="minor"/>
          </rPr>
          <t>Responder updated this value.</t>
        </r>
      </text>
    </comment>
    <comment ref="N79" authorId="0" shapeId="0" xr:uid="{00000000-0006-0000-0300-0000E0060000}">
      <text>
        <r>
          <rPr>
            <sz val="10"/>
            <color rgb="FF000000"/>
            <rFont val="Arial"/>
            <scheme val="minor"/>
          </rPr>
          <t>Responder updated this value.</t>
        </r>
      </text>
    </comment>
    <comment ref="O79" authorId="0" shapeId="0" xr:uid="{00000000-0006-0000-0300-0000E1060000}">
      <text>
        <r>
          <rPr>
            <sz val="10"/>
            <color rgb="FF000000"/>
            <rFont val="Arial"/>
            <scheme val="minor"/>
          </rPr>
          <t>Responder updated this value.</t>
        </r>
      </text>
    </comment>
    <comment ref="P79" authorId="0" shapeId="0" xr:uid="{00000000-0006-0000-0300-0000E2060000}">
      <text>
        <r>
          <rPr>
            <sz val="10"/>
            <color rgb="FF000000"/>
            <rFont val="Arial"/>
            <scheme val="minor"/>
          </rPr>
          <t>Responder updated this value.</t>
        </r>
      </text>
    </comment>
    <comment ref="Q79" authorId="0" shapeId="0" xr:uid="{00000000-0006-0000-0300-0000E3060000}">
      <text>
        <r>
          <rPr>
            <sz val="10"/>
            <color rgb="FF000000"/>
            <rFont val="Arial"/>
            <scheme val="minor"/>
          </rPr>
          <t>Responder updated this value.</t>
        </r>
      </text>
    </comment>
    <comment ref="R79" authorId="0" shapeId="0" xr:uid="{00000000-0006-0000-0300-0000E4060000}">
      <text>
        <r>
          <rPr>
            <sz val="10"/>
            <color rgb="FF000000"/>
            <rFont val="Arial"/>
            <scheme val="minor"/>
          </rPr>
          <t>Responder updated this value.</t>
        </r>
      </text>
    </comment>
    <comment ref="S79" authorId="0" shapeId="0" xr:uid="{00000000-0006-0000-0300-0000E5060000}">
      <text>
        <r>
          <rPr>
            <sz val="10"/>
            <color rgb="FF000000"/>
            <rFont val="Arial"/>
            <scheme val="minor"/>
          </rPr>
          <t>Responder updated this value.</t>
        </r>
      </text>
    </comment>
    <comment ref="T79" authorId="0" shapeId="0" xr:uid="{00000000-0006-0000-0300-0000E6060000}">
      <text>
        <r>
          <rPr>
            <sz val="10"/>
            <color rgb="FF000000"/>
            <rFont val="Arial"/>
            <scheme val="minor"/>
          </rPr>
          <t>Responder updated this value.</t>
        </r>
      </text>
    </comment>
    <comment ref="V79" authorId="0" shapeId="0" xr:uid="{00000000-0006-0000-0300-0000E7060000}">
      <text>
        <r>
          <rPr>
            <sz val="10"/>
            <color rgb="FF000000"/>
            <rFont val="Arial"/>
            <scheme val="minor"/>
          </rPr>
          <t>Responder updated this value.</t>
        </r>
      </text>
    </comment>
    <comment ref="AC79" authorId="0" shapeId="0" xr:uid="{00000000-0006-0000-0300-0000E8060000}">
      <text>
        <r>
          <rPr>
            <sz val="10"/>
            <color rgb="FF000000"/>
            <rFont val="Arial"/>
            <scheme val="minor"/>
          </rPr>
          <t>Responder updated this value.</t>
        </r>
      </text>
    </comment>
    <comment ref="AD79" authorId="0" shapeId="0" xr:uid="{00000000-0006-0000-0300-0000E9060000}">
      <text>
        <r>
          <rPr>
            <sz val="10"/>
            <color rgb="FF000000"/>
            <rFont val="Arial"/>
            <scheme val="minor"/>
          </rPr>
          <t>Responder updated this value.</t>
        </r>
      </text>
    </comment>
    <comment ref="AE79" authorId="0" shapeId="0" xr:uid="{00000000-0006-0000-0300-0000EA060000}">
      <text>
        <r>
          <rPr>
            <sz val="10"/>
            <color rgb="FF000000"/>
            <rFont val="Arial"/>
            <scheme val="minor"/>
          </rPr>
          <t>Responder updated this value.</t>
        </r>
      </text>
    </comment>
    <comment ref="AK79" authorId="0" shapeId="0" xr:uid="{00000000-0006-0000-0300-0000EB060000}">
      <text>
        <r>
          <rPr>
            <sz val="10"/>
            <color rgb="FF000000"/>
            <rFont val="Arial"/>
            <scheme val="minor"/>
          </rPr>
          <t>Responder updated this value.</t>
        </r>
      </text>
    </comment>
    <comment ref="AL79" authorId="0" shapeId="0" xr:uid="{00000000-0006-0000-0300-0000EC060000}">
      <text>
        <r>
          <rPr>
            <sz val="10"/>
            <color rgb="FF000000"/>
            <rFont val="Arial"/>
            <scheme val="minor"/>
          </rPr>
          <t>Responder updated this value.</t>
        </r>
      </text>
    </comment>
    <comment ref="AM79" authorId="0" shapeId="0" xr:uid="{00000000-0006-0000-0300-0000ED060000}">
      <text>
        <r>
          <rPr>
            <sz val="10"/>
            <color rgb="FF000000"/>
            <rFont val="Arial"/>
            <scheme val="minor"/>
          </rPr>
          <t>Responder updated this value.</t>
        </r>
      </text>
    </comment>
    <comment ref="AN79" authorId="0" shapeId="0" xr:uid="{00000000-0006-0000-0300-0000EE060000}">
      <text>
        <r>
          <rPr>
            <sz val="10"/>
            <color rgb="FF000000"/>
            <rFont val="Arial"/>
            <scheme val="minor"/>
          </rPr>
          <t>Responder updated this value.</t>
        </r>
      </text>
    </comment>
    <comment ref="AO79" authorId="0" shapeId="0" xr:uid="{00000000-0006-0000-0300-0000EF060000}">
      <text>
        <r>
          <rPr>
            <sz val="10"/>
            <color rgb="FF000000"/>
            <rFont val="Arial"/>
            <scheme val="minor"/>
          </rPr>
          <t>Responder updated this value.</t>
        </r>
      </text>
    </comment>
    <comment ref="AP79" authorId="0" shapeId="0" xr:uid="{00000000-0006-0000-0300-0000F0060000}">
      <text>
        <r>
          <rPr>
            <sz val="10"/>
            <color rgb="FF000000"/>
            <rFont val="Arial"/>
            <scheme val="minor"/>
          </rPr>
          <t>Responder updated this value.</t>
        </r>
      </text>
    </comment>
    <comment ref="AQ79" authorId="0" shapeId="0" xr:uid="{00000000-0006-0000-0300-0000F1060000}">
      <text>
        <r>
          <rPr>
            <sz val="10"/>
            <color rgb="FF000000"/>
            <rFont val="Arial"/>
            <scheme val="minor"/>
          </rPr>
          <t>Responder updated this value.</t>
        </r>
      </text>
    </comment>
    <comment ref="AR79" authorId="0" shapeId="0" xr:uid="{00000000-0006-0000-0300-0000F2060000}">
      <text>
        <r>
          <rPr>
            <sz val="10"/>
            <color rgb="FF000000"/>
            <rFont val="Arial"/>
            <scheme val="minor"/>
          </rPr>
          <t>Responder updated this value.</t>
        </r>
      </text>
    </comment>
    <comment ref="AU79" authorId="0" shapeId="0" xr:uid="{00000000-0006-0000-0300-0000F3060000}">
      <text>
        <r>
          <rPr>
            <sz val="10"/>
            <color rgb="FF000000"/>
            <rFont val="Arial"/>
            <scheme val="minor"/>
          </rPr>
          <t>Responder updated this value.</t>
        </r>
      </text>
    </comment>
    <comment ref="D80" authorId="0" shapeId="0" xr:uid="{00000000-0006-0000-0300-0000F4060000}">
      <text>
        <r>
          <rPr>
            <sz val="10"/>
            <color rgb="FF000000"/>
            <rFont val="Arial"/>
            <scheme val="minor"/>
          </rPr>
          <t>Responder updated this value.</t>
        </r>
      </text>
    </comment>
    <comment ref="F80" authorId="0" shapeId="0" xr:uid="{00000000-0006-0000-0300-0000F5060000}">
      <text>
        <r>
          <rPr>
            <sz val="10"/>
            <color rgb="FF000000"/>
            <rFont val="Arial"/>
            <scheme val="minor"/>
          </rPr>
          <t>Responder updated this value.</t>
        </r>
      </text>
    </comment>
    <comment ref="H80" authorId="0" shapeId="0" xr:uid="{00000000-0006-0000-0300-0000F6060000}">
      <text>
        <r>
          <rPr>
            <sz val="10"/>
            <color rgb="FF000000"/>
            <rFont val="Arial"/>
            <scheme val="minor"/>
          </rPr>
          <t>Responder updated this value.</t>
        </r>
      </text>
    </comment>
    <comment ref="I80" authorId="0" shapeId="0" xr:uid="{00000000-0006-0000-0300-0000F7060000}">
      <text>
        <r>
          <rPr>
            <sz val="10"/>
            <color rgb="FF000000"/>
            <rFont val="Arial"/>
            <scheme val="minor"/>
          </rPr>
          <t>Responder updated this value.</t>
        </r>
      </text>
    </comment>
    <comment ref="J80" authorId="0" shapeId="0" xr:uid="{00000000-0006-0000-0300-0000F8060000}">
      <text>
        <r>
          <rPr>
            <sz val="10"/>
            <color rgb="FF000000"/>
            <rFont val="Arial"/>
            <scheme val="minor"/>
          </rPr>
          <t>Responder updated this value.</t>
        </r>
      </text>
    </comment>
    <comment ref="M80" authorId="0" shapeId="0" xr:uid="{00000000-0006-0000-0300-0000F9060000}">
      <text>
        <r>
          <rPr>
            <sz val="10"/>
            <color rgb="FF000000"/>
            <rFont val="Arial"/>
            <scheme val="minor"/>
          </rPr>
          <t>Responder updated this value.</t>
        </r>
      </text>
    </comment>
    <comment ref="N80" authorId="0" shapeId="0" xr:uid="{00000000-0006-0000-0300-0000FA060000}">
      <text>
        <r>
          <rPr>
            <sz val="10"/>
            <color rgb="FF000000"/>
            <rFont val="Arial"/>
            <scheme val="minor"/>
          </rPr>
          <t>Responder updated this value.</t>
        </r>
      </text>
    </comment>
    <comment ref="O80" authorId="0" shapeId="0" xr:uid="{00000000-0006-0000-0300-0000FB060000}">
      <text>
        <r>
          <rPr>
            <sz val="10"/>
            <color rgb="FF000000"/>
            <rFont val="Arial"/>
            <scheme val="minor"/>
          </rPr>
          <t>Responder updated this value.</t>
        </r>
      </text>
    </comment>
    <comment ref="P80" authorId="0" shapeId="0" xr:uid="{00000000-0006-0000-0300-0000FC060000}">
      <text>
        <r>
          <rPr>
            <sz val="10"/>
            <color rgb="FF000000"/>
            <rFont val="Arial"/>
            <scheme val="minor"/>
          </rPr>
          <t>Responder updated this value.</t>
        </r>
      </text>
    </comment>
    <comment ref="R80" authorId="0" shapeId="0" xr:uid="{00000000-0006-0000-0300-0000FD060000}">
      <text>
        <r>
          <rPr>
            <sz val="10"/>
            <color rgb="FF000000"/>
            <rFont val="Arial"/>
            <scheme val="minor"/>
          </rPr>
          <t>Responder updated this value.</t>
        </r>
      </text>
    </comment>
    <comment ref="S80" authorId="0" shapeId="0" xr:uid="{00000000-0006-0000-0300-0000FE060000}">
      <text>
        <r>
          <rPr>
            <sz val="10"/>
            <color rgb="FF000000"/>
            <rFont val="Arial"/>
            <scheme val="minor"/>
          </rPr>
          <t>Responder updated this value.</t>
        </r>
      </text>
    </comment>
    <comment ref="T80" authorId="0" shapeId="0" xr:uid="{00000000-0006-0000-0300-0000FF060000}">
      <text>
        <r>
          <rPr>
            <sz val="10"/>
            <color rgb="FF000000"/>
            <rFont val="Arial"/>
            <scheme val="minor"/>
          </rPr>
          <t>Responder updated this value.</t>
        </r>
      </text>
    </comment>
    <comment ref="V80" authorId="0" shapeId="0" xr:uid="{00000000-0006-0000-0300-000000070000}">
      <text>
        <r>
          <rPr>
            <sz val="10"/>
            <color rgb="FF000000"/>
            <rFont val="Arial"/>
            <scheme val="minor"/>
          </rPr>
          <t>Responder updated this value.</t>
        </r>
      </text>
    </comment>
    <comment ref="X80" authorId="0" shapeId="0" xr:uid="{00000000-0006-0000-0300-000001070000}">
      <text>
        <r>
          <rPr>
            <sz val="10"/>
            <color rgb="FF000000"/>
            <rFont val="Arial"/>
            <scheme val="minor"/>
          </rPr>
          <t>Responder updated this value.</t>
        </r>
      </text>
    </comment>
    <comment ref="AC80" authorId="0" shapeId="0" xr:uid="{00000000-0006-0000-0300-000002070000}">
      <text>
        <r>
          <rPr>
            <sz val="10"/>
            <color rgb="FF000000"/>
            <rFont val="Arial"/>
            <scheme val="minor"/>
          </rPr>
          <t>Responder updated this value.</t>
        </r>
      </text>
    </comment>
    <comment ref="AD80" authorId="0" shapeId="0" xr:uid="{00000000-0006-0000-0300-000003070000}">
      <text>
        <r>
          <rPr>
            <sz val="10"/>
            <color rgb="FF000000"/>
            <rFont val="Arial"/>
            <scheme val="minor"/>
          </rPr>
          <t>Responder updated this value.</t>
        </r>
      </text>
    </comment>
    <comment ref="AE80" authorId="0" shapeId="0" xr:uid="{00000000-0006-0000-0300-000004070000}">
      <text>
        <r>
          <rPr>
            <sz val="10"/>
            <color rgb="FF000000"/>
            <rFont val="Arial"/>
            <scheme val="minor"/>
          </rPr>
          <t>Responder updated this value.</t>
        </r>
      </text>
    </comment>
    <comment ref="AF80" authorId="0" shapeId="0" xr:uid="{00000000-0006-0000-0300-000005070000}">
      <text>
        <r>
          <rPr>
            <sz val="10"/>
            <color rgb="FF000000"/>
            <rFont val="Arial"/>
            <scheme val="minor"/>
          </rPr>
          <t>Responder updated this value.</t>
        </r>
      </text>
    </comment>
    <comment ref="AG80" authorId="0" shapeId="0" xr:uid="{00000000-0006-0000-0300-000006070000}">
      <text>
        <r>
          <rPr>
            <sz val="10"/>
            <color rgb="FF000000"/>
            <rFont val="Arial"/>
            <scheme val="minor"/>
          </rPr>
          <t>Responder updated this value.</t>
        </r>
      </text>
    </comment>
    <comment ref="AH80" authorId="0" shapeId="0" xr:uid="{00000000-0006-0000-0300-000007070000}">
      <text>
        <r>
          <rPr>
            <sz val="10"/>
            <color rgb="FF000000"/>
            <rFont val="Arial"/>
            <scheme val="minor"/>
          </rPr>
          <t>Responder updated this value.</t>
        </r>
      </text>
    </comment>
    <comment ref="AK80" authorId="0" shapeId="0" xr:uid="{00000000-0006-0000-0300-000008070000}">
      <text>
        <r>
          <rPr>
            <sz val="10"/>
            <color rgb="FF000000"/>
            <rFont val="Arial"/>
            <scheme val="minor"/>
          </rPr>
          <t>Responder updated this value.</t>
        </r>
      </text>
    </comment>
    <comment ref="AL80" authorId="0" shapeId="0" xr:uid="{00000000-0006-0000-0300-000009070000}">
      <text>
        <r>
          <rPr>
            <sz val="10"/>
            <color rgb="FF000000"/>
            <rFont val="Arial"/>
            <scheme val="minor"/>
          </rPr>
          <t>Responder updated this value.</t>
        </r>
      </text>
    </comment>
    <comment ref="AM80" authorId="0" shapeId="0" xr:uid="{00000000-0006-0000-0300-00000A070000}">
      <text>
        <r>
          <rPr>
            <sz val="10"/>
            <color rgb="FF000000"/>
            <rFont val="Arial"/>
            <scheme val="minor"/>
          </rPr>
          <t>Responder updated this value.</t>
        </r>
      </text>
    </comment>
    <comment ref="AN80" authorId="0" shapeId="0" xr:uid="{00000000-0006-0000-0300-00000B070000}">
      <text>
        <r>
          <rPr>
            <sz val="10"/>
            <color rgb="FF000000"/>
            <rFont val="Arial"/>
            <scheme val="minor"/>
          </rPr>
          <t>Responder updated this value.</t>
        </r>
      </text>
    </comment>
    <comment ref="AO80" authorId="0" shapeId="0" xr:uid="{00000000-0006-0000-0300-00000C070000}">
      <text>
        <r>
          <rPr>
            <sz val="10"/>
            <color rgb="FF000000"/>
            <rFont val="Arial"/>
            <scheme val="minor"/>
          </rPr>
          <t>Responder updated this value.</t>
        </r>
      </text>
    </comment>
    <comment ref="AP80" authorId="0" shapeId="0" xr:uid="{00000000-0006-0000-0300-00000D070000}">
      <text>
        <r>
          <rPr>
            <sz val="10"/>
            <color rgb="FF000000"/>
            <rFont val="Arial"/>
            <scheme val="minor"/>
          </rPr>
          <t>Responder updated this value.</t>
        </r>
      </text>
    </comment>
    <comment ref="AQ80" authorId="0" shapeId="0" xr:uid="{00000000-0006-0000-0300-00000E070000}">
      <text>
        <r>
          <rPr>
            <sz val="10"/>
            <color rgb="FF000000"/>
            <rFont val="Arial"/>
            <scheme val="minor"/>
          </rPr>
          <t>Responder updated this value.</t>
        </r>
      </text>
    </comment>
    <comment ref="AR80" authorId="0" shapeId="0" xr:uid="{00000000-0006-0000-0300-00000F070000}">
      <text>
        <r>
          <rPr>
            <sz val="10"/>
            <color rgb="FF000000"/>
            <rFont val="Arial"/>
            <scheme val="minor"/>
          </rPr>
          <t>Responder updated this value.</t>
        </r>
      </text>
    </comment>
    <comment ref="AU80" authorId="0" shapeId="0" xr:uid="{00000000-0006-0000-0300-000010070000}">
      <text>
        <r>
          <rPr>
            <sz val="10"/>
            <color rgb="FF000000"/>
            <rFont val="Arial"/>
            <scheme val="minor"/>
          </rPr>
          <t>Responder updated this value.</t>
        </r>
      </text>
    </comment>
    <comment ref="D81" authorId="0" shapeId="0" xr:uid="{00000000-0006-0000-0300-000011070000}">
      <text>
        <r>
          <rPr>
            <sz val="10"/>
            <color rgb="FF000000"/>
            <rFont val="Arial"/>
            <scheme val="minor"/>
          </rPr>
          <t>Responder updated this value.</t>
        </r>
      </text>
    </comment>
    <comment ref="F81" authorId="0" shapeId="0" xr:uid="{00000000-0006-0000-0300-000012070000}">
      <text>
        <r>
          <rPr>
            <sz val="10"/>
            <color rgb="FF000000"/>
            <rFont val="Arial"/>
            <scheme val="minor"/>
          </rPr>
          <t>Responder updated this value.</t>
        </r>
      </text>
    </comment>
    <comment ref="N81" authorId="0" shapeId="0" xr:uid="{00000000-0006-0000-0300-000013070000}">
      <text>
        <r>
          <rPr>
            <sz val="10"/>
            <color rgb="FF000000"/>
            <rFont val="Arial"/>
            <scheme val="minor"/>
          </rPr>
          <t>Responder updated this value.</t>
        </r>
      </text>
    </comment>
    <comment ref="O81" authorId="0" shapeId="0" xr:uid="{00000000-0006-0000-0300-000014070000}">
      <text>
        <r>
          <rPr>
            <sz val="10"/>
            <color rgb="FF000000"/>
            <rFont val="Arial"/>
            <scheme val="minor"/>
          </rPr>
          <t>Responder updated this value.</t>
        </r>
      </text>
    </comment>
    <comment ref="P81" authorId="0" shapeId="0" xr:uid="{00000000-0006-0000-0300-000015070000}">
      <text>
        <r>
          <rPr>
            <sz val="10"/>
            <color rgb="FF000000"/>
            <rFont val="Arial"/>
            <scheme val="minor"/>
          </rPr>
          <t>Responder updated this value.</t>
        </r>
      </text>
    </comment>
    <comment ref="Q81" authorId="0" shapeId="0" xr:uid="{00000000-0006-0000-0300-000016070000}">
      <text>
        <r>
          <rPr>
            <sz val="10"/>
            <color rgb="FF000000"/>
            <rFont val="Arial"/>
            <scheme val="minor"/>
          </rPr>
          <t>Responder updated this value.</t>
        </r>
      </text>
    </comment>
    <comment ref="R81" authorId="0" shapeId="0" xr:uid="{00000000-0006-0000-0300-000017070000}">
      <text>
        <r>
          <rPr>
            <sz val="10"/>
            <color rgb="FF000000"/>
            <rFont val="Arial"/>
            <scheme val="minor"/>
          </rPr>
          <t>Responder updated this value.</t>
        </r>
      </text>
    </comment>
    <comment ref="S81" authorId="0" shapeId="0" xr:uid="{00000000-0006-0000-0300-000018070000}">
      <text>
        <r>
          <rPr>
            <sz val="10"/>
            <color rgb="FF000000"/>
            <rFont val="Arial"/>
            <scheme val="minor"/>
          </rPr>
          <t>Responder updated this value.</t>
        </r>
      </text>
    </comment>
    <comment ref="T81" authorId="0" shapeId="0" xr:uid="{00000000-0006-0000-0300-000019070000}">
      <text>
        <r>
          <rPr>
            <sz val="10"/>
            <color rgb="FF000000"/>
            <rFont val="Arial"/>
            <scheme val="minor"/>
          </rPr>
          <t>Responder updated this value.</t>
        </r>
      </text>
    </comment>
    <comment ref="V81" authorId="0" shapeId="0" xr:uid="{00000000-0006-0000-0300-00001A070000}">
      <text>
        <r>
          <rPr>
            <sz val="10"/>
            <color rgb="FF000000"/>
            <rFont val="Arial"/>
            <scheme val="minor"/>
          </rPr>
          <t>Responder updated this value.</t>
        </r>
      </text>
    </comment>
    <comment ref="Z81" authorId="0" shapeId="0" xr:uid="{00000000-0006-0000-0300-00001B070000}">
      <text>
        <r>
          <rPr>
            <sz val="10"/>
            <color rgb="FF000000"/>
            <rFont val="Arial"/>
            <scheme val="minor"/>
          </rPr>
          <t>Responder updated this value.</t>
        </r>
      </text>
    </comment>
    <comment ref="AC81" authorId="0" shapeId="0" xr:uid="{00000000-0006-0000-0300-00001C070000}">
      <text>
        <r>
          <rPr>
            <sz val="10"/>
            <color rgb="FF000000"/>
            <rFont val="Arial"/>
            <scheme val="minor"/>
          </rPr>
          <t>Responder updated this value.</t>
        </r>
      </text>
    </comment>
    <comment ref="AD81" authorId="0" shapeId="0" xr:uid="{00000000-0006-0000-0300-00001D070000}">
      <text>
        <r>
          <rPr>
            <sz val="10"/>
            <color rgb="FF000000"/>
            <rFont val="Arial"/>
            <scheme val="minor"/>
          </rPr>
          <t>Responder updated this value.</t>
        </r>
      </text>
    </comment>
    <comment ref="AE81" authorId="0" shapeId="0" xr:uid="{00000000-0006-0000-0300-00001E070000}">
      <text>
        <r>
          <rPr>
            <sz val="10"/>
            <color rgb="FF000000"/>
            <rFont val="Arial"/>
            <scheme val="minor"/>
          </rPr>
          <t>Responder updated this value.</t>
        </r>
      </text>
    </comment>
    <comment ref="AF81" authorId="0" shapeId="0" xr:uid="{00000000-0006-0000-0300-00001F070000}">
      <text>
        <r>
          <rPr>
            <sz val="10"/>
            <color rgb="FF000000"/>
            <rFont val="Arial"/>
            <scheme val="minor"/>
          </rPr>
          <t>Responder updated this value.</t>
        </r>
      </text>
    </comment>
    <comment ref="AG81" authorId="0" shapeId="0" xr:uid="{00000000-0006-0000-0300-000020070000}">
      <text>
        <r>
          <rPr>
            <sz val="10"/>
            <color rgb="FF000000"/>
            <rFont val="Arial"/>
            <scheme val="minor"/>
          </rPr>
          <t>Responder updated this value.</t>
        </r>
      </text>
    </comment>
    <comment ref="AH81" authorId="0" shapeId="0" xr:uid="{00000000-0006-0000-0300-000021070000}">
      <text>
        <r>
          <rPr>
            <sz val="10"/>
            <color rgb="FF000000"/>
            <rFont val="Arial"/>
            <scheme val="minor"/>
          </rPr>
          <t>Responder updated this value.</t>
        </r>
      </text>
    </comment>
    <comment ref="AI81" authorId="0" shapeId="0" xr:uid="{00000000-0006-0000-0300-000022070000}">
      <text>
        <r>
          <rPr>
            <sz val="10"/>
            <color rgb="FF000000"/>
            <rFont val="Arial"/>
            <scheme val="minor"/>
          </rPr>
          <t>Responder updated this value.</t>
        </r>
      </text>
    </comment>
    <comment ref="AK81" authorId="0" shapeId="0" xr:uid="{00000000-0006-0000-0300-000023070000}">
      <text>
        <r>
          <rPr>
            <sz val="10"/>
            <color rgb="FF000000"/>
            <rFont val="Arial"/>
            <scheme val="minor"/>
          </rPr>
          <t>Responder updated this value.</t>
        </r>
      </text>
    </comment>
    <comment ref="AL81" authorId="0" shapeId="0" xr:uid="{00000000-0006-0000-0300-000024070000}">
      <text>
        <r>
          <rPr>
            <sz val="10"/>
            <color rgb="FF000000"/>
            <rFont val="Arial"/>
            <scheme val="minor"/>
          </rPr>
          <t>Responder updated this value.</t>
        </r>
      </text>
    </comment>
    <comment ref="AM81" authorId="0" shapeId="0" xr:uid="{00000000-0006-0000-0300-000025070000}">
      <text>
        <r>
          <rPr>
            <sz val="10"/>
            <color rgb="FF000000"/>
            <rFont val="Arial"/>
            <scheme val="minor"/>
          </rPr>
          <t>Responder updated this value.</t>
        </r>
      </text>
    </comment>
    <comment ref="AN81" authorId="0" shapeId="0" xr:uid="{00000000-0006-0000-0300-000026070000}">
      <text>
        <r>
          <rPr>
            <sz val="10"/>
            <color rgb="FF000000"/>
            <rFont val="Arial"/>
            <scheme val="minor"/>
          </rPr>
          <t>Responder updated this value.</t>
        </r>
      </text>
    </comment>
    <comment ref="AO81" authorId="0" shapeId="0" xr:uid="{00000000-0006-0000-0300-000027070000}">
      <text>
        <r>
          <rPr>
            <sz val="10"/>
            <color rgb="FF000000"/>
            <rFont val="Arial"/>
            <scheme val="minor"/>
          </rPr>
          <t>Responder updated this value.</t>
        </r>
      </text>
    </comment>
    <comment ref="AP81" authorId="0" shapeId="0" xr:uid="{00000000-0006-0000-0300-000028070000}">
      <text>
        <r>
          <rPr>
            <sz val="10"/>
            <color rgb="FF000000"/>
            <rFont val="Arial"/>
            <scheme val="minor"/>
          </rPr>
          <t>Responder updated this value.</t>
        </r>
      </text>
    </comment>
    <comment ref="AQ81" authorId="0" shapeId="0" xr:uid="{00000000-0006-0000-0300-000029070000}">
      <text>
        <r>
          <rPr>
            <sz val="10"/>
            <color rgb="FF000000"/>
            <rFont val="Arial"/>
            <scheme val="minor"/>
          </rPr>
          <t>Responder updated this value.</t>
        </r>
      </text>
    </comment>
    <comment ref="AR81" authorId="0" shapeId="0" xr:uid="{00000000-0006-0000-0300-00002A070000}">
      <text>
        <r>
          <rPr>
            <sz val="10"/>
            <color rgb="FF000000"/>
            <rFont val="Arial"/>
            <scheme val="minor"/>
          </rPr>
          <t>Responder updated this value.</t>
        </r>
      </text>
    </comment>
    <comment ref="AS81" authorId="0" shapeId="0" xr:uid="{00000000-0006-0000-0300-00002B070000}">
      <text>
        <r>
          <rPr>
            <sz val="10"/>
            <color rgb="FF000000"/>
            <rFont val="Arial"/>
            <scheme val="minor"/>
          </rPr>
          <t>Responder updated this value.</t>
        </r>
      </text>
    </comment>
    <comment ref="AU81" authorId="0" shapeId="0" xr:uid="{00000000-0006-0000-0300-00002C070000}">
      <text>
        <r>
          <rPr>
            <sz val="10"/>
            <color rgb="FF000000"/>
            <rFont val="Arial"/>
            <scheme val="minor"/>
          </rPr>
          <t>Responder updated this value.</t>
        </r>
      </text>
    </comment>
    <comment ref="D82" authorId="0" shapeId="0" xr:uid="{00000000-0006-0000-0300-00002D070000}">
      <text>
        <r>
          <rPr>
            <sz val="10"/>
            <color rgb="FF000000"/>
            <rFont val="Arial"/>
            <scheme val="minor"/>
          </rPr>
          <t>Responder updated this value.</t>
        </r>
      </text>
    </comment>
    <comment ref="F82" authorId="0" shapeId="0" xr:uid="{00000000-0006-0000-0300-00002E070000}">
      <text>
        <r>
          <rPr>
            <sz val="10"/>
            <color rgb="FF000000"/>
            <rFont val="Arial"/>
            <scheme val="minor"/>
          </rPr>
          <t>Responder updated this value.</t>
        </r>
      </text>
    </comment>
    <comment ref="N82" authorId="0" shapeId="0" xr:uid="{00000000-0006-0000-0300-00002F070000}">
      <text>
        <r>
          <rPr>
            <sz val="10"/>
            <color rgb="FF000000"/>
            <rFont val="Arial"/>
            <scheme val="minor"/>
          </rPr>
          <t>Responder updated this value.</t>
        </r>
      </text>
    </comment>
    <comment ref="AC82" authorId="0" shapeId="0" xr:uid="{00000000-0006-0000-0300-000030070000}">
      <text>
        <r>
          <rPr>
            <sz val="10"/>
            <color rgb="FF000000"/>
            <rFont val="Arial"/>
            <scheme val="minor"/>
          </rPr>
          <t>Responder updated this value.</t>
        </r>
      </text>
    </comment>
    <comment ref="AD82" authorId="0" shapeId="0" xr:uid="{00000000-0006-0000-0300-000031070000}">
      <text>
        <r>
          <rPr>
            <sz val="10"/>
            <color rgb="FF000000"/>
            <rFont val="Arial"/>
            <scheme val="minor"/>
          </rPr>
          <t>Responder updated this value.</t>
        </r>
      </text>
    </comment>
    <comment ref="AE82" authorId="0" shapeId="0" xr:uid="{00000000-0006-0000-0300-000032070000}">
      <text>
        <r>
          <rPr>
            <sz val="10"/>
            <color rgb="FF000000"/>
            <rFont val="Arial"/>
            <scheme val="minor"/>
          </rPr>
          <t>Responder updated this value.</t>
        </r>
      </text>
    </comment>
    <comment ref="AI82" authorId="0" shapeId="0" xr:uid="{00000000-0006-0000-0300-000033070000}">
      <text>
        <r>
          <rPr>
            <sz val="10"/>
            <color rgb="FF000000"/>
            <rFont val="Arial"/>
            <scheme val="minor"/>
          </rPr>
          <t>Responder updated this value.</t>
        </r>
      </text>
    </comment>
    <comment ref="AJ82" authorId="0" shapeId="0" xr:uid="{00000000-0006-0000-0300-000034070000}">
      <text>
        <r>
          <rPr>
            <sz val="10"/>
            <color rgb="FF000000"/>
            <rFont val="Arial"/>
            <scheme val="minor"/>
          </rPr>
          <t>Responder updated this value.</t>
        </r>
      </text>
    </comment>
    <comment ref="AK82" authorId="0" shapeId="0" xr:uid="{00000000-0006-0000-0300-000035070000}">
      <text>
        <r>
          <rPr>
            <sz val="10"/>
            <color rgb="FF000000"/>
            <rFont val="Arial"/>
            <scheme val="minor"/>
          </rPr>
          <t>Responder updated this value.</t>
        </r>
      </text>
    </comment>
    <comment ref="AL82" authorId="0" shapeId="0" xr:uid="{00000000-0006-0000-0300-000036070000}">
      <text>
        <r>
          <rPr>
            <sz val="10"/>
            <color rgb="FF000000"/>
            <rFont val="Arial"/>
            <scheme val="minor"/>
          </rPr>
          <t>Responder updated this value.</t>
        </r>
      </text>
    </comment>
    <comment ref="AN82" authorId="0" shapeId="0" xr:uid="{00000000-0006-0000-0300-000037070000}">
      <text>
        <r>
          <rPr>
            <sz val="10"/>
            <color rgb="FF000000"/>
            <rFont val="Arial"/>
            <scheme val="minor"/>
          </rPr>
          <t>Responder updated this value.</t>
        </r>
      </text>
    </comment>
    <comment ref="AO82" authorId="0" shapeId="0" xr:uid="{00000000-0006-0000-0300-000038070000}">
      <text>
        <r>
          <rPr>
            <sz val="10"/>
            <color rgb="FF000000"/>
            <rFont val="Arial"/>
            <scheme val="minor"/>
          </rPr>
          <t>Responder updated this value.</t>
        </r>
      </text>
    </comment>
    <comment ref="AU82" authorId="0" shapeId="0" xr:uid="{00000000-0006-0000-0300-000039070000}">
      <text>
        <r>
          <rPr>
            <sz val="10"/>
            <color rgb="FF000000"/>
            <rFont val="Arial"/>
            <scheme val="minor"/>
          </rPr>
          <t>Responder updated this value.</t>
        </r>
      </text>
    </comment>
    <comment ref="D83" authorId="0" shapeId="0" xr:uid="{00000000-0006-0000-0300-00003A070000}">
      <text>
        <r>
          <rPr>
            <sz val="10"/>
            <color rgb="FF000000"/>
            <rFont val="Arial"/>
            <scheme val="minor"/>
          </rPr>
          <t>Responder updated this value.</t>
        </r>
      </text>
    </comment>
    <comment ref="N83" authorId="0" shapeId="0" xr:uid="{00000000-0006-0000-0300-00003B070000}">
      <text>
        <r>
          <rPr>
            <sz val="10"/>
            <color rgb="FF000000"/>
            <rFont val="Arial"/>
            <scheme val="minor"/>
          </rPr>
          <t>Responder updated this value.</t>
        </r>
      </text>
    </comment>
    <comment ref="O83" authorId="0" shapeId="0" xr:uid="{00000000-0006-0000-0300-00003C070000}">
      <text>
        <r>
          <rPr>
            <sz val="10"/>
            <color rgb="FF000000"/>
            <rFont val="Arial"/>
            <scheme val="minor"/>
          </rPr>
          <t>Responder updated this value.</t>
        </r>
      </text>
    </comment>
    <comment ref="P83" authorId="0" shapeId="0" xr:uid="{00000000-0006-0000-0300-00003D070000}">
      <text>
        <r>
          <rPr>
            <sz val="10"/>
            <color rgb="FF000000"/>
            <rFont val="Arial"/>
            <scheme val="minor"/>
          </rPr>
          <t>Responder updated this value.</t>
        </r>
      </text>
    </comment>
    <comment ref="Q83" authorId="0" shapeId="0" xr:uid="{00000000-0006-0000-0300-00003E070000}">
      <text>
        <r>
          <rPr>
            <sz val="10"/>
            <color rgb="FF000000"/>
            <rFont val="Arial"/>
            <scheme val="minor"/>
          </rPr>
          <t>Responder updated this value.</t>
        </r>
      </text>
    </comment>
    <comment ref="R83" authorId="0" shapeId="0" xr:uid="{00000000-0006-0000-0300-00003F070000}">
      <text>
        <r>
          <rPr>
            <sz val="10"/>
            <color rgb="FF000000"/>
            <rFont val="Arial"/>
            <scheme val="minor"/>
          </rPr>
          <t>Responder updated this value.</t>
        </r>
      </text>
    </comment>
    <comment ref="S83" authorId="0" shapeId="0" xr:uid="{00000000-0006-0000-0300-000040070000}">
      <text>
        <r>
          <rPr>
            <sz val="10"/>
            <color rgb="FF000000"/>
            <rFont val="Arial"/>
            <scheme val="minor"/>
          </rPr>
          <t>Responder updated this value.</t>
        </r>
      </text>
    </comment>
    <comment ref="T83" authorId="0" shapeId="0" xr:uid="{00000000-0006-0000-0300-000041070000}">
      <text>
        <r>
          <rPr>
            <sz val="10"/>
            <color rgb="FF000000"/>
            <rFont val="Arial"/>
            <scheme val="minor"/>
          </rPr>
          <t>Responder updated this value.</t>
        </r>
      </text>
    </comment>
    <comment ref="V83" authorId="0" shapeId="0" xr:uid="{00000000-0006-0000-0300-000042070000}">
      <text>
        <r>
          <rPr>
            <sz val="10"/>
            <color rgb="FF000000"/>
            <rFont val="Arial"/>
            <scheme val="minor"/>
          </rPr>
          <t>Responder updated this value.</t>
        </r>
      </text>
    </comment>
    <comment ref="Z83" authorId="0" shapeId="0" xr:uid="{00000000-0006-0000-0300-000043070000}">
      <text>
        <r>
          <rPr>
            <sz val="10"/>
            <color rgb="FF000000"/>
            <rFont val="Arial"/>
            <scheme val="minor"/>
          </rPr>
          <t>Responder updated this value.</t>
        </r>
      </text>
    </comment>
    <comment ref="AC83" authorId="0" shapeId="0" xr:uid="{00000000-0006-0000-0300-000044070000}">
      <text>
        <r>
          <rPr>
            <sz val="10"/>
            <color rgb="FF000000"/>
            <rFont val="Arial"/>
            <scheme val="minor"/>
          </rPr>
          <t>Responder updated this value.</t>
        </r>
      </text>
    </comment>
    <comment ref="AD83" authorId="0" shapeId="0" xr:uid="{00000000-0006-0000-0300-000045070000}">
      <text>
        <r>
          <rPr>
            <sz val="10"/>
            <color rgb="FF000000"/>
            <rFont val="Arial"/>
            <scheme val="minor"/>
          </rPr>
          <t>Responder updated this value.</t>
        </r>
      </text>
    </comment>
    <comment ref="AE83" authorId="0" shapeId="0" xr:uid="{00000000-0006-0000-0300-000046070000}">
      <text>
        <r>
          <rPr>
            <sz val="10"/>
            <color rgb="FF000000"/>
            <rFont val="Arial"/>
            <scheme val="minor"/>
          </rPr>
          <t>Responder updated this value.</t>
        </r>
      </text>
    </comment>
    <comment ref="D84" authorId="0" shapeId="0" xr:uid="{00000000-0006-0000-0300-000047070000}">
      <text>
        <r>
          <rPr>
            <sz val="10"/>
            <color rgb="FF000000"/>
            <rFont val="Arial"/>
            <scheme val="minor"/>
          </rPr>
          <t>Responder updated this value.</t>
        </r>
      </text>
    </comment>
    <comment ref="N84" authorId="0" shapeId="0" xr:uid="{00000000-0006-0000-0300-000048070000}">
      <text>
        <r>
          <rPr>
            <sz val="10"/>
            <color rgb="FF000000"/>
            <rFont val="Arial"/>
            <scheme val="minor"/>
          </rPr>
          <t>Responder updated this value.</t>
        </r>
      </text>
    </comment>
    <comment ref="O84" authorId="0" shapeId="0" xr:uid="{00000000-0006-0000-0300-000049070000}">
      <text>
        <r>
          <rPr>
            <sz val="10"/>
            <color rgb="FF000000"/>
            <rFont val="Arial"/>
            <scheme val="minor"/>
          </rPr>
          <t>Responder updated this value.</t>
        </r>
      </text>
    </comment>
    <comment ref="P84" authorId="0" shapeId="0" xr:uid="{00000000-0006-0000-0300-00004A070000}">
      <text>
        <r>
          <rPr>
            <sz val="10"/>
            <color rgb="FF000000"/>
            <rFont val="Arial"/>
            <scheme val="minor"/>
          </rPr>
          <t>Responder updated this value.</t>
        </r>
      </text>
    </comment>
    <comment ref="Q84" authorId="0" shapeId="0" xr:uid="{00000000-0006-0000-0300-00004B070000}">
      <text>
        <r>
          <rPr>
            <sz val="10"/>
            <color rgb="FF000000"/>
            <rFont val="Arial"/>
            <scheme val="minor"/>
          </rPr>
          <t>Responder updated this value.</t>
        </r>
      </text>
    </comment>
    <comment ref="R84" authorId="0" shapeId="0" xr:uid="{00000000-0006-0000-0300-00004C070000}">
      <text>
        <r>
          <rPr>
            <sz val="10"/>
            <color rgb="FF000000"/>
            <rFont val="Arial"/>
            <scheme val="minor"/>
          </rPr>
          <t>Responder updated this value.</t>
        </r>
      </text>
    </comment>
    <comment ref="S84" authorId="0" shapeId="0" xr:uid="{00000000-0006-0000-0300-00004D070000}">
      <text>
        <r>
          <rPr>
            <sz val="10"/>
            <color rgb="FF000000"/>
            <rFont val="Arial"/>
            <scheme val="minor"/>
          </rPr>
          <t>Responder updated this value.</t>
        </r>
      </text>
    </comment>
    <comment ref="T84" authorId="0" shapeId="0" xr:uid="{00000000-0006-0000-0300-00004E070000}">
      <text>
        <r>
          <rPr>
            <sz val="10"/>
            <color rgb="FF000000"/>
            <rFont val="Arial"/>
            <scheme val="minor"/>
          </rPr>
          <t>Responder updated this value.</t>
        </r>
      </text>
    </comment>
    <comment ref="V84" authorId="0" shapeId="0" xr:uid="{00000000-0006-0000-0300-00004F070000}">
      <text>
        <r>
          <rPr>
            <sz val="10"/>
            <color rgb="FF000000"/>
            <rFont val="Arial"/>
            <scheme val="minor"/>
          </rPr>
          <t>Responder updated this value.</t>
        </r>
      </text>
    </comment>
    <comment ref="Z84" authorId="0" shapeId="0" xr:uid="{00000000-0006-0000-0300-000050070000}">
      <text>
        <r>
          <rPr>
            <sz val="10"/>
            <color rgb="FF000000"/>
            <rFont val="Arial"/>
            <scheme val="minor"/>
          </rPr>
          <t>Responder updated this value.</t>
        </r>
      </text>
    </comment>
    <comment ref="AC84" authorId="0" shapeId="0" xr:uid="{00000000-0006-0000-0300-000051070000}">
      <text>
        <r>
          <rPr>
            <sz val="10"/>
            <color rgb="FF000000"/>
            <rFont val="Arial"/>
            <scheme val="minor"/>
          </rPr>
          <t>Responder updated this value.</t>
        </r>
      </text>
    </comment>
    <comment ref="AD84" authorId="0" shapeId="0" xr:uid="{00000000-0006-0000-0300-000052070000}">
      <text>
        <r>
          <rPr>
            <sz val="10"/>
            <color rgb="FF000000"/>
            <rFont val="Arial"/>
            <scheme val="minor"/>
          </rPr>
          <t>Responder updated this value.</t>
        </r>
      </text>
    </comment>
    <comment ref="AE84" authorId="0" shapeId="0" xr:uid="{00000000-0006-0000-0300-000053070000}">
      <text>
        <r>
          <rPr>
            <sz val="10"/>
            <color rgb="FF000000"/>
            <rFont val="Arial"/>
            <scheme val="minor"/>
          </rPr>
          <t>Responder updated this value.</t>
        </r>
      </text>
    </comment>
    <comment ref="AF84" authorId="0" shapeId="0" xr:uid="{00000000-0006-0000-0300-000054070000}">
      <text>
        <r>
          <rPr>
            <sz val="10"/>
            <color rgb="FF000000"/>
            <rFont val="Arial"/>
            <scheme val="minor"/>
          </rPr>
          <t>Responder updated this value.</t>
        </r>
      </text>
    </comment>
    <comment ref="AG84" authorId="0" shapeId="0" xr:uid="{00000000-0006-0000-0300-000055070000}">
      <text>
        <r>
          <rPr>
            <sz val="10"/>
            <color rgb="FF000000"/>
            <rFont val="Arial"/>
            <scheme val="minor"/>
          </rPr>
          <t>Responder updated this value.</t>
        </r>
      </text>
    </comment>
    <comment ref="AH84" authorId="0" shapeId="0" xr:uid="{00000000-0006-0000-0300-000056070000}">
      <text>
        <r>
          <rPr>
            <sz val="10"/>
            <color rgb="FF000000"/>
            <rFont val="Arial"/>
            <scheme val="minor"/>
          </rPr>
          <t>Responder updated this value.</t>
        </r>
      </text>
    </comment>
    <comment ref="AK84" authorId="0" shapeId="0" xr:uid="{00000000-0006-0000-0300-000057070000}">
      <text>
        <r>
          <rPr>
            <sz val="10"/>
            <color rgb="FF000000"/>
            <rFont val="Arial"/>
            <scheme val="minor"/>
          </rPr>
          <t>Responder updated this value.</t>
        </r>
      </text>
    </comment>
    <comment ref="AL84" authorId="0" shapeId="0" xr:uid="{00000000-0006-0000-0300-000058070000}">
      <text>
        <r>
          <rPr>
            <sz val="10"/>
            <color rgb="FF000000"/>
            <rFont val="Arial"/>
            <scheme val="minor"/>
          </rPr>
          <t>Responder updated this value.</t>
        </r>
      </text>
    </comment>
    <comment ref="AM84" authorId="0" shapeId="0" xr:uid="{00000000-0006-0000-0300-000059070000}">
      <text>
        <r>
          <rPr>
            <sz val="10"/>
            <color rgb="FF000000"/>
            <rFont val="Arial"/>
            <scheme val="minor"/>
          </rPr>
          <t>Responder updated this value.</t>
        </r>
      </text>
    </comment>
    <comment ref="AN84" authorId="0" shapeId="0" xr:uid="{00000000-0006-0000-0300-00005A070000}">
      <text>
        <r>
          <rPr>
            <sz val="10"/>
            <color rgb="FF000000"/>
            <rFont val="Arial"/>
            <scheme val="minor"/>
          </rPr>
          <t>Responder updated this value.</t>
        </r>
      </text>
    </comment>
    <comment ref="AO84" authorId="0" shapeId="0" xr:uid="{00000000-0006-0000-0300-00005B070000}">
      <text>
        <r>
          <rPr>
            <sz val="10"/>
            <color rgb="FF000000"/>
            <rFont val="Arial"/>
            <scheme val="minor"/>
          </rPr>
          <t>Responder updated this value.</t>
        </r>
      </text>
    </comment>
    <comment ref="AP84" authorId="0" shapeId="0" xr:uid="{00000000-0006-0000-0300-00005C070000}">
      <text>
        <r>
          <rPr>
            <sz val="10"/>
            <color rgb="FF000000"/>
            <rFont val="Arial"/>
            <scheme val="minor"/>
          </rPr>
          <t>Responder updated this value.</t>
        </r>
      </text>
    </comment>
    <comment ref="AQ84" authorId="0" shapeId="0" xr:uid="{00000000-0006-0000-0300-00005D070000}">
      <text>
        <r>
          <rPr>
            <sz val="10"/>
            <color rgb="FF000000"/>
            <rFont val="Arial"/>
            <scheme val="minor"/>
          </rPr>
          <t>Responder updated this value.</t>
        </r>
      </text>
    </comment>
    <comment ref="AR84" authorId="0" shapeId="0" xr:uid="{00000000-0006-0000-0300-00005E070000}">
      <text>
        <r>
          <rPr>
            <sz val="10"/>
            <color rgb="FF000000"/>
            <rFont val="Arial"/>
            <scheme val="minor"/>
          </rPr>
          <t>Responder updated this value.</t>
        </r>
      </text>
    </comment>
    <comment ref="AU84" authorId="0" shapeId="0" xr:uid="{00000000-0006-0000-0300-00005F070000}">
      <text>
        <r>
          <rPr>
            <sz val="10"/>
            <color rgb="FF000000"/>
            <rFont val="Arial"/>
            <scheme val="minor"/>
          </rPr>
          <t>Responder updated this value.</t>
        </r>
      </text>
    </comment>
    <comment ref="D85" authorId="0" shapeId="0" xr:uid="{00000000-0006-0000-0300-000060070000}">
      <text>
        <r>
          <rPr>
            <sz val="10"/>
            <color rgb="FF000000"/>
            <rFont val="Arial"/>
            <scheme val="minor"/>
          </rPr>
          <t>Responder updated this value.</t>
        </r>
      </text>
    </comment>
    <comment ref="H85" authorId="0" shapeId="0" xr:uid="{00000000-0006-0000-0300-000061070000}">
      <text>
        <r>
          <rPr>
            <sz val="10"/>
            <color rgb="FF000000"/>
            <rFont val="Arial"/>
            <scheme val="minor"/>
          </rPr>
          <t>Responder updated this value.</t>
        </r>
      </text>
    </comment>
    <comment ref="N85" authorId="0" shapeId="0" xr:uid="{00000000-0006-0000-0300-000062070000}">
      <text>
        <r>
          <rPr>
            <sz val="10"/>
            <color rgb="FF000000"/>
            <rFont val="Arial"/>
            <scheme val="minor"/>
          </rPr>
          <t>Responder updated this value.</t>
        </r>
      </text>
    </comment>
    <comment ref="O85" authorId="0" shapeId="0" xr:uid="{00000000-0006-0000-0300-000063070000}">
      <text>
        <r>
          <rPr>
            <sz val="10"/>
            <color rgb="FF000000"/>
            <rFont val="Arial"/>
            <scheme val="minor"/>
          </rPr>
          <t>Responder updated this value.</t>
        </r>
      </text>
    </comment>
    <comment ref="P85" authorId="0" shapeId="0" xr:uid="{00000000-0006-0000-0300-000064070000}">
      <text>
        <r>
          <rPr>
            <sz val="10"/>
            <color rgb="FF000000"/>
            <rFont val="Arial"/>
            <scheme val="minor"/>
          </rPr>
          <t>Responder updated this value.</t>
        </r>
      </text>
    </comment>
    <comment ref="Q85" authorId="0" shapeId="0" xr:uid="{00000000-0006-0000-0300-000065070000}">
      <text>
        <r>
          <rPr>
            <sz val="10"/>
            <color rgb="FF000000"/>
            <rFont val="Arial"/>
            <scheme val="minor"/>
          </rPr>
          <t>Responder updated this value.</t>
        </r>
      </text>
    </comment>
    <comment ref="R85" authorId="0" shapeId="0" xr:uid="{00000000-0006-0000-0300-000066070000}">
      <text>
        <r>
          <rPr>
            <sz val="10"/>
            <color rgb="FF000000"/>
            <rFont val="Arial"/>
            <scheme val="minor"/>
          </rPr>
          <t>Responder updated this value.</t>
        </r>
      </text>
    </comment>
    <comment ref="S85" authorId="0" shapeId="0" xr:uid="{00000000-0006-0000-0300-000067070000}">
      <text>
        <r>
          <rPr>
            <sz val="10"/>
            <color rgb="FF000000"/>
            <rFont val="Arial"/>
            <scheme val="minor"/>
          </rPr>
          <t>Responder updated this value.</t>
        </r>
      </text>
    </comment>
    <comment ref="T85" authorId="0" shapeId="0" xr:uid="{00000000-0006-0000-0300-000068070000}">
      <text>
        <r>
          <rPr>
            <sz val="10"/>
            <color rgb="FF000000"/>
            <rFont val="Arial"/>
            <scheme val="minor"/>
          </rPr>
          <t>Responder updated this value.</t>
        </r>
      </text>
    </comment>
    <comment ref="V85" authorId="0" shapeId="0" xr:uid="{00000000-0006-0000-0300-000069070000}">
      <text>
        <r>
          <rPr>
            <sz val="10"/>
            <color rgb="FF000000"/>
            <rFont val="Arial"/>
            <scheme val="minor"/>
          </rPr>
          <t>Responder updated this value.</t>
        </r>
      </text>
    </comment>
    <comment ref="Z85" authorId="0" shapeId="0" xr:uid="{00000000-0006-0000-0300-00006A070000}">
      <text>
        <r>
          <rPr>
            <sz val="10"/>
            <color rgb="FF000000"/>
            <rFont val="Arial"/>
            <scheme val="minor"/>
          </rPr>
          <t>Responder updated this value.</t>
        </r>
      </text>
    </comment>
    <comment ref="AC85" authorId="0" shapeId="0" xr:uid="{00000000-0006-0000-0300-00006B070000}">
      <text>
        <r>
          <rPr>
            <sz val="10"/>
            <color rgb="FF000000"/>
            <rFont val="Arial"/>
            <scheme val="minor"/>
          </rPr>
          <t>Responder updated this value.</t>
        </r>
      </text>
    </comment>
    <comment ref="AD85" authorId="0" shapeId="0" xr:uid="{00000000-0006-0000-0300-00006C070000}">
      <text>
        <r>
          <rPr>
            <sz val="10"/>
            <color rgb="FF000000"/>
            <rFont val="Arial"/>
            <scheme val="minor"/>
          </rPr>
          <t>Responder updated this value.</t>
        </r>
      </text>
    </comment>
    <comment ref="AE85" authorId="0" shapeId="0" xr:uid="{00000000-0006-0000-0300-00006D070000}">
      <text>
        <r>
          <rPr>
            <sz val="10"/>
            <color rgb="FF000000"/>
            <rFont val="Arial"/>
            <scheme val="minor"/>
          </rPr>
          <t>Responder updated this value.</t>
        </r>
      </text>
    </comment>
    <comment ref="AF85" authorId="0" shapeId="0" xr:uid="{00000000-0006-0000-0300-00006E070000}">
      <text>
        <r>
          <rPr>
            <sz val="10"/>
            <color rgb="FF000000"/>
            <rFont val="Arial"/>
            <scheme val="minor"/>
          </rPr>
          <t>Responder updated this value.</t>
        </r>
      </text>
    </comment>
    <comment ref="AG85" authorId="0" shapeId="0" xr:uid="{00000000-0006-0000-0300-00006F070000}">
      <text>
        <r>
          <rPr>
            <sz val="10"/>
            <color rgb="FF000000"/>
            <rFont val="Arial"/>
            <scheme val="minor"/>
          </rPr>
          <t>Responder updated this value.</t>
        </r>
      </text>
    </comment>
    <comment ref="AK85" authorId="0" shapeId="0" xr:uid="{00000000-0006-0000-0300-000070070000}">
      <text>
        <r>
          <rPr>
            <sz val="10"/>
            <color rgb="FF000000"/>
            <rFont val="Arial"/>
            <scheme val="minor"/>
          </rPr>
          <t>Responder updated this value.</t>
        </r>
      </text>
    </comment>
    <comment ref="AL85" authorId="0" shapeId="0" xr:uid="{00000000-0006-0000-0300-000071070000}">
      <text>
        <r>
          <rPr>
            <sz val="10"/>
            <color rgb="FF000000"/>
            <rFont val="Arial"/>
            <scheme val="minor"/>
          </rPr>
          <t>Responder updated this value.</t>
        </r>
      </text>
    </comment>
    <comment ref="AM85" authorId="0" shapeId="0" xr:uid="{00000000-0006-0000-0300-000072070000}">
      <text>
        <r>
          <rPr>
            <sz val="10"/>
            <color rgb="FF000000"/>
            <rFont val="Arial"/>
            <scheme val="minor"/>
          </rPr>
          <t>Responder updated this value.</t>
        </r>
      </text>
    </comment>
    <comment ref="AN85" authorId="0" shapeId="0" xr:uid="{00000000-0006-0000-0300-000073070000}">
      <text>
        <r>
          <rPr>
            <sz val="10"/>
            <color rgb="FF000000"/>
            <rFont val="Arial"/>
            <scheme val="minor"/>
          </rPr>
          <t>Responder updated this value.</t>
        </r>
      </text>
    </comment>
    <comment ref="AO85" authorId="0" shapeId="0" xr:uid="{00000000-0006-0000-0300-000074070000}">
      <text>
        <r>
          <rPr>
            <sz val="10"/>
            <color rgb="FF000000"/>
            <rFont val="Arial"/>
            <scheme val="minor"/>
          </rPr>
          <t>Responder updated this value.</t>
        </r>
      </text>
    </comment>
    <comment ref="AP85" authorId="0" shapeId="0" xr:uid="{00000000-0006-0000-0300-000075070000}">
      <text>
        <r>
          <rPr>
            <sz val="10"/>
            <color rgb="FF000000"/>
            <rFont val="Arial"/>
            <scheme val="minor"/>
          </rPr>
          <t>Responder updated this value.</t>
        </r>
      </text>
    </comment>
    <comment ref="AQ85" authorId="0" shapeId="0" xr:uid="{00000000-0006-0000-0300-000076070000}">
      <text>
        <r>
          <rPr>
            <sz val="10"/>
            <color rgb="FF000000"/>
            <rFont val="Arial"/>
            <scheme val="minor"/>
          </rPr>
          <t>Responder updated this value.</t>
        </r>
      </text>
    </comment>
    <comment ref="AR85" authorId="0" shapeId="0" xr:uid="{00000000-0006-0000-0300-000077070000}">
      <text>
        <r>
          <rPr>
            <sz val="10"/>
            <color rgb="FF000000"/>
            <rFont val="Arial"/>
            <scheme val="minor"/>
          </rPr>
          <t>Responder updated this value.</t>
        </r>
      </text>
    </comment>
    <comment ref="AU85" authorId="0" shapeId="0" xr:uid="{00000000-0006-0000-0300-000078070000}">
      <text>
        <r>
          <rPr>
            <sz val="10"/>
            <color rgb="FF000000"/>
            <rFont val="Arial"/>
            <scheme val="minor"/>
          </rPr>
          <t>Responder updated this value.</t>
        </r>
      </text>
    </comment>
    <comment ref="D86" authorId="0" shapeId="0" xr:uid="{00000000-0006-0000-0300-000079070000}">
      <text>
        <r>
          <rPr>
            <sz val="10"/>
            <color rgb="FF000000"/>
            <rFont val="Arial"/>
            <scheme val="minor"/>
          </rPr>
          <t>Responder updated this value.</t>
        </r>
      </text>
    </comment>
    <comment ref="N86" authorId="0" shapeId="0" xr:uid="{00000000-0006-0000-0300-00007A070000}">
      <text>
        <r>
          <rPr>
            <sz val="10"/>
            <color rgb="FF000000"/>
            <rFont val="Arial"/>
            <scheme val="minor"/>
          </rPr>
          <t>Responder updated this value.</t>
        </r>
      </text>
    </comment>
    <comment ref="O86" authorId="0" shapeId="0" xr:uid="{00000000-0006-0000-0300-00007B070000}">
      <text>
        <r>
          <rPr>
            <sz val="10"/>
            <color rgb="FF000000"/>
            <rFont val="Arial"/>
            <scheme val="minor"/>
          </rPr>
          <t>Responder updated this value.</t>
        </r>
      </text>
    </comment>
    <comment ref="P86" authorId="0" shapeId="0" xr:uid="{00000000-0006-0000-0300-00007C070000}">
      <text>
        <r>
          <rPr>
            <sz val="10"/>
            <color rgb="FF000000"/>
            <rFont val="Arial"/>
            <scheme val="minor"/>
          </rPr>
          <t>Responder updated this value.</t>
        </r>
      </text>
    </comment>
    <comment ref="Q86" authorId="0" shapeId="0" xr:uid="{00000000-0006-0000-0300-00007D070000}">
      <text>
        <r>
          <rPr>
            <sz val="10"/>
            <color rgb="FF000000"/>
            <rFont val="Arial"/>
            <scheme val="minor"/>
          </rPr>
          <t>Responder updated this value.</t>
        </r>
      </text>
    </comment>
    <comment ref="R86" authorId="0" shapeId="0" xr:uid="{00000000-0006-0000-0300-00007E070000}">
      <text>
        <r>
          <rPr>
            <sz val="10"/>
            <color rgb="FF000000"/>
            <rFont val="Arial"/>
            <scheme val="minor"/>
          </rPr>
          <t>Responder updated this value.</t>
        </r>
      </text>
    </comment>
    <comment ref="S86" authorId="0" shapeId="0" xr:uid="{00000000-0006-0000-0300-00007F070000}">
      <text>
        <r>
          <rPr>
            <sz val="10"/>
            <color rgb="FF000000"/>
            <rFont val="Arial"/>
            <scheme val="minor"/>
          </rPr>
          <t>Responder updated this value.</t>
        </r>
      </text>
    </comment>
    <comment ref="T86" authorId="0" shapeId="0" xr:uid="{00000000-0006-0000-0300-000080070000}">
      <text>
        <r>
          <rPr>
            <sz val="10"/>
            <color rgb="FF000000"/>
            <rFont val="Arial"/>
            <scheme val="minor"/>
          </rPr>
          <t>Responder updated this value.</t>
        </r>
      </text>
    </comment>
    <comment ref="U86" authorId="0" shapeId="0" xr:uid="{00000000-0006-0000-0300-000081070000}">
      <text>
        <r>
          <rPr>
            <sz val="10"/>
            <color rgb="FF000000"/>
            <rFont val="Arial"/>
            <scheme val="minor"/>
          </rPr>
          <t>Responder updated this value.</t>
        </r>
      </text>
    </comment>
    <comment ref="V86" authorId="0" shapeId="0" xr:uid="{00000000-0006-0000-0300-000082070000}">
      <text>
        <r>
          <rPr>
            <sz val="10"/>
            <color rgb="FF000000"/>
            <rFont val="Arial"/>
            <scheme val="minor"/>
          </rPr>
          <t>Responder updated this value.</t>
        </r>
      </text>
    </comment>
    <comment ref="X86" authorId="0" shapeId="0" xr:uid="{00000000-0006-0000-0300-000083070000}">
      <text>
        <r>
          <rPr>
            <sz val="10"/>
            <color rgb="FF000000"/>
            <rFont val="Arial"/>
            <scheme val="minor"/>
          </rPr>
          <t>Responder updated this value.</t>
        </r>
      </text>
    </comment>
    <comment ref="Z86" authorId="0" shapeId="0" xr:uid="{00000000-0006-0000-0300-000084070000}">
      <text>
        <r>
          <rPr>
            <sz val="10"/>
            <color rgb="FF000000"/>
            <rFont val="Arial"/>
            <scheme val="minor"/>
          </rPr>
          <t>Responder updated this value.</t>
        </r>
      </text>
    </comment>
    <comment ref="AC86" authorId="0" shapeId="0" xr:uid="{00000000-0006-0000-0300-000085070000}">
      <text>
        <r>
          <rPr>
            <sz val="10"/>
            <color rgb="FF000000"/>
            <rFont val="Arial"/>
            <scheme val="minor"/>
          </rPr>
          <t>Responder updated this value.</t>
        </r>
      </text>
    </comment>
    <comment ref="AD86" authorId="0" shapeId="0" xr:uid="{00000000-0006-0000-0300-000086070000}">
      <text>
        <r>
          <rPr>
            <sz val="10"/>
            <color rgb="FF000000"/>
            <rFont val="Arial"/>
            <scheme val="minor"/>
          </rPr>
          <t>Responder updated this value.</t>
        </r>
      </text>
    </comment>
    <comment ref="AE86" authorId="0" shapeId="0" xr:uid="{00000000-0006-0000-0300-000087070000}">
      <text>
        <r>
          <rPr>
            <sz val="10"/>
            <color rgb="FF000000"/>
            <rFont val="Arial"/>
            <scheme val="minor"/>
          </rPr>
          <t>Responder updated this value.</t>
        </r>
      </text>
    </comment>
    <comment ref="AF86" authorId="0" shapeId="0" xr:uid="{00000000-0006-0000-0300-000088070000}">
      <text>
        <r>
          <rPr>
            <sz val="10"/>
            <color rgb="FF000000"/>
            <rFont val="Arial"/>
            <scheme val="minor"/>
          </rPr>
          <t>Responder updated this value.</t>
        </r>
      </text>
    </comment>
    <comment ref="AG86" authorId="0" shapeId="0" xr:uid="{00000000-0006-0000-0300-000089070000}">
      <text>
        <r>
          <rPr>
            <sz val="10"/>
            <color rgb="FF000000"/>
            <rFont val="Arial"/>
            <scheme val="minor"/>
          </rPr>
          <t>Responder updated this value.</t>
        </r>
      </text>
    </comment>
    <comment ref="AH86" authorId="0" shapeId="0" xr:uid="{00000000-0006-0000-0300-00008A070000}">
      <text>
        <r>
          <rPr>
            <sz val="10"/>
            <color rgb="FF000000"/>
            <rFont val="Arial"/>
            <scheme val="minor"/>
          </rPr>
          <t>Responder updated this value.</t>
        </r>
      </text>
    </comment>
    <comment ref="AK86" authorId="0" shapeId="0" xr:uid="{00000000-0006-0000-0300-00008B070000}">
      <text>
        <r>
          <rPr>
            <sz val="10"/>
            <color rgb="FF000000"/>
            <rFont val="Arial"/>
            <scheme val="minor"/>
          </rPr>
          <t>Responder updated this value.</t>
        </r>
      </text>
    </comment>
    <comment ref="AL86" authorId="0" shapeId="0" xr:uid="{00000000-0006-0000-0300-00008C070000}">
      <text>
        <r>
          <rPr>
            <sz val="10"/>
            <color rgb="FF000000"/>
            <rFont val="Arial"/>
            <scheme val="minor"/>
          </rPr>
          <t>Responder updated this value.</t>
        </r>
      </text>
    </comment>
    <comment ref="AM86" authorId="0" shapeId="0" xr:uid="{00000000-0006-0000-0300-00008D070000}">
      <text>
        <r>
          <rPr>
            <sz val="10"/>
            <color rgb="FF000000"/>
            <rFont val="Arial"/>
            <scheme val="minor"/>
          </rPr>
          <t>Responder updated this value.</t>
        </r>
      </text>
    </comment>
    <comment ref="AN86" authorId="0" shapeId="0" xr:uid="{00000000-0006-0000-0300-00008E070000}">
      <text>
        <r>
          <rPr>
            <sz val="10"/>
            <color rgb="FF000000"/>
            <rFont val="Arial"/>
            <scheme val="minor"/>
          </rPr>
          <t>Responder updated this value.</t>
        </r>
      </text>
    </comment>
    <comment ref="AO86" authorId="0" shapeId="0" xr:uid="{00000000-0006-0000-0300-00008F070000}">
      <text>
        <r>
          <rPr>
            <sz val="10"/>
            <color rgb="FF000000"/>
            <rFont val="Arial"/>
            <scheme val="minor"/>
          </rPr>
          <t>Responder updated this value.</t>
        </r>
      </text>
    </comment>
    <comment ref="AP86" authorId="0" shapeId="0" xr:uid="{00000000-0006-0000-0300-000090070000}">
      <text>
        <r>
          <rPr>
            <sz val="10"/>
            <color rgb="FF000000"/>
            <rFont val="Arial"/>
            <scheme val="minor"/>
          </rPr>
          <t>Responder updated this value.</t>
        </r>
      </text>
    </comment>
    <comment ref="AQ86" authorId="0" shapeId="0" xr:uid="{00000000-0006-0000-0300-000091070000}">
      <text>
        <r>
          <rPr>
            <sz val="10"/>
            <color rgb="FF000000"/>
            <rFont val="Arial"/>
            <scheme val="minor"/>
          </rPr>
          <t>Responder updated this value.</t>
        </r>
      </text>
    </comment>
    <comment ref="AR86" authorId="0" shapeId="0" xr:uid="{00000000-0006-0000-0300-000092070000}">
      <text>
        <r>
          <rPr>
            <sz val="10"/>
            <color rgb="FF000000"/>
            <rFont val="Arial"/>
            <scheme val="minor"/>
          </rPr>
          <t>Responder updated this value.</t>
        </r>
      </text>
    </comment>
    <comment ref="AU86" authorId="0" shapeId="0" xr:uid="{00000000-0006-0000-0300-000093070000}">
      <text>
        <r>
          <rPr>
            <sz val="10"/>
            <color rgb="FF000000"/>
            <rFont val="Arial"/>
            <scheme val="minor"/>
          </rPr>
          <t>Responder updated this value.</t>
        </r>
      </text>
    </comment>
    <comment ref="D87" authorId="0" shapeId="0" xr:uid="{00000000-0006-0000-0300-000094070000}">
      <text>
        <r>
          <rPr>
            <sz val="10"/>
            <color rgb="FF000000"/>
            <rFont val="Arial"/>
            <scheme val="minor"/>
          </rPr>
          <t>Responder updated this value.</t>
        </r>
      </text>
    </comment>
    <comment ref="N87" authorId="0" shapeId="0" xr:uid="{00000000-0006-0000-0300-000095070000}">
      <text>
        <r>
          <rPr>
            <sz val="10"/>
            <color rgb="FF000000"/>
            <rFont val="Arial"/>
            <scheme val="minor"/>
          </rPr>
          <t>Responder updated this value.</t>
        </r>
      </text>
    </comment>
    <comment ref="O87" authorId="0" shapeId="0" xr:uid="{00000000-0006-0000-0300-000096070000}">
      <text>
        <r>
          <rPr>
            <sz val="10"/>
            <color rgb="FF000000"/>
            <rFont val="Arial"/>
            <scheme val="minor"/>
          </rPr>
          <t>Responder updated this value.</t>
        </r>
      </text>
    </comment>
    <comment ref="P87" authorId="0" shapeId="0" xr:uid="{00000000-0006-0000-0300-000097070000}">
      <text>
        <r>
          <rPr>
            <sz val="10"/>
            <color rgb="FF000000"/>
            <rFont val="Arial"/>
            <scheme val="minor"/>
          </rPr>
          <t>Responder updated this value.</t>
        </r>
      </text>
    </comment>
    <comment ref="Q87" authorId="0" shapeId="0" xr:uid="{00000000-0006-0000-0300-000098070000}">
      <text>
        <r>
          <rPr>
            <sz val="10"/>
            <color rgb="FF000000"/>
            <rFont val="Arial"/>
            <scheme val="minor"/>
          </rPr>
          <t>Responder updated this value.</t>
        </r>
      </text>
    </comment>
    <comment ref="R87" authorId="0" shapeId="0" xr:uid="{00000000-0006-0000-0300-000099070000}">
      <text>
        <r>
          <rPr>
            <sz val="10"/>
            <color rgb="FF000000"/>
            <rFont val="Arial"/>
            <scheme val="minor"/>
          </rPr>
          <t>Responder updated this value.</t>
        </r>
      </text>
    </comment>
    <comment ref="T87" authorId="0" shapeId="0" xr:uid="{00000000-0006-0000-0300-00009A070000}">
      <text>
        <r>
          <rPr>
            <sz val="10"/>
            <color rgb="FF000000"/>
            <rFont val="Arial"/>
            <scheme val="minor"/>
          </rPr>
          <t>Responder updated this value.</t>
        </r>
      </text>
    </comment>
    <comment ref="U87" authorId="0" shapeId="0" xr:uid="{00000000-0006-0000-0300-00009B070000}">
      <text>
        <r>
          <rPr>
            <sz val="10"/>
            <color rgb="FF000000"/>
            <rFont val="Arial"/>
            <scheme val="minor"/>
          </rPr>
          <t>Responder updated this value.</t>
        </r>
      </text>
    </comment>
    <comment ref="V87" authorId="0" shapeId="0" xr:uid="{00000000-0006-0000-0300-00009C070000}">
      <text>
        <r>
          <rPr>
            <sz val="10"/>
            <color rgb="FF000000"/>
            <rFont val="Arial"/>
            <scheme val="minor"/>
          </rPr>
          <t>Responder updated this value.</t>
        </r>
      </text>
    </comment>
    <comment ref="X87" authorId="0" shapeId="0" xr:uid="{00000000-0006-0000-0300-00009D070000}">
      <text>
        <r>
          <rPr>
            <sz val="10"/>
            <color rgb="FF000000"/>
            <rFont val="Arial"/>
            <scheme val="minor"/>
          </rPr>
          <t>Responder updated this value.</t>
        </r>
      </text>
    </comment>
    <comment ref="Z87" authorId="0" shapeId="0" xr:uid="{00000000-0006-0000-0300-00009E070000}">
      <text>
        <r>
          <rPr>
            <sz val="10"/>
            <color rgb="FF000000"/>
            <rFont val="Arial"/>
            <scheme val="minor"/>
          </rPr>
          <t>Responder updated this value.</t>
        </r>
      </text>
    </comment>
    <comment ref="AC87" authorId="0" shapeId="0" xr:uid="{00000000-0006-0000-0300-00009F070000}">
      <text>
        <r>
          <rPr>
            <sz val="10"/>
            <color rgb="FF000000"/>
            <rFont val="Arial"/>
            <scheme val="minor"/>
          </rPr>
          <t>Responder updated this value.</t>
        </r>
      </text>
    </comment>
    <comment ref="AD87" authorId="0" shapeId="0" xr:uid="{00000000-0006-0000-0300-0000A0070000}">
      <text>
        <r>
          <rPr>
            <sz val="10"/>
            <color rgb="FF000000"/>
            <rFont val="Arial"/>
            <scheme val="minor"/>
          </rPr>
          <t>Responder updated this value.</t>
        </r>
      </text>
    </comment>
    <comment ref="AE87" authorId="0" shapeId="0" xr:uid="{00000000-0006-0000-0300-0000A1070000}">
      <text>
        <r>
          <rPr>
            <sz val="10"/>
            <color rgb="FF000000"/>
            <rFont val="Arial"/>
            <scheme val="minor"/>
          </rPr>
          <t>Responder updated this value.</t>
        </r>
      </text>
    </comment>
    <comment ref="AF87" authorId="0" shapeId="0" xr:uid="{00000000-0006-0000-0300-0000A2070000}">
      <text>
        <r>
          <rPr>
            <sz val="10"/>
            <color rgb="FF000000"/>
            <rFont val="Arial"/>
            <scheme val="minor"/>
          </rPr>
          <t>Responder updated this value.</t>
        </r>
      </text>
    </comment>
    <comment ref="AG87" authorId="0" shapeId="0" xr:uid="{00000000-0006-0000-0300-0000A3070000}">
      <text>
        <r>
          <rPr>
            <sz val="10"/>
            <color rgb="FF000000"/>
            <rFont val="Arial"/>
            <scheme val="minor"/>
          </rPr>
          <t>Responder updated this value.</t>
        </r>
      </text>
    </comment>
    <comment ref="AH87" authorId="0" shapeId="0" xr:uid="{00000000-0006-0000-0300-0000A4070000}">
      <text>
        <r>
          <rPr>
            <sz val="10"/>
            <color rgb="FF000000"/>
            <rFont val="Arial"/>
            <scheme val="minor"/>
          </rPr>
          <t>Responder updated this value.</t>
        </r>
      </text>
    </comment>
    <comment ref="AK87" authorId="0" shapeId="0" xr:uid="{00000000-0006-0000-0300-0000A5070000}">
      <text>
        <r>
          <rPr>
            <sz val="10"/>
            <color rgb="FF000000"/>
            <rFont val="Arial"/>
            <scheme val="minor"/>
          </rPr>
          <t>Responder updated this value.</t>
        </r>
      </text>
    </comment>
    <comment ref="AL87" authorId="0" shapeId="0" xr:uid="{00000000-0006-0000-0300-0000A6070000}">
      <text>
        <r>
          <rPr>
            <sz val="10"/>
            <color rgb="FF000000"/>
            <rFont val="Arial"/>
            <scheme val="minor"/>
          </rPr>
          <t>Responder updated this value.</t>
        </r>
      </text>
    </comment>
    <comment ref="AM87" authorId="0" shapeId="0" xr:uid="{00000000-0006-0000-0300-0000A7070000}">
      <text>
        <r>
          <rPr>
            <sz val="10"/>
            <color rgb="FF000000"/>
            <rFont val="Arial"/>
            <scheme val="minor"/>
          </rPr>
          <t>Responder updated this value.</t>
        </r>
      </text>
    </comment>
    <comment ref="AN87" authorId="0" shapeId="0" xr:uid="{00000000-0006-0000-0300-0000A8070000}">
      <text>
        <r>
          <rPr>
            <sz val="10"/>
            <color rgb="FF000000"/>
            <rFont val="Arial"/>
            <scheme val="minor"/>
          </rPr>
          <t>Responder updated this value.</t>
        </r>
      </text>
    </comment>
    <comment ref="AO87" authorId="0" shapeId="0" xr:uid="{00000000-0006-0000-0300-0000A9070000}">
      <text>
        <r>
          <rPr>
            <sz val="10"/>
            <color rgb="FF000000"/>
            <rFont val="Arial"/>
            <scheme val="minor"/>
          </rPr>
          <t>Responder updated this value.</t>
        </r>
      </text>
    </comment>
    <comment ref="AP87" authorId="0" shapeId="0" xr:uid="{00000000-0006-0000-0300-0000AA070000}">
      <text>
        <r>
          <rPr>
            <sz val="10"/>
            <color rgb="FF000000"/>
            <rFont val="Arial"/>
            <scheme val="minor"/>
          </rPr>
          <t>Responder updated this value.</t>
        </r>
      </text>
    </comment>
    <comment ref="AQ87" authorId="0" shapeId="0" xr:uid="{00000000-0006-0000-0300-0000AB070000}">
      <text>
        <r>
          <rPr>
            <sz val="10"/>
            <color rgb="FF000000"/>
            <rFont val="Arial"/>
            <scheme val="minor"/>
          </rPr>
          <t>Responder updated this value.</t>
        </r>
      </text>
    </comment>
    <comment ref="AR87" authorId="0" shapeId="0" xr:uid="{00000000-0006-0000-0300-0000AC070000}">
      <text>
        <r>
          <rPr>
            <sz val="10"/>
            <color rgb="FF000000"/>
            <rFont val="Arial"/>
            <scheme val="minor"/>
          </rPr>
          <t>Responder updated this value.</t>
        </r>
      </text>
    </comment>
    <comment ref="AU87" authorId="0" shapeId="0" xr:uid="{00000000-0006-0000-0300-0000AD070000}">
      <text>
        <r>
          <rPr>
            <sz val="10"/>
            <color rgb="FF000000"/>
            <rFont val="Arial"/>
            <scheme val="minor"/>
          </rPr>
          <t>Responder updated this value.</t>
        </r>
      </text>
    </comment>
    <comment ref="D88" authorId="0" shapeId="0" xr:uid="{00000000-0006-0000-0300-0000AE070000}">
      <text>
        <r>
          <rPr>
            <sz val="10"/>
            <color rgb="FF000000"/>
            <rFont val="Arial"/>
            <scheme val="minor"/>
          </rPr>
          <t>Responder updated this value.</t>
        </r>
      </text>
    </comment>
    <comment ref="F88" authorId="0" shapeId="0" xr:uid="{00000000-0006-0000-0300-0000AF070000}">
      <text>
        <r>
          <rPr>
            <sz val="10"/>
            <color rgb="FF000000"/>
            <rFont val="Arial"/>
            <scheme val="minor"/>
          </rPr>
          <t>Responder updated this value.</t>
        </r>
      </text>
    </comment>
    <comment ref="L88" authorId="0" shapeId="0" xr:uid="{00000000-0006-0000-0300-0000B0070000}">
      <text>
        <r>
          <rPr>
            <sz val="10"/>
            <color rgb="FF000000"/>
            <rFont val="Arial"/>
            <scheme val="minor"/>
          </rPr>
          <t>Responder updated this value.</t>
        </r>
      </text>
    </comment>
    <comment ref="N88" authorId="0" shapeId="0" xr:uid="{00000000-0006-0000-0300-0000B1070000}">
      <text>
        <r>
          <rPr>
            <sz val="10"/>
            <color rgb="FF000000"/>
            <rFont val="Arial"/>
            <scheme val="minor"/>
          </rPr>
          <t>Responder updated this value.</t>
        </r>
      </text>
    </comment>
    <comment ref="O88" authorId="0" shapeId="0" xr:uid="{00000000-0006-0000-0300-0000B2070000}">
      <text>
        <r>
          <rPr>
            <sz val="10"/>
            <color rgb="FF000000"/>
            <rFont val="Arial"/>
            <scheme val="minor"/>
          </rPr>
          <t>Responder updated this value.</t>
        </r>
      </text>
    </comment>
    <comment ref="P88" authorId="0" shapeId="0" xr:uid="{00000000-0006-0000-0300-0000B3070000}">
      <text>
        <r>
          <rPr>
            <sz val="10"/>
            <color rgb="FF000000"/>
            <rFont val="Arial"/>
            <scheme val="minor"/>
          </rPr>
          <t>Responder updated this value.</t>
        </r>
      </text>
    </comment>
    <comment ref="Q88" authorId="0" shapeId="0" xr:uid="{00000000-0006-0000-0300-0000B4070000}">
      <text>
        <r>
          <rPr>
            <sz val="10"/>
            <color rgb="FF000000"/>
            <rFont val="Arial"/>
            <scheme val="minor"/>
          </rPr>
          <t>Responder updated this value.</t>
        </r>
      </text>
    </comment>
    <comment ref="R88" authorId="0" shapeId="0" xr:uid="{00000000-0006-0000-0300-0000B5070000}">
      <text>
        <r>
          <rPr>
            <sz val="10"/>
            <color rgb="FF000000"/>
            <rFont val="Arial"/>
            <scheme val="minor"/>
          </rPr>
          <t>Responder updated this value.</t>
        </r>
      </text>
    </comment>
    <comment ref="S88" authorId="0" shapeId="0" xr:uid="{00000000-0006-0000-0300-0000B6070000}">
      <text>
        <r>
          <rPr>
            <sz val="10"/>
            <color rgb="FF000000"/>
            <rFont val="Arial"/>
            <scheme val="minor"/>
          </rPr>
          <t>Responder updated this value.</t>
        </r>
      </text>
    </comment>
    <comment ref="T88" authorId="0" shapeId="0" xr:uid="{00000000-0006-0000-0300-0000B7070000}">
      <text>
        <r>
          <rPr>
            <sz val="10"/>
            <color rgb="FF000000"/>
            <rFont val="Arial"/>
            <scheme val="minor"/>
          </rPr>
          <t>Responder updated this value.</t>
        </r>
      </text>
    </comment>
    <comment ref="W88" authorId="0" shapeId="0" xr:uid="{00000000-0006-0000-0300-0000B8070000}">
      <text>
        <r>
          <rPr>
            <sz val="10"/>
            <color rgb="FF000000"/>
            <rFont val="Arial"/>
            <scheme val="minor"/>
          </rPr>
          <t>Responder updated this value.</t>
        </r>
      </text>
    </comment>
    <comment ref="Y88" authorId="0" shapeId="0" xr:uid="{00000000-0006-0000-0300-0000B9070000}">
      <text>
        <r>
          <rPr>
            <sz val="10"/>
            <color rgb="FF000000"/>
            <rFont val="Arial"/>
            <scheme val="minor"/>
          </rPr>
          <t>Responder updated this value.</t>
        </r>
      </text>
    </comment>
    <comment ref="Z88" authorId="0" shapeId="0" xr:uid="{00000000-0006-0000-0300-0000BA070000}">
      <text>
        <r>
          <rPr>
            <sz val="10"/>
            <color rgb="FF000000"/>
            <rFont val="Arial"/>
            <scheme val="minor"/>
          </rPr>
          <t>Responder updated this value.</t>
        </r>
      </text>
    </comment>
    <comment ref="AC88" authorId="0" shapeId="0" xr:uid="{00000000-0006-0000-0300-0000BB070000}">
      <text>
        <r>
          <rPr>
            <sz val="10"/>
            <color rgb="FF000000"/>
            <rFont val="Arial"/>
            <scheme val="minor"/>
          </rPr>
          <t>Responder updated this value.</t>
        </r>
      </text>
    </comment>
    <comment ref="AD88" authorId="0" shapeId="0" xr:uid="{00000000-0006-0000-0300-0000BC070000}">
      <text>
        <r>
          <rPr>
            <sz val="10"/>
            <color rgb="FF000000"/>
            <rFont val="Arial"/>
            <scheme val="minor"/>
          </rPr>
          <t>Responder updated this value.</t>
        </r>
      </text>
    </comment>
    <comment ref="AE88" authorId="0" shapeId="0" xr:uid="{00000000-0006-0000-0300-0000BD070000}">
      <text>
        <r>
          <rPr>
            <sz val="10"/>
            <color rgb="FF000000"/>
            <rFont val="Arial"/>
            <scheme val="minor"/>
          </rPr>
          <t>Responder updated this value.</t>
        </r>
      </text>
    </comment>
    <comment ref="AK88" authorId="0" shapeId="0" xr:uid="{00000000-0006-0000-0300-0000BE070000}">
      <text>
        <r>
          <rPr>
            <sz val="10"/>
            <color rgb="FF000000"/>
            <rFont val="Arial"/>
            <scheme val="minor"/>
          </rPr>
          <t>Responder updated this value.</t>
        </r>
      </text>
    </comment>
    <comment ref="AL88" authorId="0" shapeId="0" xr:uid="{00000000-0006-0000-0300-0000BF070000}">
      <text>
        <r>
          <rPr>
            <sz val="10"/>
            <color rgb="FF000000"/>
            <rFont val="Arial"/>
            <scheme val="minor"/>
          </rPr>
          <t>Responder updated this value.</t>
        </r>
      </text>
    </comment>
    <comment ref="AM88" authorId="0" shapeId="0" xr:uid="{00000000-0006-0000-0300-0000C0070000}">
      <text>
        <r>
          <rPr>
            <sz val="10"/>
            <color rgb="FF000000"/>
            <rFont val="Arial"/>
            <scheme val="minor"/>
          </rPr>
          <t>Responder updated this value.</t>
        </r>
      </text>
    </comment>
    <comment ref="AN88" authorId="0" shapeId="0" xr:uid="{00000000-0006-0000-0300-0000C1070000}">
      <text>
        <r>
          <rPr>
            <sz val="10"/>
            <color rgb="FF000000"/>
            <rFont val="Arial"/>
            <scheme val="minor"/>
          </rPr>
          <t>Responder updated this value.</t>
        </r>
      </text>
    </comment>
    <comment ref="AO88" authorId="0" shapeId="0" xr:uid="{00000000-0006-0000-0300-0000C2070000}">
      <text>
        <r>
          <rPr>
            <sz val="10"/>
            <color rgb="FF000000"/>
            <rFont val="Arial"/>
            <scheme val="minor"/>
          </rPr>
          <t>Responder updated this value.</t>
        </r>
      </text>
    </comment>
    <comment ref="AP88" authorId="0" shapeId="0" xr:uid="{00000000-0006-0000-0300-0000C3070000}">
      <text>
        <r>
          <rPr>
            <sz val="10"/>
            <color rgb="FF000000"/>
            <rFont val="Arial"/>
            <scheme val="minor"/>
          </rPr>
          <t>Responder updated this value.</t>
        </r>
      </text>
    </comment>
    <comment ref="AQ88" authorId="0" shapeId="0" xr:uid="{00000000-0006-0000-0300-0000C4070000}">
      <text>
        <r>
          <rPr>
            <sz val="10"/>
            <color rgb="FF000000"/>
            <rFont val="Arial"/>
            <scheme val="minor"/>
          </rPr>
          <t>Responder updated this value.</t>
        </r>
      </text>
    </comment>
    <comment ref="AR88" authorId="0" shapeId="0" xr:uid="{00000000-0006-0000-0300-0000C5070000}">
      <text>
        <r>
          <rPr>
            <sz val="10"/>
            <color rgb="FF000000"/>
            <rFont val="Arial"/>
            <scheme val="minor"/>
          </rPr>
          <t>Responder updated this value.</t>
        </r>
      </text>
    </comment>
    <comment ref="AS88" authorId="0" shapeId="0" xr:uid="{00000000-0006-0000-0300-0000C6070000}">
      <text>
        <r>
          <rPr>
            <sz val="10"/>
            <color rgb="FF000000"/>
            <rFont val="Arial"/>
            <scheme val="minor"/>
          </rPr>
          <t>Responder updated this value.</t>
        </r>
      </text>
    </comment>
    <comment ref="AT88" authorId="0" shapeId="0" xr:uid="{00000000-0006-0000-0300-0000C7070000}">
      <text>
        <r>
          <rPr>
            <sz val="10"/>
            <color rgb="FF000000"/>
            <rFont val="Arial"/>
            <scheme val="minor"/>
          </rPr>
          <t>Responder updated this value.</t>
        </r>
      </text>
    </comment>
    <comment ref="AU88" authorId="0" shapeId="0" xr:uid="{00000000-0006-0000-0300-0000C8070000}">
      <text>
        <r>
          <rPr>
            <sz val="10"/>
            <color rgb="FF000000"/>
            <rFont val="Arial"/>
            <scheme val="minor"/>
          </rPr>
          <t>Responder updated this value.</t>
        </r>
      </text>
    </comment>
    <comment ref="D89" authorId="0" shapeId="0" xr:uid="{00000000-0006-0000-0300-0000C9070000}">
      <text>
        <r>
          <rPr>
            <sz val="10"/>
            <color rgb="FF000000"/>
            <rFont val="Arial"/>
            <scheme val="minor"/>
          </rPr>
          <t>Responder updated this value.</t>
        </r>
      </text>
    </comment>
    <comment ref="F89" authorId="0" shapeId="0" xr:uid="{00000000-0006-0000-0300-0000CA070000}">
      <text>
        <r>
          <rPr>
            <sz val="10"/>
            <color rgb="FF000000"/>
            <rFont val="Arial"/>
            <scheme val="minor"/>
          </rPr>
          <t>Responder updated this value.</t>
        </r>
      </text>
    </comment>
    <comment ref="L89" authorId="0" shapeId="0" xr:uid="{00000000-0006-0000-0300-0000CB070000}">
      <text>
        <r>
          <rPr>
            <sz val="10"/>
            <color rgb="FF000000"/>
            <rFont val="Arial"/>
            <scheme val="minor"/>
          </rPr>
          <t>Responder updated this value.</t>
        </r>
      </text>
    </comment>
    <comment ref="M89" authorId="0" shapeId="0" xr:uid="{00000000-0006-0000-0300-0000CC070000}">
      <text>
        <r>
          <rPr>
            <sz val="10"/>
            <color rgb="FF000000"/>
            <rFont val="Arial"/>
            <scheme val="minor"/>
          </rPr>
          <t>Responder updated this value.</t>
        </r>
      </text>
    </comment>
    <comment ref="N89" authorId="0" shapeId="0" xr:uid="{00000000-0006-0000-0300-0000CD070000}">
      <text>
        <r>
          <rPr>
            <sz val="10"/>
            <color rgb="FF000000"/>
            <rFont val="Arial"/>
            <scheme val="minor"/>
          </rPr>
          <t>Responder updated this value.</t>
        </r>
      </text>
    </comment>
    <comment ref="O89" authorId="0" shapeId="0" xr:uid="{00000000-0006-0000-0300-0000CE070000}">
      <text>
        <r>
          <rPr>
            <sz val="10"/>
            <color rgb="FF000000"/>
            <rFont val="Arial"/>
            <scheme val="minor"/>
          </rPr>
          <t>Responder updated this value.</t>
        </r>
      </text>
    </comment>
    <comment ref="P89" authorId="0" shapeId="0" xr:uid="{00000000-0006-0000-0300-0000CF070000}">
      <text>
        <r>
          <rPr>
            <sz val="10"/>
            <color rgb="FF000000"/>
            <rFont val="Arial"/>
            <scheme val="minor"/>
          </rPr>
          <t>Responder updated this value.</t>
        </r>
      </text>
    </comment>
    <comment ref="Q89" authorId="0" shapeId="0" xr:uid="{00000000-0006-0000-0300-0000D0070000}">
      <text>
        <r>
          <rPr>
            <sz val="10"/>
            <color rgb="FF000000"/>
            <rFont val="Arial"/>
            <scheme val="minor"/>
          </rPr>
          <t>Responder updated this value.</t>
        </r>
      </text>
    </comment>
    <comment ref="S89" authorId="0" shapeId="0" xr:uid="{00000000-0006-0000-0300-0000D1070000}">
      <text>
        <r>
          <rPr>
            <sz val="10"/>
            <color rgb="FF000000"/>
            <rFont val="Arial"/>
            <scheme val="minor"/>
          </rPr>
          <t>Responder updated this value.</t>
        </r>
      </text>
    </comment>
    <comment ref="U89" authorId="0" shapeId="0" xr:uid="{00000000-0006-0000-0300-0000D2070000}">
      <text>
        <r>
          <rPr>
            <sz val="10"/>
            <color rgb="FF000000"/>
            <rFont val="Arial"/>
            <scheme val="minor"/>
          </rPr>
          <t>Responder updated this value.</t>
        </r>
      </text>
    </comment>
    <comment ref="W89" authorId="0" shapeId="0" xr:uid="{00000000-0006-0000-0300-0000D3070000}">
      <text>
        <r>
          <rPr>
            <sz val="10"/>
            <color rgb="FF000000"/>
            <rFont val="Arial"/>
            <scheme val="minor"/>
          </rPr>
          <t>Responder updated this value.</t>
        </r>
      </text>
    </comment>
    <comment ref="X89" authorId="0" shapeId="0" xr:uid="{00000000-0006-0000-0300-0000D4070000}">
      <text>
        <r>
          <rPr>
            <sz val="10"/>
            <color rgb="FF000000"/>
            <rFont val="Arial"/>
            <scheme val="minor"/>
          </rPr>
          <t>Responder updated this value.</t>
        </r>
      </text>
    </comment>
    <comment ref="Y89" authorId="0" shapeId="0" xr:uid="{00000000-0006-0000-0300-0000D5070000}">
      <text>
        <r>
          <rPr>
            <sz val="10"/>
            <color rgb="FF000000"/>
            <rFont val="Arial"/>
            <scheme val="minor"/>
          </rPr>
          <t>Responder updated this value.</t>
        </r>
      </text>
    </comment>
    <comment ref="Z89" authorId="0" shapeId="0" xr:uid="{00000000-0006-0000-0300-0000D6070000}">
      <text>
        <r>
          <rPr>
            <sz val="10"/>
            <color rgb="FF000000"/>
            <rFont val="Arial"/>
            <scheme val="minor"/>
          </rPr>
          <t>Responder updated this value.</t>
        </r>
      </text>
    </comment>
    <comment ref="AC89" authorId="0" shapeId="0" xr:uid="{00000000-0006-0000-0300-0000D7070000}">
      <text>
        <r>
          <rPr>
            <sz val="10"/>
            <color rgb="FF000000"/>
            <rFont val="Arial"/>
            <scheme val="minor"/>
          </rPr>
          <t>Responder updated this value.</t>
        </r>
      </text>
    </comment>
    <comment ref="AD89" authorId="0" shapeId="0" xr:uid="{00000000-0006-0000-0300-0000D8070000}">
      <text>
        <r>
          <rPr>
            <sz val="10"/>
            <color rgb="FF000000"/>
            <rFont val="Arial"/>
            <scheme val="minor"/>
          </rPr>
          <t>Responder updated this value.</t>
        </r>
      </text>
    </comment>
    <comment ref="AE89" authorId="0" shapeId="0" xr:uid="{00000000-0006-0000-0300-0000D9070000}">
      <text>
        <r>
          <rPr>
            <sz val="10"/>
            <color rgb="FF000000"/>
            <rFont val="Arial"/>
            <scheme val="minor"/>
          </rPr>
          <t>Responder updated this value.</t>
        </r>
      </text>
    </comment>
    <comment ref="AI89" authorId="0" shapeId="0" xr:uid="{00000000-0006-0000-0300-0000DA070000}">
      <text>
        <r>
          <rPr>
            <sz val="10"/>
            <color rgb="FF000000"/>
            <rFont val="Arial"/>
            <scheme val="minor"/>
          </rPr>
          <t>Responder updated this value.</t>
        </r>
      </text>
    </comment>
    <comment ref="AK89" authorId="0" shapeId="0" xr:uid="{00000000-0006-0000-0300-0000DB070000}">
      <text>
        <r>
          <rPr>
            <sz val="10"/>
            <color rgb="FF000000"/>
            <rFont val="Arial"/>
            <scheme val="minor"/>
          </rPr>
          <t>Responder updated this value.</t>
        </r>
      </text>
    </comment>
    <comment ref="AL89" authorId="0" shapeId="0" xr:uid="{00000000-0006-0000-0300-0000DC070000}">
      <text>
        <r>
          <rPr>
            <sz val="10"/>
            <color rgb="FF000000"/>
            <rFont val="Arial"/>
            <scheme val="minor"/>
          </rPr>
          <t>Responder updated this value.</t>
        </r>
      </text>
    </comment>
    <comment ref="AM89" authorId="0" shapeId="0" xr:uid="{00000000-0006-0000-0300-0000DD070000}">
      <text>
        <r>
          <rPr>
            <sz val="10"/>
            <color rgb="FF000000"/>
            <rFont val="Arial"/>
            <scheme val="minor"/>
          </rPr>
          <t>Responder updated this value.</t>
        </r>
      </text>
    </comment>
    <comment ref="AN89" authorId="0" shapeId="0" xr:uid="{00000000-0006-0000-0300-0000DE070000}">
      <text>
        <r>
          <rPr>
            <sz val="10"/>
            <color rgb="FF000000"/>
            <rFont val="Arial"/>
            <scheme val="minor"/>
          </rPr>
          <t>Responder updated this value.</t>
        </r>
      </text>
    </comment>
    <comment ref="AO89" authorId="0" shapeId="0" xr:uid="{00000000-0006-0000-0300-0000DF070000}">
      <text>
        <r>
          <rPr>
            <sz val="10"/>
            <color rgb="FF000000"/>
            <rFont val="Arial"/>
            <scheme val="minor"/>
          </rPr>
          <t>Responder updated this value.</t>
        </r>
      </text>
    </comment>
    <comment ref="AP89" authorId="0" shapeId="0" xr:uid="{00000000-0006-0000-0300-0000E0070000}">
      <text>
        <r>
          <rPr>
            <sz val="10"/>
            <color rgb="FF000000"/>
            <rFont val="Arial"/>
            <scheme val="minor"/>
          </rPr>
          <t>Responder updated this value.</t>
        </r>
      </text>
    </comment>
    <comment ref="AQ89" authorId="0" shapeId="0" xr:uid="{00000000-0006-0000-0300-0000E1070000}">
      <text>
        <r>
          <rPr>
            <sz val="10"/>
            <color rgb="FF000000"/>
            <rFont val="Arial"/>
            <scheme val="minor"/>
          </rPr>
          <t>Responder updated this value.</t>
        </r>
      </text>
    </comment>
    <comment ref="AR89" authorId="0" shapeId="0" xr:uid="{00000000-0006-0000-0300-0000E2070000}">
      <text>
        <r>
          <rPr>
            <sz val="10"/>
            <color rgb="FF000000"/>
            <rFont val="Arial"/>
            <scheme val="minor"/>
          </rPr>
          <t>Responder updated this value.</t>
        </r>
      </text>
    </comment>
    <comment ref="AS89" authorId="0" shapeId="0" xr:uid="{00000000-0006-0000-0300-0000E3070000}">
      <text>
        <r>
          <rPr>
            <sz val="10"/>
            <color rgb="FF000000"/>
            <rFont val="Arial"/>
            <scheme val="minor"/>
          </rPr>
          <t>Responder updated this value.</t>
        </r>
      </text>
    </comment>
    <comment ref="AT89" authorId="0" shapeId="0" xr:uid="{00000000-0006-0000-0300-0000E4070000}">
      <text>
        <r>
          <rPr>
            <sz val="10"/>
            <color rgb="FF000000"/>
            <rFont val="Arial"/>
            <scheme val="minor"/>
          </rPr>
          <t>Responder updated this value.</t>
        </r>
      </text>
    </comment>
    <comment ref="AU89" authorId="0" shapeId="0" xr:uid="{00000000-0006-0000-0300-0000E5070000}">
      <text>
        <r>
          <rPr>
            <sz val="10"/>
            <color rgb="FF000000"/>
            <rFont val="Arial"/>
            <scheme val="minor"/>
          </rPr>
          <t>Responder updated this value.</t>
        </r>
      </text>
    </comment>
    <comment ref="D90" authorId="0" shapeId="0" xr:uid="{00000000-0006-0000-0300-0000E6070000}">
      <text>
        <r>
          <rPr>
            <sz val="10"/>
            <color rgb="FF000000"/>
            <rFont val="Arial"/>
            <scheme val="minor"/>
          </rPr>
          <t>Responder updated this value.</t>
        </r>
      </text>
    </comment>
    <comment ref="L90" authorId="0" shapeId="0" xr:uid="{00000000-0006-0000-0300-0000E7070000}">
      <text>
        <r>
          <rPr>
            <sz val="10"/>
            <color rgb="FF000000"/>
            <rFont val="Arial"/>
            <scheme val="minor"/>
          </rPr>
          <t>Responder updated this value.</t>
        </r>
      </text>
    </comment>
    <comment ref="M90" authorId="0" shapeId="0" xr:uid="{00000000-0006-0000-0300-0000E8070000}">
      <text>
        <r>
          <rPr>
            <sz val="10"/>
            <color rgb="FF000000"/>
            <rFont val="Arial"/>
            <scheme val="minor"/>
          </rPr>
          <t>Responder updated this value.</t>
        </r>
      </text>
    </comment>
    <comment ref="N90" authorId="0" shapeId="0" xr:uid="{00000000-0006-0000-0300-0000E9070000}">
      <text>
        <r>
          <rPr>
            <sz val="10"/>
            <color rgb="FF000000"/>
            <rFont val="Arial"/>
            <scheme val="minor"/>
          </rPr>
          <t>Responder updated this value.</t>
        </r>
      </text>
    </comment>
    <comment ref="O90" authorId="0" shapeId="0" xr:uid="{00000000-0006-0000-0300-0000EA070000}">
      <text>
        <r>
          <rPr>
            <sz val="10"/>
            <color rgb="FF000000"/>
            <rFont val="Arial"/>
            <scheme val="minor"/>
          </rPr>
          <t>Responder updated this value.</t>
        </r>
      </text>
    </comment>
    <comment ref="P90" authorId="0" shapeId="0" xr:uid="{00000000-0006-0000-0300-0000EB070000}">
      <text>
        <r>
          <rPr>
            <sz val="10"/>
            <color rgb="FF000000"/>
            <rFont val="Arial"/>
            <scheme val="minor"/>
          </rPr>
          <t>Responder updated this value.</t>
        </r>
      </text>
    </comment>
    <comment ref="Q90" authorId="0" shapeId="0" xr:uid="{00000000-0006-0000-0300-0000EC070000}">
      <text>
        <r>
          <rPr>
            <sz val="10"/>
            <color rgb="FF000000"/>
            <rFont val="Arial"/>
            <scheme val="minor"/>
          </rPr>
          <t>Responder updated this value.</t>
        </r>
      </text>
    </comment>
    <comment ref="S90" authorId="0" shapeId="0" xr:uid="{00000000-0006-0000-0300-0000ED070000}">
      <text>
        <r>
          <rPr>
            <sz val="10"/>
            <color rgb="FF000000"/>
            <rFont val="Arial"/>
            <scheme val="minor"/>
          </rPr>
          <t>Responder updated this value.</t>
        </r>
      </text>
    </comment>
    <comment ref="U90" authorId="0" shapeId="0" xr:uid="{00000000-0006-0000-0300-0000EE070000}">
      <text>
        <r>
          <rPr>
            <sz val="10"/>
            <color rgb="FF000000"/>
            <rFont val="Arial"/>
            <scheme val="minor"/>
          </rPr>
          <t>Responder updated this value.</t>
        </r>
      </text>
    </comment>
    <comment ref="W90" authorId="0" shapeId="0" xr:uid="{00000000-0006-0000-0300-0000EF070000}">
      <text>
        <r>
          <rPr>
            <sz val="10"/>
            <color rgb="FF000000"/>
            <rFont val="Arial"/>
            <scheme val="minor"/>
          </rPr>
          <t>Responder updated this value.</t>
        </r>
      </text>
    </comment>
    <comment ref="X90" authorId="0" shapeId="0" xr:uid="{00000000-0006-0000-0300-0000F0070000}">
      <text>
        <r>
          <rPr>
            <sz val="10"/>
            <color rgb="FF000000"/>
            <rFont val="Arial"/>
            <scheme val="minor"/>
          </rPr>
          <t>Responder updated this value.</t>
        </r>
      </text>
    </comment>
    <comment ref="Y90" authorId="0" shapeId="0" xr:uid="{00000000-0006-0000-0300-0000F1070000}">
      <text>
        <r>
          <rPr>
            <sz val="10"/>
            <color rgb="FF000000"/>
            <rFont val="Arial"/>
            <scheme val="minor"/>
          </rPr>
          <t>Responder updated this value.</t>
        </r>
      </text>
    </comment>
    <comment ref="Z90" authorId="0" shapeId="0" xr:uid="{00000000-0006-0000-0300-0000F2070000}">
      <text>
        <r>
          <rPr>
            <sz val="10"/>
            <color rgb="FF000000"/>
            <rFont val="Arial"/>
            <scheme val="minor"/>
          </rPr>
          <t>Responder updated this value.</t>
        </r>
      </text>
    </comment>
    <comment ref="AC90" authorId="0" shapeId="0" xr:uid="{00000000-0006-0000-0300-0000F3070000}">
      <text>
        <r>
          <rPr>
            <sz val="10"/>
            <color rgb="FF000000"/>
            <rFont val="Arial"/>
            <scheme val="minor"/>
          </rPr>
          <t>Responder updated this value.</t>
        </r>
      </text>
    </comment>
    <comment ref="AD90" authorId="0" shapeId="0" xr:uid="{00000000-0006-0000-0300-0000F4070000}">
      <text>
        <r>
          <rPr>
            <sz val="10"/>
            <color rgb="FF000000"/>
            <rFont val="Arial"/>
            <scheme val="minor"/>
          </rPr>
          <t>Responder updated this value.</t>
        </r>
      </text>
    </comment>
    <comment ref="AE90" authorId="0" shapeId="0" xr:uid="{00000000-0006-0000-0300-0000F5070000}">
      <text>
        <r>
          <rPr>
            <sz val="10"/>
            <color rgb="FF000000"/>
            <rFont val="Arial"/>
            <scheme val="minor"/>
          </rPr>
          <t>Responder updated this value.</t>
        </r>
      </text>
    </comment>
    <comment ref="AF90" authorId="0" shapeId="0" xr:uid="{00000000-0006-0000-0300-0000F6070000}">
      <text>
        <r>
          <rPr>
            <sz val="10"/>
            <color rgb="FF000000"/>
            <rFont val="Arial"/>
            <scheme val="minor"/>
          </rPr>
          <t>Responder updated this value.</t>
        </r>
      </text>
    </comment>
    <comment ref="AG90" authorId="0" shapeId="0" xr:uid="{00000000-0006-0000-0300-0000F7070000}">
      <text>
        <r>
          <rPr>
            <sz val="10"/>
            <color rgb="FF000000"/>
            <rFont val="Arial"/>
            <scheme val="minor"/>
          </rPr>
          <t>Responder updated this value.</t>
        </r>
      </text>
    </comment>
    <comment ref="AH90" authorId="0" shapeId="0" xr:uid="{00000000-0006-0000-0300-0000F8070000}">
      <text>
        <r>
          <rPr>
            <sz val="10"/>
            <color rgb="FF000000"/>
            <rFont val="Arial"/>
            <scheme val="minor"/>
          </rPr>
          <t>Responder updated this value.</t>
        </r>
      </text>
    </comment>
    <comment ref="AI90" authorId="0" shapeId="0" xr:uid="{00000000-0006-0000-0300-0000F9070000}">
      <text>
        <r>
          <rPr>
            <sz val="10"/>
            <color rgb="FF000000"/>
            <rFont val="Arial"/>
            <scheme val="minor"/>
          </rPr>
          <t>Responder updated this value.</t>
        </r>
      </text>
    </comment>
    <comment ref="AK90" authorId="0" shapeId="0" xr:uid="{00000000-0006-0000-0300-0000FA070000}">
      <text>
        <r>
          <rPr>
            <sz val="10"/>
            <color rgb="FF000000"/>
            <rFont val="Arial"/>
            <scheme val="minor"/>
          </rPr>
          <t>Responder updated this value.</t>
        </r>
      </text>
    </comment>
    <comment ref="AL90" authorId="0" shapeId="0" xr:uid="{00000000-0006-0000-0300-0000FB070000}">
      <text>
        <r>
          <rPr>
            <sz val="10"/>
            <color rgb="FF000000"/>
            <rFont val="Arial"/>
            <scheme val="minor"/>
          </rPr>
          <t>Responder updated this value.</t>
        </r>
      </text>
    </comment>
    <comment ref="AM90" authorId="0" shapeId="0" xr:uid="{00000000-0006-0000-0300-0000FC070000}">
      <text>
        <r>
          <rPr>
            <sz val="10"/>
            <color rgb="FF000000"/>
            <rFont val="Arial"/>
            <scheme val="minor"/>
          </rPr>
          <t>Responder updated this value.</t>
        </r>
      </text>
    </comment>
    <comment ref="AN90" authorId="0" shapeId="0" xr:uid="{00000000-0006-0000-0300-0000FD070000}">
      <text>
        <r>
          <rPr>
            <sz val="10"/>
            <color rgb="FF000000"/>
            <rFont val="Arial"/>
            <scheme val="minor"/>
          </rPr>
          <t>Responder updated this value.</t>
        </r>
      </text>
    </comment>
    <comment ref="AO90" authorId="0" shapeId="0" xr:uid="{00000000-0006-0000-0300-0000FE070000}">
      <text>
        <r>
          <rPr>
            <sz val="10"/>
            <color rgb="FF000000"/>
            <rFont val="Arial"/>
            <scheme val="minor"/>
          </rPr>
          <t>Responder updated this value.</t>
        </r>
      </text>
    </comment>
    <comment ref="AP90" authorId="0" shapeId="0" xr:uid="{00000000-0006-0000-0300-0000FF070000}">
      <text>
        <r>
          <rPr>
            <sz val="10"/>
            <color rgb="FF000000"/>
            <rFont val="Arial"/>
            <scheme val="minor"/>
          </rPr>
          <t>Responder updated this value.</t>
        </r>
      </text>
    </comment>
    <comment ref="AQ90" authorId="0" shapeId="0" xr:uid="{00000000-0006-0000-0300-000000080000}">
      <text>
        <r>
          <rPr>
            <sz val="10"/>
            <color rgb="FF000000"/>
            <rFont val="Arial"/>
            <scheme val="minor"/>
          </rPr>
          <t>Responder updated this value.</t>
        </r>
      </text>
    </comment>
    <comment ref="AR90" authorId="0" shapeId="0" xr:uid="{00000000-0006-0000-0300-000001080000}">
      <text>
        <r>
          <rPr>
            <sz val="10"/>
            <color rgb="FF000000"/>
            <rFont val="Arial"/>
            <scheme val="minor"/>
          </rPr>
          <t>Responder updated this value.</t>
        </r>
      </text>
    </comment>
    <comment ref="AS90" authorId="0" shapeId="0" xr:uid="{00000000-0006-0000-0300-000002080000}">
      <text>
        <r>
          <rPr>
            <sz val="10"/>
            <color rgb="FF000000"/>
            <rFont val="Arial"/>
            <scheme val="minor"/>
          </rPr>
          <t>Responder updated this value.</t>
        </r>
      </text>
    </comment>
    <comment ref="AU90" authorId="0" shapeId="0" xr:uid="{00000000-0006-0000-0300-000003080000}">
      <text>
        <r>
          <rPr>
            <sz val="10"/>
            <color rgb="FF000000"/>
            <rFont val="Arial"/>
            <scheme val="minor"/>
          </rPr>
          <t>Responder updated this value.</t>
        </r>
      </text>
    </comment>
    <comment ref="D91" authorId="0" shapeId="0" xr:uid="{00000000-0006-0000-0300-000004080000}">
      <text>
        <r>
          <rPr>
            <sz val="10"/>
            <color rgb="FF000000"/>
            <rFont val="Arial"/>
            <scheme val="minor"/>
          </rPr>
          <t>Responder updated this value.</t>
        </r>
      </text>
    </comment>
    <comment ref="L91" authorId="0" shapeId="0" xr:uid="{00000000-0006-0000-0300-000005080000}">
      <text>
        <r>
          <rPr>
            <sz val="10"/>
            <color rgb="FF000000"/>
            <rFont val="Arial"/>
            <scheme val="minor"/>
          </rPr>
          <t>Responder updated this value.</t>
        </r>
      </text>
    </comment>
    <comment ref="M91" authorId="0" shapeId="0" xr:uid="{00000000-0006-0000-0300-000006080000}">
      <text>
        <r>
          <rPr>
            <sz val="10"/>
            <color rgb="FF000000"/>
            <rFont val="Arial"/>
            <scheme val="minor"/>
          </rPr>
          <t>Responder updated this value.</t>
        </r>
      </text>
    </comment>
    <comment ref="N91" authorId="0" shapeId="0" xr:uid="{00000000-0006-0000-0300-000007080000}">
      <text>
        <r>
          <rPr>
            <sz val="10"/>
            <color rgb="FF000000"/>
            <rFont val="Arial"/>
            <scheme val="minor"/>
          </rPr>
          <t>Responder updated this value.</t>
        </r>
      </text>
    </comment>
    <comment ref="O91" authorId="0" shapeId="0" xr:uid="{00000000-0006-0000-0300-000008080000}">
      <text>
        <r>
          <rPr>
            <sz val="10"/>
            <color rgb="FF000000"/>
            <rFont val="Arial"/>
            <scheme val="minor"/>
          </rPr>
          <t>Responder updated this value.</t>
        </r>
      </text>
    </comment>
    <comment ref="P91" authorId="0" shapeId="0" xr:uid="{00000000-0006-0000-0300-000009080000}">
      <text>
        <r>
          <rPr>
            <sz val="10"/>
            <color rgb="FF000000"/>
            <rFont val="Arial"/>
            <scheme val="minor"/>
          </rPr>
          <t>Responder updated this value.</t>
        </r>
      </text>
    </comment>
    <comment ref="Q91" authorId="0" shapeId="0" xr:uid="{00000000-0006-0000-0300-00000A080000}">
      <text>
        <r>
          <rPr>
            <sz val="10"/>
            <color rgb="FF000000"/>
            <rFont val="Arial"/>
            <scheme val="minor"/>
          </rPr>
          <t>Responder updated this value.</t>
        </r>
      </text>
    </comment>
    <comment ref="S91" authorId="0" shapeId="0" xr:uid="{00000000-0006-0000-0300-00000B080000}">
      <text>
        <r>
          <rPr>
            <sz val="10"/>
            <color rgb="FF000000"/>
            <rFont val="Arial"/>
            <scheme val="minor"/>
          </rPr>
          <t>Responder updated this value.</t>
        </r>
      </text>
    </comment>
    <comment ref="U91" authorId="0" shapeId="0" xr:uid="{00000000-0006-0000-0300-00000C080000}">
      <text>
        <r>
          <rPr>
            <sz val="10"/>
            <color rgb="FF000000"/>
            <rFont val="Arial"/>
            <scheme val="minor"/>
          </rPr>
          <t>Responder updated this value.</t>
        </r>
      </text>
    </comment>
    <comment ref="W91" authorId="0" shapeId="0" xr:uid="{00000000-0006-0000-0300-00000D080000}">
      <text>
        <r>
          <rPr>
            <sz val="10"/>
            <color rgb="FF000000"/>
            <rFont val="Arial"/>
            <scheme val="minor"/>
          </rPr>
          <t>Responder updated this value.</t>
        </r>
      </text>
    </comment>
    <comment ref="X91" authorId="0" shapeId="0" xr:uid="{00000000-0006-0000-0300-00000E080000}">
      <text>
        <r>
          <rPr>
            <sz val="10"/>
            <color rgb="FF000000"/>
            <rFont val="Arial"/>
            <scheme val="minor"/>
          </rPr>
          <t>Responder updated this value.</t>
        </r>
      </text>
    </comment>
    <comment ref="Y91" authorId="0" shapeId="0" xr:uid="{00000000-0006-0000-0300-00000F080000}">
      <text>
        <r>
          <rPr>
            <sz val="10"/>
            <color rgb="FF000000"/>
            <rFont val="Arial"/>
            <scheme val="minor"/>
          </rPr>
          <t>Responder updated this value.</t>
        </r>
      </text>
    </comment>
    <comment ref="Z91" authorId="0" shapeId="0" xr:uid="{00000000-0006-0000-0300-000010080000}">
      <text>
        <r>
          <rPr>
            <sz val="10"/>
            <color rgb="FF000000"/>
            <rFont val="Arial"/>
            <scheme val="minor"/>
          </rPr>
          <t>Responder updated this value.</t>
        </r>
      </text>
    </comment>
    <comment ref="AC91" authorId="0" shapeId="0" xr:uid="{00000000-0006-0000-0300-000011080000}">
      <text>
        <r>
          <rPr>
            <sz val="10"/>
            <color rgb="FF000000"/>
            <rFont val="Arial"/>
            <scheme val="minor"/>
          </rPr>
          <t>Responder updated this value.</t>
        </r>
      </text>
    </comment>
    <comment ref="AD91" authorId="0" shapeId="0" xr:uid="{00000000-0006-0000-0300-000012080000}">
      <text>
        <r>
          <rPr>
            <sz val="10"/>
            <color rgb="FF000000"/>
            <rFont val="Arial"/>
            <scheme val="minor"/>
          </rPr>
          <t>Responder updated this value.</t>
        </r>
      </text>
    </comment>
    <comment ref="AE91" authorId="0" shapeId="0" xr:uid="{00000000-0006-0000-0300-000013080000}">
      <text>
        <r>
          <rPr>
            <sz val="10"/>
            <color rgb="FF000000"/>
            <rFont val="Arial"/>
            <scheme val="minor"/>
          </rPr>
          <t>Responder updated this value.</t>
        </r>
      </text>
    </comment>
    <comment ref="AF91" authorId="0" shapeId="0" xr:uid="{00000000-0006-0000-0300-000014080000}">
      <text>
        <r>
          <rPr>
            <sz val="10"/>
            <color rgb="FF000000"/>
            <rFont val="Arial"/>
            <scheme val="minor"/>
          </rPr>
          <t>Responder updated this value.</t>
        </r>
      </text>
    </comment>
    <comment ref="AG91" authorId="0" shapeId="0" xr:uid="{00000000-0006-0000-0300-000015080000}">
      <text>
        <r>
          <rPr>
            <sz val="10"/>
            <color rgb="FF000000"/>
            <rFont val="Arial"/>
            <scheme val="minor"/>
          </rPr>
          <t>Responder updated this value.</t>
        </r>
      </text>
    </comment>
    <comment ref="AH91" authorId="0" shapeId="0" xr:uid="{00000000-0006-0000-0300-000016080000}">
      <text>
        <r>
          <rPr>
            <sz val="10"/>
            <color rgb="FF000000"/>
            <rFont val="Arial"/>
            <scheme val="minor"/>
          </rPr>
          <t>Responder updated this value.</t>
        </r>
      </text>
    </comment>
    <comment ref="AK91" authorId="0" shapeId="0" xr:uid="{00000000-0006-0000-0300-000017080000}">
      <text>
        <r>
          <rPr>
            <sz val="10"/>
            <color rgb="FF000000"/>
            <rFont val="Arial"/>
            <scheme val="minor"/>
          </rPr>
          <t>Responder updated this value.</t>
        </r>
      </text>
    </comment>
    <comment ref="AL91" authorId="0" shapeId="0" xr:uid="{00000000-0006-0000-0300-000018080000}">
      <text>
        <r>
          <rPr>
            <sz val="10"/>
            <color rgb="FF000000"/>
            <rFont val="Arial"/>
            <scheme val="minor"/>
          </rPr>
          <t>Responder updated this value.</t>
        </r>
      </text>
    </comment>
    <comment ref="AM91" authorId="0" shapeId="0" xr:uid="{00000000-0006-0000-0300-000019080000}">
      <text>
        <r>
          <rPr>
            <sz val="10"/>
            <color rgb="FF000000"/>
            <rFont val="Arial"/>
            <scheme val="minor"/>
          </rPr>
          <t>Responder updated this value.</t>
        </r>
      </text>
    </comment>
    <comment ref="AN91" authorId="0" shapeId="0" xr:uid="{00000000-0006-0000-0300-00001A080000}">
      <text>
        <r>
          <rPr>
            <sz val="10"/>
            <color rgb="FF000000"/>
            <rFont val="Arial"/>
            <scheme val="minor"/>
          </rPr>
          <t>Responder updated this value.</t>
        </r>
      </text>
    </comment>
    <comment ref="AO91" authorId="0" shapeId="0" xr:uid="{00000000-0006-0000-0300-00001B080000}">
      <text>
        <r>
          <rPr>
            <sz val="10"/>
            <color rgb="FF000000"/>
            <rFont val="Arial"/>
            <scheme val="minor"/>
          </rPr>
          <t>Responder updated this value.</t>
        </r>
      </text>
    </comment>
    <comment ref="AP91" authorId="0" shapeId="0" xr:uid="{00000000-0006-0000-0300-00001C080000}">
      <text>
        <r>
          <rPr>
            <sz val="10"/>
            <color rgb="FF000000"/>
            <rFont val="Arial"/>
            <scheme val="minor"/>
          </rPr>
          <t>Responder updated this value.</t>
        </r>
      </text>
    </comment>
    <comment ref="AQ91" authorId="0" shapeId="0" xr:uid="{00000000-0006-0000-0300-00001D080000}">
      <text>
        <r>
          <rPr>
            <sz val="10"/>
            <color rgb="FF000000"/>
            <rFont val="Arial"/>
            <scheme val="minor"/>
          </rPr>
          <t>Responder updated this value.</t>
        </r>
      </text>
    </comment>
    <comment ref="AR91" authorId="0" shapeId="0" xr:uid="{00000000-0006-0000-0300-00001E080000}">
      <text>
        <r>
          <rPr>
            <sz val="10"/>
            <color rgb="FF000000"/>
            <rFont val="Arial"/>
            <scheme val="minor"/>
          </rPr>
          <t>Responder updated this value.</t>
        </r>
      </text>
    </comment>
    <comment ref="AT91" authorId="0" shapeId="0" xr:uid="{00000000-0006-0000-0300-00001F080000}">
      <text>
        <r>
          <rPr>
            <sz val="10"/>
            <color rgb="FF000000"/>
            <rFont val="Arial"/>
            <scheme val="minor"/>
          </rPr>
          <t>Responder updated this value.</t>
        </r>
      </text>
    </comment>
    <comment ref="AU91" authorId="0" shapeId="0" xr:uid="{00000000-0006-0000-0300-000020080000}">
      <text>
        <r>
          <rPr>
            <sz val="10"/>
            <color rgb="FF000000"/>
            <rFont val="Arial"/>
            <scheme val="minor"/>
          </rPr>
          <t>Responder updated this value.</t>
        </r>
      </text>
    </comment>
    <comment ref="D92" authorId="0" shapeId="0" xr:uid="{00000000-0006-0000-0300-000021080000}">
      <text>
        <r>
          <rPr>
            <sz val="10"/>
            <color rgb="FF000000"/>
            <rFont val="Arial"/>
            <scheme val="minor"/>
          </rPr>
          <t>Responder updated this value.</t>
        </r>
      </text>
    </comment>
    <comment ref="L92" authorId="0" shapeId="0" xr:uid="{00000000-0006-0000-0300-000022080000}">
      <text>
        <r>
          <rPr>
            <sz val="10"/>
            <color rgb="FF000000"/>
            <rFont val="Arial"/>
            <scheme val="minor"/>
          </rPr>
          <t>Responder updated this value.</t>
        </r>
      </text>
    </comment>
    <comment ref="M92" authorId="0" shapeId="0" xr:uid="{00000000-0006-0000-0300-000023080000}">
      <text>
        <r>
          <rPr>
            <sz val="10"/>
            <color rgb="FF000000"/>
            <rFont val="Arial"/>
            <scheme val="minor"/>
          </rPr>
          <t>Responder updated this value.</t>
        </r>
      </text>
    </comment>
    <comment ref="N92" authorId="0" shapeId="0" xr:uid="{00000000-0006-0000-0300-000024080000}">
      <text>
        <r>
          <rPr>
            <sz val="10"/>
            <color rgb="FF000000"/>
            <rFont val="Arial"/>
            <scheme val="minor"/>
          </rPr>
          <t>Responder updated this value.</t>
        </r>
      </text>
    </comment>
    <comment ref="O92" authorId="0" shapeId="0" xr:uid="{00000000-0006-0000-0300-000025080000}">
      <text>
        <r>
          <rPr>
            <sz val="10"/>
            <color rgb="FF000000"/>
            <rFont val="Arial"/>
            <scheme val="minor"/>
          </rPr>
          <t>Responder updated this value.</t>
        </r>
      </text>
    </comment>
    <comment ref="P92" authorId="0" shapeId="0" xr:uid="{00000000-0006-0000-0300-000026080000}">
      <text>
        <r>
          <rPr>
            <sz val="10"/>
            <color rgb="FF000000"/>
            <rFont val="Arial"/>
            <scheme val="minor"/>
          </rPr>
          <t>Responder updated this value.</t>
        </r>
      </text>
    </comment>
    <comment ref="Q92" authorId="0" shapeId="0" xr:uid="{00000000-0006-0000-0300-000027080000}">
      <text>
        <r>
          <rPr>
            <sz val="10"/>
            <color rgb="FF000000"/>
            <rFont val="Arial"/>
            <scheme val="minor"/>
          </rPr>
          <t>Responder updated this value.</t>
        </r>
      </text>
    </comment>
    <comment ref="S92" authorId="0" shapeId="0" xr:uid="{00000000-0006-0000-0300-000028080000}">
      <text>
        <r>
          <rPr>
            <sz val="10"/>
            <color rgb="FF000000"/>
            <rFont val="Arial"/>
            <scheme val="minor"/>
          </rPr>
          <t>Responder updated this value.</t>
        </r>
      </text>
    </comment>
    <comment ref="U92" authorId="0" shapeId="0" xr:uid="{00000000-0006-0000-0300-000029080000}">
      <text>
        <r>
          <rPr>
            <sz val="10"/>
            <color rgb="FF000000"/>
            <rFont val="Arial"/>
            <scheme val="minor"/>
          </rPr>
          <t>Responder updated this value.</t>
        </r>
      </text>
    </comment>
    <comment ref="W92" authorId="0" shapeId="0" xr:uid="{00000000-0006-0000-0300-00002A080000}">
      <text>
        <r>
          <rPr>
            <sz val="10"/>
            <color rgb="FF000000"/>
            <rFont val="Arial"/>
            <scheme val="minor"/>
          </rPr>
          <t>Responder updated this value.</t>
        </r>
      </text>
    </comment>
    <comment ref="X92" authorId="0" shapeId="0" xr:uid="{00000000-0006-0000-0300-00002B080000}">
      <text>
        <r>
          <rPr>
            <sz val="10"/>
            <color rgb="FF000000"/>
            <rFont val="Arial"/>
            <scheme val="minor"/>
          </rPr>
          <t>Responder updated this value.</t>
        </r>
      </text>
    </comment>
    <comment ref="Y92" authorId="0" shapeId="0" xr:uid="{00000000-0006-0000-0300-00002C080000}">
      <text>
        <r>
          <rPr>
            <sz val="10"/>
            <color rgb="FF000000"/>
            <rFont val="Arial"/>
            <scheme val="minor"/>
          </rPr>
          <t>Responder updated this value.</t>
        </r>
      </text>
    </comment>
    <comment ref="Z92" authorId="0" shapeId="0" xr:uid="{00000000-0006-0000-0300-00002D080000}">
      <text>
        <r>
          <rPr>
            <sz val="10"/>
            <color rgb="FF000000"/>
            <rFont val="Arial"/>
            <scheme val="minor"/>
          </rPr>
          <t>Responder updated this value.</t>
        </r>
      </text>
    </comment>
    <comment ref="AC92" authorId="0" shapeId="0" xr:uid="{00000000-0006-0000-0300-00002E080000}">
      <text>
        <r>
          <rPr>
            <sz val="10"/>
            <color rgb="FF000000"/>
            <rFont val="Arial"/>
            <scheme val="minor"/>
          </rPr>
          <t>Responder updated this value.</t>
        </r>
      </text>
    </comment>
    <comment ref="AD92" authorId="0" shapeId="0" xr:uid="{00000000-0006-0000-0300-00002F080000}">
      <text>
        <r>
          <rPr>
            <sz val="10"/>
            <color rgb="FF000000"/>
            <rFont val="Arial"/>
            <scheme val="minor"/>
          </rPr>
          <t>Responder updated this value.</t>
        </r>
      </text>
    </comment>
    <comment ref="AE92" authorId="0" shapeId="0" xr:uid="{00000000-0006-0000-0300-000030080000}">
      <text>
        <r>
          <rPr>
            <sz val="10"/>
            <color rgb="FF000000"/>
            <rFont val="Arial"/>
            <scheme val="minor"/>
          </rPr>
          <t>Responder updated this value.</t>
        </r>
      </text>
    </comment>
    <comment ref="AF92" authorId="0" shapeId="0" xr:uid="{00000000-0006-0000-0300-000031080000}">
      <text>
        <r>
          <rPr>
            <sz val="10"/>
            <color rgb="FF000000"/>
            <rFont val="Arial"/>
            <scheme val="minor"/>
          </rPr>
          <t>Responder updated this value.</t>
        </r>
      </text>
    </comment>
    <comment ref="AG92" authorId="0" shapeId="0" xr:uid="{00000000-0006-0000-0300-000032080000}">
      <text>
        <r>
          <rPr>
            <sz val="10"/>
            <color rgb="FF000000"/>
            <rFont val="Arial"/>
            <scheme val="minor"/>
          </rPr>
          <t>Responder updated this value.</t>
        </r>
      </text>
    </comment>
    <comment ref="AH92" authorId="0" shapeId="0" xr:uid="{00000000-0006-0000-0300-000033080000}">
      <text>
        <r>
          <rPr>
            <sz val="10"/>
            <color rgb="FF000000"/>
            <rFont val="Arial"/>
            <scheme val="minor"/>
          </rPr>
          <t>Responder updated this value.</t>
        </r>
      </text>
    </comment>
    <comment ref="AI92" authorId="0" shapeId="0" xr:uid="{00000000-0006-0000-0300-000034080000}">
      <text>
        <r>
          <rPr>
            <sz val="10"/>
            <color rgb="FF000000"/>
            <rFont val="Arial"/>
            <scheme val="minor"/>
          </rPr>
          <t>Responder updated this value.</t>
        </r>
      </text>
    </comment>
    <comment ref="AJ92" authorId="0" shapeId="0" xr:uid="{00000000-0006-0000-0300-000035080000}">
      <text>
        <r>
          <rPr>
            <sz val="10"/>
            <color rgb="FF000000"/>
            <rFont val="Arial"/>
            <scheme val="minor"/>
          </rPr>
          <t>Responder updated this value.</t>
        </r>
      </text>
    </comment>
    <comment ref="AK92" authorId="0" shapeId="0" xr:uid="{00000000-0006-0000-0300-000036080000}">
      <text>
        <r>
          <rPr>
            <sz val="10"/>
            <color rgb="FF000000"/>
            <rFont val="Arial"/>
            <scheme val="minor"/>
          </rPr>
          <t>Responder updated this value.</t>
        </r>
      </text>
    </comment>
    <comment ref="AL92" authorId="0" shapeId="0" xr:uid="{00000000-0006-0000-0300-000037080000}">
      <text>
        <r>
          <rPr>
            <sz val="10"/>
            <color rgb="FF000000"/>
            <rFont val="Arial"/>
            <scheme val="minor"/>
          </rPr>
          <t>Responder updated this value.</t>
        </r>
      </text>
    </comment>
    <comment ref="AM92" authorId="0" shapeId="0" xr:uid="{00000000-0006-0000-0300-000038080000}">
      <text>
        <r>
          <rPr>
            <sz val="10"/>
            <color rgb="FF000000"/>
            <rFont val="Arial"/>
            <scheme val="minor"/>
          </rPr>
          <t>Responder updated this value.</t>
        </r>
      </text>
    </comment>
    <comment ref="AN92" authorId="0" shapeId="0" xr:uid="{00000000-0006-0000-0300-000039080000}">
      <text>
        <r>
          <rPr>
            <sz val="10"/>
            <color rgb="FF000000"/>
            <rFont val="Arial"/>
            <scheme val="minor"/>
          </rPr>
          <t>Responder updated this value.</t>
        </r>
      </text>
    </comment>
    <comment ref="AO92" authorId="0" shapeId="0" xr:uid="{00000000-0006-0000-0300-00003A080000}">
      <text>
        <r>
          <rPr>
            <sz val="10"/>
            <color rgb="FF000000"/>
            <rFont val="Arial"/>
            <scheme val="minor"/>
          </rPr>
          <t>Responder updated this value.</t>
        </r>
      </text>
    </comment>
    <comment ref="AP92" authorId="0" shapeId="0" xr:uid="{00000000-0006-0000-0300-00003B080000}">
      <text>
        <r>
          <rPr>
            <sz val="10"/>
            <color rgb="FF000000"/>
            <rFont val="Arial"/>
            <scheme val="minor"/>
          </rPr>
          <t>Responder updated this value.</t>
        </r>
      </text>
    </comment>
    <comment ref="AQ92" authorId="0" shapeId="0" xr:uid="{00000000-0006-0000-0300-00003C080000}">
      <text>
        <r>
          <rPr>
            <sz val="10"/>
            <color rgb="FF000000"/>
            <rFont val="Arial"/>
            <scheme val="minor"/>
          </rPr>
          <t>Responder updated this value.</t>
        </r>
      </text>
    </comment>
    <comment ref="AR92" authorId="0" shapeId="0" xr:uid="{00000000-0006-0000-0300-00003D080000}">
      <text>
        <r>
          <rPr>
            <sz val="10"/>
            <color rgb="FF000000"/>
            <rFont val="Arial"/>
            <scheme val="minor"/>
          </rPr>
          <t>Responder updated this value.</t>
        </r>
      </text>
    </comment>
    <comment ref="AU92" authorId="0" shapeId="0" xr:uid="{00000000-0006-0000-0300-00003E080000}">
      <text>
        <r>
          <rPr>
            <sz val="10"/>
            <color rgb="FF000000"/>
            <rFont val="Arial"/>
            <scheme val="minor"/>
          </rPr>
          <t>Responder updated this value.</t>
        </r>
      </text>
    </comment>
    <comment ref="D93" authorId="0" shapeId="0" xr:uid="{00000000-0006-0000-0300-00003F080000}">
      <text>
        <r>
          <rPr>
            <sz val="10"/>
            <color rgb="FF000000"/>
            <rFont val="Arial"/>
            <scheme val="minor"/>
          </rPr>
          <t>Responder updated this value.</t>
        </r>
      </text>
    </comment>
    <comment ref="L93" authorId="0" shapeId="0" xr:uid="{00000000-0006-0000-0300-000040080000}">
      <text>
        <r>
          <rPr>
            <sz val="10"/>
            <color rgb="FF000000"/>
            <rFont val="Arial"/>
            <scheme val="minor"/>
          </rPr>
          <t>Responder updated this value.</t>
        </r>
      </text>
    </comment>
    <comment ref="M93" authorId="0" shapeId="0" xr:uid="{00000000-0006-0000-0300-000041080000}">
      <text>
        <r>
          <rPr>
            <sz val="10"/>
            <color rgb="FF000000"/>
            <rFont val="Arial"/>
            <scheme val="minor"/>
          </rPr>
          <t>Responder updated this value.</t>
        </r>
      </text>
    </comment>
    <comment ref="N93" authorId="0" shapeId="0" xr:uid="{00000000-0006-0000-0300-000042080000}">
      <text>
        <r>
          <rPr>
            <sz val="10"/>
            <color rgb="FF000000"/>
            <rFont val="Arial"/>
            <scheme val="minor"/>
          </rPr>
          <t>Responder updated this value.</t>
        </r>
      </text>
    </comment>
    <comment ref="O93" authorId="0" shapeId="0" xr:uid="{00000000-0006-0000-0300-000043080000}">
      <text>
        <r>
          <rPr>
            <sz val="10"/>
            <color rgb="FF000000"/>
            <rFont val="Arial"/>
            <scheme val="minor"/>
          </rPr>
          <t>Responder updated this value.</t>
        </r>
      </text>
    </comment>
    <comment ref="P93" authorId="0" shapeId="0" xr:uid="{00000000-0006-0000-0300-000044080000}">
      <text>
        <r>
          <rPr>
            <sz val="10"/>
            <color rgb="FF000000"/>
            <rFont val="Arial"/>
            <scheme val="minor"/>
          </rPr>
          <t>Responder updated this value.</t>
        </r>
      </text>
    </comment>
    <comment ref="Q93" authorId="0" shapeId="0" xr:uid="{00000000-0006-0000-0300-000045080000}">
      <text>
        <r>
          <rPr>
            <sz val="10"/>
            <color rgb="FF000000"/>
            <rFont val="Arial"/>
            <scheme val="minor"/>
          </rPr>
          <t>Responder updated this value.</t>
        </r>
      </text>
    </comment>
    <comment ref="S93" authorId="0" shapeId="0" xr:uid="{00000000-0006-0000-0300-000046080000}">
      <text>
        <r>
          <rPr>
            <sz val="10"/>
            <color rgb="FF000000"/>
            <rFont val="Arial"/>
            <scheme val="minor"/>
          </rPr>
          <t>Responder updated this value.</t>
        </r>
      </text>
    </comment>
    <comment ref="U93" authorId="0" shapeId="0" xr:uid="{00000000-0006-0000-0300-000047080000}">
      <text>
        <r>
          <rPr>
            <sz val="10"/>
            <color rgb="FF000000"/>
            <rFont val="Arial"/>
            <scheme val="minor"/>
          </rPr>
          <t>Responder updated this value.</t>
        </r>
      </text>
    </comment>
    <comment ref="W93" authorId="0" shapeId="0" xr:uid="{00000000-0006-0000-0300-000048080000}">
      <text>
        <r>
          <rPr>
            <sz val="10"/>
            <color rgb="FF000000"/>
            <rFont val="Arial"/>
            <scheme val="minor"/>
          </rPr>
          <t>Responder updated this value.</t>
        </r>
      </text>
    </comment>
    <comment ref="X93" authorId="0" shapeId="0" xr:uid="{00000000-0006-0000-0300-000049080000}">
      <text>
        <r>
          <rPr>
            <sz val="10"/>
            <color rgb="FF000000"/>
            <rFont val="Arial"/>
            <scheme val="minor"/>
          </rPr>
          <t>Responder updated this value.</t>
        </r>
      </text>
    </comment>
    <comment ref="Y93" authorId="0" shapeId="0" xr:uid="{00000000-0006-0000-0300-00004A080000}">
      <text>
        <r>
          <rPr>
            <sz val="10"/>
            <color rgb="FF000000"/>
            <rFont val="Arial"/>
            <scheme val="minor"/>
          </rPr>
          <t>Responder updated this value.</t>
        </r>
      </text>
    </comment>
    <comment ref="Z93" authorId="0" shapeId="0" xr:uid="{00000000-0006-0000-0300-00004B080000}">
      <text>
        <r>
          <rPr>
            <sz val="10"/>
            <color rgb="FF000000"/>
            <rFont val="Arial"/>
            <scheme val="minor"/>
          </rPr>
          <t>Responder updated this value.</t>
        </r>
      </text>
    </comment>
    <comment ref="AC93" authorId="0" shapeId="0" xr:uid="{00000000-0006-0000-0300-00004C080000}">
      <text>
        <r>
          <rPr>
            <sz val="10"/>
            <color rgb="FF000000"/>
            <rFont val="Arial"/>
            <scheme val="minor"/>
          </rPr>
          <t>Responder updated this value.</t>
        </r>
      </text>
    </comment>
    <comment ref="AD93" authorId="0" shapeId="0" xr:uid="{00000000-0006-0000-0300-00004D080000}">
      <text>
        <r>
          <rPr>
            <sz val="10"/>
            <color rgb="FF000000"/>
            <rFont val="Arial"/>
            <scheme val="minor"/>
          </rPr>
          <t>Responder updated this value.</t>
        </r>
      </text>
    </comment>
    <comment ref="AE93" authorId="0" shapeId="0" xr:uid="{00000000-0006-0000-0300-00004E080000}">
      <text>
        <r>
          <rPr>
            <sz val="10"/>
            <color rgb="FF000000"/>
            <rFont val="Arial"/>
            <scheme val="minor"/>
          </rPr>
          <t>Responder updated this value.</t>
        </r>
      </text>
    </comment>
    <comment ref="AF93" authorId="0" shapeId="0" xr:uid="{00000000-0006-0000-0300-00004F080000}">
      <text>
        <r>
          <rPr>
            <sz val="10"/>
            <color rgb="FF000000"/>
            <rFont val="Arial"/>
            <scheme val="minor"/>
          </rPr>
          <t>Responder updated this value.</t>
        </r>
      </text>
    </comment>
    <comment ref="AG93" authorId="0" shapeId="0" xr:uid="{00000000-0006-0000-0300-000050080000}">
      <text>
        <r>
          <rPr>
            <sz val="10"/>
            <color rgb="FF000000"/>
            <rFont val="Arial"/>
            <scheme val="minor"/>
          </rPr>
          <t>Responder updated this value.</t>
        </r>
      </text>
    </comment>
    <comment ref="AH93" authorId="0" shapeId="0" xr:uid="{00000000-0006-0000-0300-000051080000}">
      <text>
        <r>
          <rPr>
            <sz val="10"/>
            <color rgb="FF000000"/>
            <rFont val="Arial"/>
            <scheme val="minor"/>
          </rPr>
          <t>Responder updated this value.</t>
        </r>
      </text>
    </comment>
    <comment ref="AK93" authorId="0" shapeId="0" xr:uid="{00000000-0006-0000-0300-000052080000}">
      <text>
        <r>
          <rPr>
            <sz val="10"/>
            <color rgb="FF000000"/>
            <rFont val="Arial"/>
            <scheme val="minor"/>
          </rPr>
          <t>Responder updated this value.</t>
        </r>
      </text>
    </comment>
    <comment ref="AL93" authorId="0" shapeId="0" xr:uid="{00000000-0006-0000-0300-000053080000}">
      <text>
        <r>
          <rPr>
            <sz val="10"/>
            <color rgb="FF000000"/>
            <rFont val="Arial"/>
            <scheme val="minor"/>
          </rPr>
          <t>Responder updated this value.</t>
        </r>
      </text>
    </comment>
    <comment ref="AM93" authorId="0" shapeId="0" xr:uid="{00000000-0006-0000-0300-000054080000}">
      <text>
        <r>
          <rPr>
            <sz val="10"/>
            <color rgb="FF000000"/>
            <rFont val="Arial"/>
            <scheme val="minor"/>
          </rPr>
          <t>Responder updated this value.</t>
        </r>
      </text>
    </comment>
    <comment ref="AN93" authorId="0" shapeId="0" xr:uid="{00000000-0006-0000-0300-000055080000}">
      <text>
        <r>
          <rPr>
            <sz val="10"/>
            <color rgb="FF000000"/>
            <rFont val="Arial"/>
            <scheme val="minor"/>
          </rPr>
          <t>Responder updated this value.</t>
        </r>
      </text>
    </comment>
    <comment ref="AO93" authorId="0" shapeId="0" xr:uid="{00000000-0006-0000-0300-000056080000}">
      <text>
        <r>
          <rPr>
            <sz val="10"/>
            <color rgb="FF000000"/>
            <rFont val="Arial"/>
            <scheme val="minor"/>
          </rPr>
          <t>Responder updated this value.</t>
        </r>
      </text>
    </comment>
    <comment ref="AP93" authorId="0" shapeId="0" xr:uid="{00000000-0006-0000-0300-000057080000}">
      <text>
        <r>
          <rPr>
            <sz val="10"/>
            <color rgb="FF000000"/>
            <rFont val="Arial"/>
            <scheme val="minor"/>
          </rPr>
          <t>Responder updated this value.</t>
        </r>
      </text>
    </comment>
    <comment ref="AQ93" authorId="0" shapeId="0" xr:uid="{00000000-0006-0000-0300-000058080000}">
      <text>
        <r>
          <rPr>
            <sz val="10"/>
            <color rgb="FF000000"/>
            <rFont val="Arial"/>
            <scheme val="minor"/>
          </rPr>
          <t>Responder updated this value.</t>
        </r>
      </text>
    </comment>
    <comment ref="AR93" authorId="0" shapeId="0" xr:uid="{00000000-0006-0000-0300-000059080000}">
      <text>
        <r>
          <rPr>
            <sz val="10"/>
            <color rgb="FF000000"/>
            <rFont val="Arial"/>
            <scheme val="minor"/>
          </rPr>
          <t>Responder updated this value.</t>
        </r>
      </text>
    </comment>
    <comment ref="AU93" authorId="0" shapeId="0" xr:uid="{00000000-0006-0000-0300-00005A080000}">
      <text>
        <r>
          <rPr>
            <sz val="10"/>
            <color rgb="FF000000"/>
            <rFont val="Arial"/>
            <scheme val="minor"/>
          </rPr>
          <t>Responder updated this value.</t>
        </r>
      </text>
    </comment>
    <comment ref="D94" authorId="0" shapeId="0" xr:uid="{00000000-0006-0000-0300-00005B080000}">
      <text>
        <r>
          <rPr>
            <sz val="10"/>
            <color rgb="FF000000"/>
            <rFont val="Arial"/>
            <scheme val="minor"/>
          </rPr>
          <t>Responder updated this value.</t>
        </r>
      </text>
    </comment>
    <comment ref="F94" authorId="0" shapeId="0" xr:uid="{00000000-0006-0000-0300-00005C080000}">
      <text>
        <r>
          <rPr>
            <sz val="10"/>
            <color rgb="FF000000"/>
            <rFont val="Arial"/>
            <scheme val="minor"/>
          </rPr>
          <t>Responder updated this value.</t>
        </r>
      </text>
    </comment>
    <comment ref="L94" authorId="0" shapeId="0" xr:uid="{00000000-0006-0000-0300-00005D080000}">
      <text>
        <r>
          <rPr>
            <sz val="10"/>
            <color rgb="FF000000"/>
            <rFont val="Arial"/>
            <scheme val="minor"/>
          </rPr>
          <t>Responder updated this value.</t>
        </r>
      </text>
    </comment>
    <comment ref="M94" authorId="0" shapeId="0" xr:uid="{00000000-0006-0000-0300-00005E080000}">
      <text>
        <r>
          <rPr>
            <sz val="10"/>
            <color rgb="FF000000"/>
            <rFont val="Arial"/>
            <scheme val="minor"/>
          </rPr>
          <t>Responder updated this value.</t>
        </r>
      </text>
    </comment>
    <comment ref="N94" authorId="0" shapeId="0" xr:uid="{00000000-0006-0000-0300-00005F080000}">
      <text>
        <r>
          <rPr>
            <sz val="10"/>
            <color rgb="FF000000"/>
            <rFont val="Arial"/>
            <scheme val="minor"/>
          </rPr>
          <t>Responder updated this value.</t>
        </r>
      </text>
    </comment>
    <comment ref="O94" authorId="0" shapeId="0" xr:uid="{00000000-0006-0000-0300-000060080000}">
      <text>
        <r>
          <rPr>
            <sz val="10"/>
            <color rgb="FF000000"/>
            <rFont val="Arial"/>
            <scheme val="minor"/>
          </rPr>
          <t>Responder updated this value.</t>
        </r>
      </text>
    </comment>
    <comment ref="P94" authorId="0" shapeId="0" xr:uid="{00000000-0006-0000-0300-000061080000}">
      <text>
        <r>
          <rPr>
            <sz val="10"/>
            <color rgb="FF000000"/>
            <rFont val="Arial"/>
            <scheme val="minor"/>
          </rPr>
          <t>Responder updated this value.</t>
        </r>
      </text>
    </comment>
    <comment ref="Q94" authorId="0" shapeId="0" xr:uid="{00000000-0006-0000-0300-000062080000}">
      <text>
        <r>
          <rPr>
            <sz val="10"/>
            <color rgb="FF000000"/>
            <rFont val="Arial"/>
            <scheme val="minor"/>
          </rPr>
          <t>Responder updated this value.</t>
        </r>
      </text>
    </comment>
    <comment ref="S94" authorId="0" shapeId="0" xr:uid="{00000000-0006-0000-0300-000063080000}">
      <text>
        <r>
          <rPr>
            <sz val="10"/>
            <color rgb="FF000000"/>
            <rFont val="Arial"/>
            <scheme val="minor"/>
          </rPr>
          <t>Responder updated this value.</t>
        </r>
      </text>
    </comment>
    <comment ref="U94" authorId="0" shapeId="0" xr:uid="{00000000-0006-0000-0300-000064080000}">
      <text>
        <r>
          <rPr>
            <sz val="10"/>
            <color rgb="FF000000"/>
            <rFont val="Arial"/>
            <scheme val="minor"/>
          </rPr>
          <t>Responder updated this value.</t>
        </r>
      </text>
    </comment>
    <comment ref="W94" authorId="0" shapeId="0" xr:uid="{00000000-0006-0000-0300-000065080000}">
      <text>
        <r>
          <rPr>
            <sz val="10"/>
            <color rgb="FF000000"/>
            <rFont val="Arial"/>
            <scheme val="minor"/>
          </rPr>
          <t>Responder updated this value.</t>
        </r>
      </text>
    </comment>
    <comment ref="X94" authorId="0" shapeId="0" xr:uid="{00000000-0006-0000-0300-000066080000}">
      <text>
        <r>
          <rPr>
            <sz val="10"/>
            <color rgb="FF000000"/>
            <rFont val="Arial"/>
            <scheme val="minor"/>
          </rPr>
          <t>Responder updated this value.</t>
        </r>
      </text>
    </comment>
    <comment ref="Y94" authorId="0" shapeId="0" xr:uid="{00000000-0006-0000-0300-000067080000}">
      <text>
        <r>
          <rPr>
            <sz val="10"/>
            <color rgb="FF000000"/>
            <rFont val="Arial"/>
            <scheme val="minor"/>
          </rPr>
          <t>Responder updated this value.</t>
        </r>
      </text>
    </comment>
    <comment ref="Z94" authorId="0" shapeId="0" xr:uid="{00000000-0006-0000-0300-000068080000}">
      <text>
        <r>
          <rPr>
            <sz val="10"/>
            <color rgb="FF000000"/>
            <rFont val="Arial"/>
            <scheme val="minor"/>
          </rPr>
          <t>Responder updated this value.</t>
        </r>
      </text>
    </comment>
    <comment ref="AC94" authorId="0" shapeId="0" xr:uid="{00000000-0006-0000-0300-000069080000}">
      <text>
        <r>
          <rPr>
            <sz val="10"/>
            <color rgb="FF000000"/>
            <rFont val="Arial"/>
            <scheme val="minor"/>
          </rPr>
          <t>Responder updated this value.</t>
        </r>
      </text>
    </comment>
    <comment ref="AD94" authorId="0" shapeId="0" xr:uid="{00000000-0006-0000-0300-00006A080000}">
      <text>
        <r>
          <rPr>
            <sz val="10"/>
            <color rgb="FF000000"/>
            <rFont val="Arial"/>
            <scheme val="minor"/>
          </rPr>
          <t>Responder updated this value.</t>
        </r>
      </text>
    </comment>
    <comment ref="AE94" authorId="0" shapeId="0" xr:uid="{00000000-0006-0000-0300-00006B080000}">
      <text>
        <r>
          <rPr>
            <sz val="10"/>
            <color rgb="FF000000"/>
            <rFont val="Arial"/>
            <scheme val="minor"/>
          </rPr>
          <t>Responder updated this value.</t>
        </r>
      </text>
    </comment>
    <comment ref="AF94" authorId="0" shapeId="0" xr:uid="{00000000-0006-0000-0300-00006C080000}">
      <text>
        <r>
          <rPr>
            <sz val="10"/>
            <color rgb="FF000000"/>
            <rFont val="Arial"/>
            <scheme val="minor"/>
          </rPr>
          <t>Responder updated this value.</t>
        </r>
      </text>
    </comment>
    <comment ref="AG94" authorId="0" shapeId="0" xr:uid="{00000000-0006-0000-0300-00006D080000}">
      <text>
        <r>
          <rPr>
            <sz val="10"/>
            <color rgb="FF000000"/>
            <rFont val="Arial"/>
            <scheme val="minor"/>
          </rPr>
          <t>Responder updated this value.</t>
        </r>
      </text>
    </comment>
    <comment ref="AH94" authorId="0" shapeId="0" xr:uid="{00000000-0006-0000-0300-00006E080000}">
      <text>
        <r>
          <rPr>
            <sz val="10"/>
            <color rgb="FF000000"/>
            <rFont val="Arial"/>
            <scheme val="minor"/>
          </rPr>
          <t>Responder updated this value.</t>
        </r>
      </text>
    </comment>
    <comment ref="AK94" authorId="0" shapeId="0" xr:uid="{00000000-0006-0000-0300-00006F080000}">
      <text>
        <r>
          <rPr>
            <sz val="10"/>
            <color rgb="FF000000"/>
            <rFont val="Arial"/>
            <scheme val="minor"/>
          </rPr>
          <t>Responder updated this value.</t>
        </r>
      </text>
    </comment>
    <comment ref="AL94" authorId="0" shapeId="0" xr:uid="{00000000-0006-0000-0300-000070080000}">
      <text>
        <r>
          <rPr>
            <sz val="10"/>
            <color rgb="FF000000"/>
            <rFont val="Arial"/>
            <scheme val="minor"/>
          </rPr>
          <t>Responder updated this value.</t>
        </r>
      </text>
    </comment>
    <comment ref="AM94" authorId="0" shapeId="0" xr:uid="{00000000-0006-0000-0300-000071080000}">
      <text>
        <r>
          <rPr>
            <sz val="10"/>
            <color rgb="FF000000"/>
            <rFont val="Arial"/>
            <scheme val="minor"/>
          </rPr>
          <t>Responder updated this value.</t>
        </r>
      </text>
    </comment>
    <comment ref="AN94" authorId="0" shapeId="0" xr:uid="{00000000-0006-0000-0300-000072080000}">
      <text>
        <r>
          <rPr>
            <sz val="10"/>
            <color rgb="FF000000"/>
            <rFont val="Arial"/>
            <scheme val="minor"/>
          </rPr>
          <t>Responder updated this value.</t>
        </r>
      </text>
    </comment>
    <comment ref="AO94" authorId="0" shapeId="0" xr:uid="{00000000-0006-0000-0300-000073080000}">
      <text>
        <r>
          <rPr>
            <sz val="10"/>
            <color rgb="FF000000"/>
            <rFont val="Arial"/>
            <scheme val="minor"/>
          </rPr>
          <t>Responder updated this value.</t>
        </r>
      </text>
    </comment>
    <comment ref="AP94" authorId="0" shapeId="0" xr:uid="{00000000-0006-0000-0300-000074080000}">
      <text>
        <r>
          <rPr>
            <sz val="10"/>
            <color rgb="FF000000"/>
            <rFont val="Arial"/>
            <scheme val="minor"/>
          </rPr>
          <t>Responder updated this value.</t>
        </r>
      </text>
    </comment>
    <comment ref="AQ94" authorId="0" shapeId="0" xr:uid="{00000000-0006-0000-0300-000075080000}">
      <text>
        <r>
          <rPr>
            <sz val="10"/>
            <color rgb="FF000000"/>
            <rFont val="Arial"/>
            <scheme val="minor"/>
          </rPr>
          <t>Responder updated this value.</t>
        </r>
      </text>
    </comment>
    <comment ref="AR94" authorId="0" shapeId="0" xr:uid="{00000000-0006-0000-0300-000076080000}">
      <text>
        <r>
          <rPr>
            <sz val="10"/>
            <color rgb="FF000000"/>
            <rFont val="Arial"/>
            <scheme val="minor"/>
          </rPr>
          <t>Responder updated this value.</t>
        </r>
      </text>
    </comment>
    <comment ref="AU94" authorId="0" shapeId="0" xr:uid="{00000000-0006-0000-0300-000077080000}">
      <text>
        <r>
          <rPr>
            <sz val="10"/>
            <color rgb="FF000000"/>
            <rFont val="Arial"/>
            <scheme val="minor"/>
          </rPr>
          <t>Responder updated this value.</t>
        </r>
      </text>
    </comment>
    <comment ref="D95" authorId="0" shapeId="0" xr:uid="{00000000-0006-0000-0300-000078080000}">
      <text>
        <r>
          <rPr>
            <sz val="10"/>
            <color rgb="FF000000"/>
            <rFont val="Arial"/>
            <scheme val="minor"/>
          </rPr>
          <t>Responder updated this value.</t>
        </r>
      </text>
    </comment>
    <comment ref="H95" authorId="0" shapeId="0" xr:uid="{00000000-0006-0000-0300-000079080000}">
      <text>
        <r>
          <rPr>
            <sz val="10"/>
            <color rgb="FF000000"/>
            <rFont val="Arial"/>
            <scheme val="minor"/>
          </rPr>
          <t>Responder updated this value.</t>
        </r>
      </text>
    </comment>
    <comment ref="K95" authorId="0" shapeId="0" xr:uid="{00000000-0006-0000-0300-00007A080000}">
      <text>
        <r>
          <rPr>
            <sz val="10"/>
            <color rgb="FF000000"/>
            <rFont val="Arial"/>
            <scheme val="minor"/>
          </rPr>
          <t>Responder updated this value.</t>
        </r>
      </text>
    </comment>
    <comment ref="L95" authorId="0" shapeId="0" xr:uid="{00000000-0006-0000-0300-00007B080000}">
      <text>
        <r>
          <rPr>
            <sz val="10"/>
            <color rgb="FF000000"/>
            <rFont val="Arial"/>
            <scheme val="minor"/>
          </rPr>
          <t>Responder updated this value.</t>
        </r>
      </text>
    </comment>
    <comment ref="M95" authorId="0" shapeId="0" xr:uid="{00000000-0006-0000-0300-00007C080000}">
      <text>
        <r>
          <rPr>
            <sz val="10"/>
            <color rgb="FF000000"/>
            <rFont val="Arial"/>
            <scheme val="minor"/>
          </rPr>
          <t>Responder updated this value.</t>
        </r>
      </text>
    </comment>
    <comment ref="N95" authorId="0" shapeId="0" xr:uid="{00000000-0006-0000-0300-00007D080000}">
      <text>
        <r>
          <rPr>
            <sz val="10"/>
            <color rgb="FF000000"/>
            <rFont val="Arial"/>
            <scheme val="minor"/>
          </rPr>
          <t>Responder updated this value.</t>
        </r>
      </text>
    </comment>
    <comment ref="O95" authorId="0" shapeId="0" xr:uid="{00000000-0006-0000-0300-00007E080000}">
      <text>
        <r>
          <rPr>
            <sz val="10"/>
            <color rgb="FF000000"/>
            <rFont val="Arial"/>
            <scheme val="minor"/>
          </rPr>
          <t>Responder updated this value.</t>
        </r>
      </text>
    </comment>
    <comment ref="P95" authorId="0" shapeId="0" xr:uid="{00000000-0006-0000-0300-00007F080000}">
      <text>
        <r>
          <rPr>
            <sz val="10"/>
            <color rgb="FF000000"/>
            <rFont val="Arial"/>
            <scheme val="minor"/>
          </rPr>
          <t>Responder updated this value.</t>
        </r>
      </text>
    </comment>
    <comment ref="Q95" authorId="0" shapeId="0" xr:uid="{00000000-0006-0000-0300-000080080000}">
      <text>
        <r>
          <rPr>
            <sz val="10"/>
            <color rgb="FF000000"/>
            <rFont val="Arial"/>
            <scheme val="minor"/>
          </rPr>
          <t>Responder updated this value.</t>
        </r>
      </text>
    </comment>
    <comment ref="S95" authorId="0" shapeId="0" xr:uid="{00000000-0006-0000-0300-000081080000}">
      <text>
        <r>
          <rPr>
            <sz val="10"/>
            <color rgb="FF000000"/>
            <rFont val="Arial"/>
            <scheme val="minor"/>
          </rPr>
          <t>Responder updated this value.</t>
        </r>
      </text>
    </comment>
    <comment ref="U95" authorId="0" shapeId="0" xr:uid="{00000000-0006-0000-0300-000082080000}">
      <text>
        <r>
          <rPr>
            <sz val="10"/>
            <color rgb="FF000000"/>
            <rFont val="Arial"/>
            <scheme val="minor"/>
          </rPr>
          <t>Responder updated this value.</t>
        </r>
      </text>
    </comment>
    <comment ref="W95" authorId="0" shapeId="0" xr:uid="{00000000-0006-0000-0300-000083080000}">
      <text>
        <r>
          <rPr>
            <sz val="10"/>
            <color rgb="FF000000"/>
            <rFont val="Arial"/>
            <scheme val="minor"/>
          </rPr>
          <t>Responder updated this value.</t>
        </r>
      </text>
    </comment>
    <comment ref="X95" authorId="0" shapeId="0" xr:uid="{00000000-0006-0000-0300-000084080000}">
      <text>
        <r>
          <rPr>
            <sz val="10"/>
            <color rgb="FF000000"/>
            <rFont val="Arial"/>
            <scheme val="minor"/>
          </rPr>
          <t>Responder updated this value.</t>
        </r>
      </text>
    </comment>
    <comment ref="Y95" authorId="0" shapeId="0" xr:uid="{00000000-0006-0000-0300-000085080000}">
      <text>
        <r>
          <rPr>
            <sz val="10"/>
            <color rgb="FF000000"/>
            <rFont val="Arial"/>
            <scheme val="minor"/>
          </rPr>
          <t>Responder updated this value.</t>
        </r>
      </text>
    </comment>
    <comment ref="Z95" authorId="0" shapeId="0" xr:uid="{00000000-0006-0000-0300-000086080000}">
      <text>
        <r>
          <rPr>
            <sz val="10"/>
            <color rgb="FF000000"/>
            <rFont val="Arial"/>
            <scheme val="minor"/>
          </rPr>
          <t>Responder updated this value.</t>
        </r>
      </text>
    </comment>
    <comment ref="AC95" authorId="0" shapeId="0" xr:uid="{00000000-0006-0000-0300-000087080000}">
      <text>
        <r>
          <rPr>
            <sz val="10"/>
            <color rgb="FF000000"/>
            <rFont val="Arial"/>
            <scheme val="minor"/>
          </rPr>
          <t>Responder updated this value.</t>
        </r>
      </text>
    </comment>
    <comment ref="AD95" authorId="0" shapeId="0" xr:uid="{00000000-0006-0000-0300-000088080000}">
      <text>
        <r>
          <rPr>
            <sz val="10"/>
            <color rgb="FF000000"/>
            <rFont val="Arial"/>
            <scheme val="minor"/>
          </rPr>
          <t>Responder updated this value.</t>
        </r>
      </text>
    </comment>
    <comment ref="AE95" authorId="0" shapeId="0" xr:uid="{00000000-0006-0000-0300-000089080000}">
      <text>
        <r>
          <rPr>
            <sz val="10"/>
            <color rgb="FF000000"/>
            <rFont val="Arial"/>
            <scheme val="minor"/>
          </rPr>
          <t>Responder updated this value.</t>
        </r>
      </text>
    </comment>
    <comment ref="AF95" authorId="0" shapeId="0" xr:uid="{00000000-0006-0000-0300-00008A080000}">
      <text>
        <r>
          <rPr>
            <sz val="10"/>
            <color rgb="FF000000"/>
            <rFont val="Arial"/>
            <scheme val="minor"/>
          </rPr>
          <t>Responder updated this value.</t>
        </r>
      </text>
    </comment>
    <comment ref="AG95" authorId="0" shapeId="0" xr:uid="{00000000-0006-0000-0300-00008B080000}">
      <text>
        <r>
          <rPr>
            <sz val="10"/>
            <color rgb="FF000000"/>
            <rFont val="Arial"/>
            <scheme val="minor"/>
          </rPr>
          <t>Responder updated this value.</t>
        </r>
      </text>
    </comment>
    <comment ref="AH95" authorId="0" shapeId="0" xr:uid="{00000000-0006-0000-0300-00008C080000}">
      <text>
        <r>
          <rPr>
            <sz val="10"/>
            <color rgb="FF000000"/>
            <rFont val="Arial"/>
            <scheme val="minor"/>
          </rPr>
          <t>Responder updated this value.</t>
        </r>
      </text>
    </comment>
    <comment ref="AI95" authorId="0" shapeId="0" xr:uid="{00000000-0006-0000-0300-00008D080000}">
      <text>
        <r>
          <rPr>
            <sz val="10"/>
            <color rgb="FF000000"/>
            <rFont val="Arial"/>
            <scheme val="minor"/>
          </rPr>
          <t>Responder updated this value.</t>
        </r>
      </text>
    </comment>
    <comment ref="AK95" authorId="0" shapeId="0" xr:uid="{00000000-0006-0000-0300-00008E080000}">
      <text>
        <r>
          <rPr>
            <sz val="10"/>
            <color rgb="FF000000"/>
            <rFont val="Arial"/>
            <scheme val="minor"/>
          </rPr>
          <t>Responder updated this value.</t>
        </r>
      </text>
    </comment>
    <comment ref="AL95" authorId="0" shapeId="0" xr:uid="{00000000-0006-0000-0300-00008F080000}">
      <text>
        <r>
          <rPr>
            <sz val="10"/>
            <color rgb="FF000000"/>
            <rFont val="Arial"/>
            <scheme val="minor"/>
          </rPr>
          <t>Responder updated this value.</t>
        </r>
      </text>
    </comment>
    <comment ref="AM95" authorId="0" shapeId="0" xr:uid="{00000000-0006-0000-0300-000090080000}">
      <text>
        <r>
          <rPr>
            <sz val="10"/>
            <color rgb="FF000000"/>
            <rFont val="Arial"/>
            <scheme val="minor"/>
          </rPr>
          <t>Responder updated this value.</t>
        </r>
      </text>
    </comment>
    <comment ref="AN95" authorId="0" shapeId="0" xr:uid="{00000000-0006-0000-0300-000091080000}">
      <text>
        <r>
          <rPr>
            <sz val="10"/>
            <color rgb="FF000000"/>
            <rFont val="Arial"/>
            <scheme val="minor"/>
          </rPr>
          <t>Responder updated this value.</t>
        </r>
      </text>
    </comment>
    <comment ref="AO95" authorId="0" shapeId="0" xr:uid="{00000000-0006-0000-0300-000092080000}">
      <text>
        <r>
          <rPr>
            <sz val="10"/>
            <color rgb="FF000000"/>
            <rFont val="Arial"/>
            <scheme val="minor"/>
          </rPr>
          <t>Responder updated this value.</t>
        </r>
      </text>
    </comment>
    <comment ref="AP95" authorId="0" shapeId="0" xr:uid="{00000000-0006-0000-0300-000093080000}">
      <text>
        <r>
          <rPr>
            <sz val="10"/>
            <color rgb="FF000000"/>
            <rFont val="Arial"/>
            <scheme val="minor"/>
          </rPr>
          <t>Responder updated this value.</t>
        </r>
      </text>
    </comment>
    <comment ref="AQ95" authorId="0" shapeId="0" xr:uid="{00000000-0006-0000-0300-000094080000}">
      <text>
        <r>
          <rPr>
            <sz val="10"/>
            <color rgb="FF000000"/>
            <rFont val="Arial"/>
            <scheme val="minor"/>
          </rPr>
          <t>Responder updated this value.</t>
        </r>
      </text>
    </comment>
    <comment ref="AR95" authorId="0" shapeId="0" xr:uid="{00000000-0006-0000-0300-000095080000}">
      <text>
        <r>
          <rPr>
            <sz val="10"/>
            <color rgb="FF000000"/>
            <rFont val="Arial"/>
            <scheme val="minor"/>
          </rPr>
          <t>Responder updated this value.</t>
        </r>
      </text>
    </comment>
    <comment ref="AU95" authorId="0" shapeId="0" xr:uid="{00000000-0006-0000-0300-000096080000}">
      <text>
        <r>
          <rPr>
            <sz val="10"/>
            <color rgb="FF000000"/>
            <rFont val="Arial"/>
            <scheme val="minor"/>
          </rPr>
          <t>Responder updated this value.</t>
        </r>
      </text>
    </comment>
    <comment ref="D96" authorId="0" shapeId="0" xr:uid="{00000000-0006-0000-0300-000097080000}">
      <text>
        <r>
          <rPr>
            <sz val="10"/>
            <color rgb="FF000000"/>
            <rFont val="Arial"/>
            <scheme val="minor"/>
          </rPr>
          <t>Responder updated this value.</t>
        </r>
      </text>
    </comment>
    <comment ref="L96" authorId="0" shapeId="0" xr:uid="{00000000-0006-0000-0300-000098080000}">
      <text>
        <r>
          <rPr>
            <sz val="10"/>
            <color rgb="FF000000"/>
            <rFont val="Arial"/>
            <scheme val="minor"/>
          </rPr>
          <t>Responder updated this value.</t>
        </r>
      </text>
    </comment>
    <comment ref="M96" authorId="0" shapeId="0" xr:uid="{00000000-0006-0000-0300-000099080000}">
      <text>
        <r>
          <rPr>
            <sz val="10"/>
            <color rgb="FF000000"/>
            <rFont val="Arial"/>
            <scheme val="minor"/>
          </rPr>
          <t>Responder updated this value.</t>
        </r>
      </text>
    </comment>
    <comment ref="N96" authorId="0" shapeId="0" xr:uid="{00000000-0006-0000-0300-00009A080000}">
      <text>
        <r>
          <rPr>
            <sz val="10"/>
            <color rgb="FF000000"/>
            <rFont val="Arial"/>
            <scheme val="minor"/>
          </rPr>
          <t>Responder updated this value.</t>
        </r>
      </text>
    </comment>
    <comment ref="O96" authorId="0" shapeId="0" xr:uid="{00000000-0006-0000-0300-00009B080000}">
      <text>
        <r>
          <rPr>
            <sz val="10"/>
            <color rgb="FF000000"/>
            <rFont val="Arial"/>
            <scheme val="minor"/>
          </rPr>
          <t>Responder updated this value.</t>
        </r>
      </text>
    </comment>
    <comment ref="P96" authorId="0" shapeId="0" xr:uid="{00000000-0006-0000-0300-00009C080000}">
      <text>
        <r>
          <rPr>
            <sz val="10"/>
            <color rgb="FF000000"/>
            <rFont val="Arial"/>
            <scheme val="minor"/>
          </rPr>
          <t>Responder updated this value.</t>
        </r>
      </text>
    </comment>
    <comment ref="Q96" authorId="0" shapeId="0" xr:uid="{00000000-0006-0000-0300-00009D080000}">
      <text>
        <r>
          <rPr>
            <sz val="10"/>
            <color rgb="FF000000"/>
            <rFont val="Arial"/>
            <scheme val="minor"/>
          </rPr>
          <t>Responder updated this value.</t>
        </r>
      </text>
    </comment>
    <comment ref="S96" authorId="0" shapeId="0" xr:uid="{00000000-0006-0000-0300-00009E080000}">
      <text>
        <r>
          <rPr>
            <sz val="10"/>
            <color rgb="FF000000"/>
            <rFont val="Arial"/>
            <scheme val="minor"/>
          </rPr>
          <t>Responder updated this value.</t>
        </r>
      </text>
    </comment>
    <comment ref="W96" authorId="0" shapeId="0" xr:uid="{00000000-0006-0000-0300-00009F080000}">
      <text>
        <r>
          <rPr>
            <sz val="10"/>
            <color rgb="FF000000"/>
            <rFont val="Arial"/>
            <scheme val="minor"/>
          </rPr>
          <t>Responder updated this value.</t>
        </r>
      </text>
    </comment>
    <comment ref="X96" authorId="0" shapeId="0" xr:uid="{00000000-0006-0000-0300-0000A0080000}">
      <text>
        <r>
          <rPr>
            <sz val="10"/>
            <color rgb="FF000000"/>
            <rFont val="Arial"/>
            <scheme val="minor"/>
          </rPr>
          <t>Responder updated this value.</t>
        </r>
      </text>
    </comment>
    <comment ref="Y96" authorId="0" shapeId="0" xr:uid="{00000000-0006-0000-0300-0000A1080000}">
      <text>
        <r>
          <rPr>
            <sz val="10"/>
            <color rgb="FF000000"/>
            <rFont val="Arial"/>
            <scheme val="minor"/>
          </rPr>
          <t>Responder updated this value.</t>
        </r>
      </text>
    </comment>
    <comment ref="Z96" authorId="0" shapeId="0" xr:uid="{00000000-0006-0000-0300-0000A2080000}">
      <text>
        <r>
          <rPr>
            <sz val="10"/>
            <color rgb="FF000000"/>
            <rFont val="Arial"/>
            <scheme val="minor"/>
          </rPr>
          <t>Responder updated this value.</t>
        </r>
      </text>
    </comment>
    <comment ref="AC96" authorId="0" shapeId="0" xr:uid="{00000000-0006-0000-0300-0000A3080000}">
      <text>
        <r>
          <rPr>
            <sz val="10"/>
            <color rgb="FF000000"/>
            <rFont val="Arial"/>
            <scheme val="minor"/>
          </rPr>
          <t>Responder updated this value.</t>
        </r>
      </text>
    </comment>
    <comment ref="AD96" authorId="0" shapeId="0" xr:uid="{00000000-0006-0000-0300-0000A4080000}">
      <text>
        <r>
          <rPr>
            <sz val="10"/>
            <color rgb="FF000000"/>
            <rFont val="Arial"/>
            <scheme val="minor"/>
          </rPr>
          <t>Responder updated this value.</t>
        </r>
      </text>
    </comment>
    <comment ref="AE96" authorId="0" shapeId="0" xr:uid="{00000000-0006-0000-0300-0000A5080000}">
      <text>
        <r>
          <rPr>
            <sz val="10"/>
            <color rgb="FF000000"/>
            <rFont val="Arial"/>
            <scheme val="minor"/>
          </rPr>
          <t>Responder updated this value.</t>
        </r>
      </text>
    </comment>
    <comment ref="AF96" authorId="0" shapeId="0" xr:uid="{00000000-0006-0000-0300-0000A6080000}">
      <text>
        <r>
          <rPr>
            <sz val="10"/>
            <color rgb="FF000000"/>
            <rFont val="Arial"/>
            <scheme val="minor"/>
          </rPr>
          <t>Responder updated this value.</t>
        </r>
      </text>
    </comment>
    <comment ref="AG96" authorId="0" shapeId="0" xr:uid="{00000000-0006-0000-0300-0000A7080000}">
      <text>
        <r>
          <rPr>
            <sz val="10"/>
            <color rgb="FF000000"/>
            <rFont val="Arial"/>
            <scheme val="minor"/>
          </rPr>
          <t>Responder updated this value.</t>
        </r>
      </text>
    </comment>
    <comment ref="AH96" authorId="0" shapeId="0" xr:uid="{00000000-0006-0000-0300-0000A8080000}">
      <text>
        <r>
          <rPr>
            <sz val="10"/>
            <color rgb="FF000000"/>
            <rFont val="Arial"/>
            <scheme val="minor"/>
          </rPr>
          <t>Responder updated this value.</t>
        </r>
      </text>
    </comment>
    <comment ref="AK96" authorId="0" shapeId="0" xr:uid="{00000000-0006-0000-0300-0000A9080000}">
      <text>
        <r>
          <rPr>
            <sz val="10"/>
            <color rgb="FF000000"/>
            <rFont val="Arial"/>
            <scheme val="minor"/>
          </rPr>
          <t>Responder updated this value.</t>
        </r>
      </text>
    </comment>
    <comment ref="AL96" authorId="0" shapeId="0" xr:uid="{00000000-0006-0000-0300-0000AA080000}">
      <text>
        <r>
          <rPr>
            <sz val="10"/>
            <color rgb="FF000000"/>
            <rFont val="Arial"/>
            <scheme val="minor"/>
          </rPr>
          <t>Responder updated this value.</t>
        </r>
      </text>
    </comment>
    <comment ref="AM96" authorId="0" shapeId="0" xr:uid="{00000000-0006-0000-0300-0000AB080000}">
      <text>
        <r>
          <rPr>
            <sz val="10"/>
            <color rgb="FF000000"/>
            <rFont val="Arial"/>
            <scheme val="minor"/>
          </rPr>
          <t>Responder updated this value.</t>
        </r>
      </text>
    </comment>
    <comment ref="AN96" authorId="0" shapeId="0" xr:uid="{00000000-0006-0000-0300-0000AC080000}">
      <text>
        <r>
          <rPr>
            <sz val="10"/>
            <color rgb="FF000000"/>
            <rFont val="Arial"/>
            <scheme val="minor"/>
          </rPr>
          <t>Responder updated this value.</t>
        </r>
      </text>
    </comment>
    <comment ref="AO96" authorId="0" shapeId="0" xr:uid="{00000000-0006-0000-0300-0000AD080000}">
      <text>
        <r>
          <rPr>
            <sz val="10"/>
            <color rgb="FF000000"/>
            <rFont val="Arial"/>
            <scheme val="minor"/>
          </rPr>
          <t>Responder updated this value.</t>
        </r>
      </text>
    </comment>
    <comment ref="AP96" authorId="0" shapeId="0" xr:uid="{00000000-0006-0000-0300-0000AE080000}">
      <text>
        <r>
          <rPr>
            <sz val="10"/>
            <color rgb="FF000000"/>
            <rFont val="Arial"/>
            <scheme val="minor"/>
          </rPr>
          <t>Responder updated this value.</t>
        </r>
      </text>
    </comment>
    <comment ref="AQ96" authorId="0" shapeId="0" xr:uid="{00000000-0006-0000-0300-0000AF080000}">
      <text>
        <r>
          <rPr>
            <sz val="10"/>
            <color rgb="FF000000"/>
            <rFont val="Arial"/>
            <scheme val="minor"/>
          </rPr>
          <t>Responder updated this value.</t>
        </r>
      </text>
    </comment>
    <comment ref="AR96" authorId="0" shapeId="0" xr:uid="{00000000-0006-0000-0300-0000B0080000}">
      <text>
        <r>
          <rPr>
            <sz val="10"/>
            <color rgb="FF000000"/>
            <rFont val="Arial"/>
            <scheme val="minor"/>
          </rPr>
          <t>Responder updated this value.</t>
        </r>
      </text>
    </comment>
    <comment ref="AS96" authorId="0" shapeId="0" xr:uid="{00000000-0006-0000-0300-0000B1080000}">
      <text>
        <r>
          <rPr>
            <sz val="10"/>
            <color rgb="FF000000"/>
            <rFont val="Arial"/>
            <scheme val="minor"/>
          </rPr>
          <t>Responder updated this value.</t>
        </r>
      </text>
    </comment>
    <comment ref="AT96" authorId="0" shapeId="0" xr:uid="{00000000-0006-0000-0300-0000B2080000}">
      <text>
        <r>
          <rPr>
            <sz val="10"/>
            <color rgb="FF000000"/>
            <rFont val="Arial"/>
            <scheme val="minor"/>
          </rPr>
          <t>Responder updated this value.</t>
        </r>
      </text>
    </comment>
    <comment ref="AU96" authorId="0" shapeId="0" xr:uid="{00000000-0006-0000-0300-0000B3080000}">
      <text>
        <r>
          <rPr>
            <sz val="10"/>
            <color rgb="FF000000"/>
            <rFont val="Arial"/>
            <scheme val="minor"/>
          </rPr>
          <t>Responder updated this value.</t>
        </r>
      </text>
    </comment>
    <comment ref="D97" authorId="0" shapeId="0" xr:uid="{00000000-0006-0000-0300-0000B4080000}">
      <text>
        <r>
          <rPr>
            <sz val="10"/>
            <color rgb="FF000000"/>
            <rFont val="Arial"/>
            <scheme val="minor"/>
          </rPr>
          <t>Responder updated this value.</t>
        </r>
      </text>
    </comment>
    <comment ref="L97" authorId="0" shapeId="0" xr:uid="{00000000-0006-0000-0300-0000B5080000}">
      <text>
        <r>
          <rPr>
            <sz val="10"/>
            <color rgb="FF000000"/>
            <rFont val="Arial"/>
            <scheme val="minor"/>
          </rPr>
          <t>Responder updated this value.</t>
        </r>
      </text>
    </comment>
    <comment ref="M97" authorId="0" shapeId="0" xr:uid="{00000000-0006-0000-0300-0000B6080000}">
      <text>
        <r>
          <rPr>
            <sz val="10"/>
            <color rgb="FF000000"/>
            <rFont val="Arial"/>
            <scheme val="minor"/>
          </rPr>
          <t>Responder updated this value.</t>
        </r>
      </text>
    </comment>
    <comment ref="N97" authorId="0" shapeId="0" xr:uid="{00000000-0006-0000-0300-0000B7080000}">
      <text>
        <r>
          <rPr>
            <sz val="10"/>
            <color rgb="FF000000"/>
            <rFont val="Arial"/>
            <scheme val="minor"/>
          </rPr>
          <t>Responder updated this value.</t>
        </r>
      </text>
    </comment>
    <comment ref="O97" authorId="0" shapeId="0" xr:uid="{00000000-0006-0000-0300-0000B8080000}">
      <text>
        <r>
          <rPr>
            <sz val="10"/>
            <color rgb="FF000000"/>
            <rFont val="Arial"/>
            <scheme val="minor"/>
          </rPr>
          <t>Responder updated this value.</t>
        </r>
      </text>
    </comment>
    <comment ref="P97" authorId="0" shapeId="0" xr:uid="{00000000-0006-0000-0300-0000B9080000}">
      <text>
        <r>
          <rPr>
            <sz val="10"/>
            <color rgb="FF000000"/>
            <rFont val="Arial"/>
            <scheme val="minor"/>
          </rPr>
          <t>Responder updated this value.</t>
        </r>
      </text>
    </comment>
    <comment ref="Q97" authorId="0" shapeId="0" xr:uid="{00000000-0006-0000-0300-0000BA080000}">
      <text>
        <r>
          <rPr>
            <sz val="10"/>
            <color rgb="FF000000"/>
            <rFont val="Arial"/>
            <scheme val="minor"/>
          </rPr>
          <t>Responder updated this value.</t>
        </r>
      </text>
    </comment>
    <comment ref="S97" authorId="0" shapeId="0" xr:uid="{00000000-0006-0000-0300-0000BB080000}">
      <text>
        <r>
          <rPr>
            <sz val="10"/>
            <color rgb="FF000000"/>
            <rFont val="Arial"/>
            <scheme val="minor"/>
          </rPr>
          <t>Responder updated this value.</t>
        </r>
      </text>
    </comment>
    <comment ref="U97" authorId="0" shapeId="0" xr:uid="{00000000-0006-0000-0300-0000BC080000}">
      <text>
        <r>
          <rPr>
            <sz val="10"/>
            <color rgb="FF000000"/>
            <rFont val="Arial"/>
            <scheme val="minor"/>
          </rPr>
          <t>Responder updated this value.</t>
        </r>
      </text>
    </comment>
    <comment ref="W97" authorId="0" shapeId="0" xr:uid="{00000000-0006-0000-0300-0000BD080000}">
      <text>
        <r>
          <rPr>
            <sz val="10"/>
            <color rgb="FF000000"/>
            <rFont val="Arial"/>
            <scheme val="minor"/>
          </rPr>
          <t>Responder updated this value.</t>
        </r>
      </text>
    </comment>
    <comment ref="X97" authorId="0" shapeId="0" xr:uid="{00000000-0006-0000-0300-0000BE080000}">
      <text>
        <r>
          <rPr>
            <sz val="10"/>
            <color rgb="FF000000"/>
            <rFont val="Arial"/>
            <scheme val="minor"/>
          </rPr>
          <t>Responder updated this value.</t>
        </r>
      </text>
    </comment>
    <comment ref="Y97" authorId="0" shapeId="0" xr:uid="{00000000-0006-0000-0300-0000BF080000}">
      <text>
        <r>
          <rPr>
            <sz val="10"/>
            <color rgb="FF000000"/>
            <rFont val="Arial"/>
            <scheme val="minor"/>
          </rPr>
          <t>Responder updated this value.</t>
        </r>
      </text>
    </comment>
    <comment ref="Z97" authorId="0" shapeId="0" xr:uid="{00000000-0006-0000-0300-0000C0080000}">
      <text>
        <r>
          <rPr>
            <sz val="10"/>
            <color rgb="FF000000"/>
            <rFont val="Arial"/>
            <scheme val="minor"/>
          </rPr>
          <t>Responder updated this value.</t>
        </r>
      </text>
    </comment>
    <comment ref="AC97" authorId="0" shapeId="0" xr:uid="{00000000-0006-0000-0300-0000C1080000}">
      <text>
        <r>
          <rPr>
            <sz val="10"/>
            <color rgb="FF000000"/>
            <rFont val="Arial"/>
            <scheme val="minor"/>
          </rPr>
          <t>Responder updated this value.</t>
        </r>
      </text>
    </comment>
    <comment ref="AD97" authorId="0" shapeId="0" xr:uid="{00000000-0006-0000-0300-0000C2080000}">
      <text>
        <r>
          <rPr>
            <sz val="10"/>
            <color rgb="FF000000"/>
            <rFont val="Arial"/>
            <scheme val="minor"/>
          </rPr>
          <t>Responder updated this value.</t>
        </r>
      </text>
    </comment>
    <comment ref="AE97" authorId="0" shapeId="0" xr:uid="{00000000-0006-0000-0300-0000C3080000}">
      <text>
        <r>
          <rPr>
            <sz val="10"/>
            <color rgb="FF000000"/>
            <rFont val="Arial"/>
            <scheme val="minor"/>
          </rPr>
          <t>Responder updated this value.</t>
        </r>
      </text>
    </comment>
    <comment ref="AF97" authorId="0" shapeId="0" xr:uid="{00000000-0006-0000-0300-0000C4080000}">
      <text>
        <r>
          <rPr>
            <sz val="10"/>
            <color rgb="FF000000"/>
            <rFont val="Arial"/>
            <scheme val="minor"/>
          </rPr>
          <t>Responder updated this value.</t>
        </r>
      </text>
    </comment>
    <comment ref="AG97" authorId="0" shapeId="0" xr:uid="{00000000-0006-0000-0300-0000C5080000}">
      <text>
        <r>
          <rPr>
            <sz val="10"/>
            <color rgb="FF000000"/>
            <rFont val="Arial"/>
            <scheme val="minor"/>
          </rPr>
          <t>Responder updated this value.</t>
        </r>
      </text>
    </comment>
    <comment ref="AH97" authorId="0" shapeId="0" xr:uid="{00000000-0006-0000-0300-0000C6080000}">
      <text>
        <r>
          <rPr>
            <sz val="10"/>
            <color rgb="FF000000"/>
            <rFont val="Arial"/>
            <scheme val="minor"/>
          </rPr>
          <t>Responder updated this value.</t>
        </r>
      </text>
    </comment>
    <comment ref="AI97" authorId="0" shapeId="0" xr:uid="{00000000-0006-0000-0300-0000C7080000}">
      <text>
        <r>
          <rPr>
            <sz val="10"/>
            <color rgb="FF000000"/>
            <rFont val="Arial"/>
            <scheme val="minor"/>
          </rPr>
          <t>Responder updated this value.</t>
        </r>
      </text>
    </comment>
    <comment ref="AK97" authorId="0" shapeId="0" xr:uid="{00000000-0006-0000-0300-0000C8080000}">
      <text>
        <r>
          <rPr>
            <sz val="10"/>
            <color rgb="FF000000"/>
            <rFont val="Arial"/>
            <scheme val="minor"/>
          </rPr>
          <t>Responder updated this value.</t>
        </r>
      </text>
    </comment>
    <comment ref="AL97" authorId="0" shapeId="0" xr:uid="{00000000-0006-0000-0300-0000C9080000}">
      <text>
        <r>
          <rPr>
            <sz val="10"/>
            <color rgb="FF000000"/>
            <rFont val="Arial"/>
            <scheme val="minor"/>
          </rPr>
          <t>Responder updated this value.</t>
        </r>
      </text>
    </comment>
    <comment ref="AM97" authorId="0" shapeId="0" xr:uid="{00000000-0006-0000-0300-0000CA080000}">
      <text>
        <r>
          <rPr>
            <sz val="10"/>
            <color rgb="FF000000"/>
            <rFont val="Arial"/>
            <scheme val="minor"/>
          </rPr>
          <t>Responder updated this value.</t>
        </r>
      </text>
    </comment>
    <comment ref="AN97" authorId="0" shapeId="0" xr:uid="{00000000-0006-0000-0300-0000CB080000}">
      <text>
        <r>
          <rPr>
            <sz val="10"/>
            <color rgb="FF000000"/>
            <rFont val="Arial"/>
            <scheme val="minor"/>
          </rPr>
          <t>Responder updated this value.</t>
        </r>
      </text>
    </comment>
    <comment ref="AO97" authorId="0" shapeId="0" xr:uid="{00000000-0006-0000-0300-0000CC080000}">
      <text>
        <r>
          <rPr>
            <sz val="10"/>
            <color rgb="FF000000"/>
            <rFont val="Arial"/>
            <scheme val="minor"/>
          </rPr>
          <t>Responder updated this value.</t>
        </r>
      </text>
    </comment>
    <comment ref="AP97" authorId="0" shapeId="0" xr:uid="{00000000-0006-0000-0300-0000CD080000}">
      <text>
        <r>
          <rPr>
            <sz val="10"/>
            <color rgb="FF000000"/>
            <rFont val="Arial"/>
            <scheme val="minor"/>
          </rPr>
          <t>Responder updated this value.</t>
        </r>
      </text>
    </comment>
    <comment ref="AQ97" authorId="0" shapeId="0" xr:uid="{00000000-0006-0000-0300-0000CE080000}">
      <text>
        <r>
          <rPr>
            <sz val="10"/>
            <color rgb="FF000000"/>
            <rFont val="Arial"/>
            <scheme val="minor"/>
          </rPr>
          <t>Responder updated this value.</t>
        </r>
      </text>
    </comment>
    <comment ref="AR97" authorId="0" shapeId="0" xr:uid="{00000000-0006-0000-0300-0000CF080000}">
      <text>
        <r>
          <rPr>
            <sz val="10"/>
            <color rgb="FF000000"/>
            <rFont val="Arial"/>
            <scheme val="minor"/>
          </rPr>
          <t>Responder updated this value.</t>
        </r>
      </text>
    </comment>
    <comment ref="AS97" authorId="0" shapeId="0" xr:uid="{00000000-0006-0000-0300-0000D0080000}">
      <text>
        <r>
          <rPr>
            <sz val="10"/>
            <color rgb="FF000000"/>
            <rFont val="Arial"/>
            <scheme val="minor"/>
          </rPr>
          <t>Responder updated this value.</t>
        </r>
      </text>
    </comment>
    <comment ref="AU97" authorId="0" shapeId="0" xr:uid="{00000000-0006-0000-0300-0000D1080000}">
      <text>
        <r>
          <rPr>
            <sz val="10"/>
            <color rgb="FF000000"/>
            <rFont val="Arial"/>
            <scheme val="minor"/>
          </rPr>
          <t>Responder updated this value.</t>
        </r>
      </text>
    </comment>
    <comment ref="D98" authorId="0" shapeId="0" xr:uid="{00000000-0006-0000-0300-0000D2080000}">
      <text>
        <r>
          <rPr>
            <sz val="10"/>
            <color rgb="FF000000"/>
            <rFont val="Arial"/>
            <scheme val="minor"/>
          </rPr>
          <t>Responder updated this value.</t>
        </r>
      </text>
    </comment>
    <comment ref="L98" authorId="0" shapeId="0" xr:uid="{00000000-0006-0000-0300-0000D3080000}">
      <text>
        <r>
          <rPr>
            <sz val="10"/>
            <color rgb="FF000000"/>
            <rFont val="Arial"/>
            <scheme val="minor"/>
          </rPr>
          <t>Responder updated this value.</t>
        </r>
      </text>
    </comment>
    <comment ref="M98" authorId="0" shapeId="0" xr:uid="{00000000-0006-0000-0300-0000D4080000}">
      <text>
        <r>
          <rPr>
            <sz val="10"/>
            <color rgb="FF000000"/>
            <rFont val="Arial"/>
            <scheme val="minor"/>
          </rPr>
          <t>Responder updated this value.</t>
        </r>
      </text>
    </comment>
    <comment ref="N98" authorId="0" shapeId="0" xr:uid="{00000000-0006-0000-0300-0000D5080000}">
      <text>
        <r>
          <rPr>
            <sz val="10"/>
            <color rgb="FF000000"/>
            <rFont val="Arial"/>
            <scheme val="minor"/>
          </rPr>
          <t>Responder updated this value.</t>
        </r>
      </text>
    </comment>
    <comment ref="O98" authorId="0" shapeId="0" xr:uid="{00000000-0006-0000-0300-0000D6080000}">
      <text>
        <r>
          <rPr>
            <sz val="10"/>
            <color rgb="FF000000"/>
            <rFont val="Arial"/>
            <scheme val="minor"/>
          </rPr>
          <t>Responder updated this value.</t>
        </r>
      </text>
    </comment>
    <comment ref="P98" authorId="0" shapeId="0" xr:uid="{00000000-0006-0000-0300-0000D7080000}">
      <text>
        <r>
          <rPr>
            <sz val="10"/>
            <color rgb="FF000000"/>
            <rFont val="Arial"/>
            <scheme val="minor"/>
          </rPr>
          <t>Responder updated this value.</t>
        </r>
      </text>
    </comment>
    <comment ref="Q98" authorId="0" shapeId="0" xr:uid="{00000000-0006-0000-0300-0000D8080000}">
      <text>
        <r>
          <rPr>
            <sz val="10"/>
            <color rgb="FF000000"/>
            <rFont val="Arial"/>
            <scheme val="minor"/>
          </rPr>
          <t>Responder updated this value.</t>
        </r>
      </text>
    </comment>
    <comment ref="S98" authorId="0" shapeId="0" xr:uid="{00000000-0006-0000-0300-0000D9080000}">
      <text>
        <r>
          <rPr>
            <sz val="10"/>
            <color rgb="FF000000"/>
            <rFont val="Arial"/>
            <scheme val="minor"/>
          </rPr>
          <t>Responder updated this value.</t>
        </r>
      </text>
    </comment>
    <comment ref="U98" authorId="0" shapeId="0" xr:uid="{00000000-0006-0000-0300-0000DA080000}">
      <text>
        <r>
          <rPr>
            <sz val="10"/>
            <color rgb="FF000000"/>
            <rFont val="Arial"/>
            <scheme val="minor"/>
          </rPr>
          <t>Responder updated this value.</t>
        </r>
      </text>
    </comment>
    <comment ref="W98" authorId="0" shapeId="0" xr:uid="{00000000-0006-0000-0300-0000DB080000}">
      <text>
        <r>
          <rPr>
            <sz val="10"/>
            <color rgb="FF000000"/>
            <rFont val="Arial"/>
            <scheme val="minor"/>
          </rPr>
          <t>Responder updated this value.</t>
        </r>
      </text>
    </comment>
    <comment ref="X98" authorId="0" shapeId="0" xr:uid="{00000000-0006-0000-0300-0000DC080000}">
      <text>
        <r>
          <rPr>
            <sz val="10"/>
            <color rgb="FF000000"/>
            <rFont val="Arial"/>
            <scheme val="minor"/>
          </rPr>
          <t>Responder updated this value.</t>
        </r>
      </text>
    </comment>
    <comment ref="Y98" authorId="0" shapeId="0" xr:uid="{00000000-0006-0000-0300-0000DD080000}">
      <text>
        <r>
          <rPr>
            <sz val="10"/>
            <color rgb="FF000000"/>
            <rFont val="Arial"/>
            <scheme val="minor"/>
          </rPr>
          <t>Responder updated this value.</t>
        </r>
      </text>
    </comment>
    <comment ref="Z98" authorId="0" shapeId="0" xr:uid="{00000000-0006-0000-0300-0000DE080000}">
      <text>
        <r>
          <rPr>
            <sz val="10"/>
            <color rgb="FF000000"/>
            <rFont val="Arial"/>
            <scheme val="minor"/>
          </rPr>
          <t>Responder updated this value.</t>
        </r>
      </text>
    </comment>
    <comment ref="AC98" authorId="0" shapeId="0" xr:uid="{00000000-0006-0000-0300-0000DF080000}">
      <text>
        <r>
          <rPr>
            <sz val="10"/>
            <color rgb="FF000000"/>
            <rFont val="Arial"/>
            <scheme val="minor"/>
          </rPr>
          <t>Responder updated this value.</t>
        </r>
      </text>
    </comment>
    <comment ref="AD98" authorId="0" shapeId="0" xr:uid="{00000000-0006-0000-0300-0000E0080000}">
      <text>
        <r>
          <rPr>
            <sz val="10"/>
            <color rgb="FF000000"/>
            <rFont val="Arial"/>
            <scheme val="minor"/>
          </rPr>
          <t>Responder updated this value.</t>
        </r>
      </text>
    </comment>
    <comment ref="AE98" authorId="0" shapeId="0" xr:uid="{00000000-0006-0000-0300-0000E1080000}">
      <text>
        <r>
          <rPr>
            <sz val="10"/>
            <color rgb="FF000000"/>
            <rFont val="Arial"/>
            <scheme val="minor"/>
          </rPr>
          <t>Responder updated this value.</t>
        </r>
      </text>
    </comment>
    <comment ref="AF98" authorId="0" shapeId="0" xr:uid="{00000000-0006-0000-0300-0000E2080000}">
      <text>
        <r>
          <rPr>
            <sz val="10"/>
            <color rgb="FF000000"/>
            <rFont val="Arial"/>
            <scheme val="minor"/>
          </rPr>
          <t>Responder updated this value.</t>
        </r>
      </text>
    </comment>
    <comment ref="AG98" authorId="0" shapeId="0" xr:uid="{00000000-0006-0000-0300-0000E3080000}">
      <text>
        <r>
          <rPr>
            <sz val="10"/>
            <color rgb="FF000000"/>
            <rFont val="Arial"/>
            <scheme val="minor"/>
          </rPr>
          <t>Responder updated this value.</t>
        </r>
      </text>
    </comment>
    <comment ref="AH98" authorId="0" shapeId="0" xr:uid="{00000000-0006-0000-0300-0000E4080000}">
      <text>
        <r>
          <rPr>
            <sz val="10"/>
            <color rgb="FF000000"/>
            <rFont val="Arial"/>
            <scheme val="minor"/>
          </rPr>
          <t>Responder updated this value.</t>
        </r>
      </text>
    </comment>
    <comment ref="AI98" authorId="0" shapeId="0" xr:uid="{00000000-0006-0000-0300-0000E5080000}">
      <text>
        <r>
          <rPr>
            <sz val="10"/>
            <color rgb="FF000000"/>
            <rFont val="Arial"/>
            <scheme val="minor"/>
          </rPr>
          <t>Responder updated this value.</t>
        </r>
      </text>
    </comment>
    <comment ref="AK98" authorId="0" shapeId="0" xr:uid="{00000000-0006-0000-0300-0000E6080000}">
      <text>
        <r>
          <rPr>
            <sz val="10"/>
            <color rgb="FF000000"/>
            <rFont val="Arial"/>
            <scheme val="minor"/>
          </rPr>
          <t>Responder updated this value.</t>
        </r>
      </text>
    </comment>
    <comment ref="AL98" authorId="0" shapeId="0" xr:uid="{00000000-0006-0000-0300-0000E7080000}">
      <text>
        <r>
          <rPr>
            <sz val="10"/>
            <color rgb="FF000000"/>
            <rFont val="Arial"/>
            <scheme val="minor"/>
          </rPr>
          <t>Responder updated this value.</t>
        </r>
      </text>
    </comment>
    <comment ref="AM98" authorId="0" shapeId="0" xr:uid="{00000000-0006-0000-0300-0000E8080000}">
      <text>
        <r>
          <rPr>
            <sz val="10"/>
            <color rgb="FF000000"/>
            <rFont val="Arial"/>
            <scheme val="minor"/>
          </rPr>
          <t>Responder updated this value.</t>
        </r>
      </text>
    </comment>
    <comment ref="AN98" authorId="0" shapeId="0" xr:uid="{00000000-0006-0000-0300-0000E9080000}">
      <text>
        <r>
          <rPr>
            <sz val="10"/>
            <color rgb="FF000000"/>
            <rFont val="Arial"/>
            <scheme val="minor"/>
          </rPr>
          <t>Responder updated this value.</t>
        </r>
      </text>
    </comment>
    <comment ref="AO98" authorId="0" shapeId="0" xr:uid="{00000000-0006-0000-0300-0000EA080000}">
      <text>
        <r>
          <rPr>
            <sz val="10"/>
            <color rgb="FF000000"/>
            <rFont val="Arial"/>
            <scheme val="minor"/>
          </rPr>
          <t>Responder updated this value.</t>
        </r>
      </text>
    </comment>
    <comment ref="AP98" authorId="0" shapeId="0" xr:uid="{00000000-0006-0000-0300-0000EB080000}">
      <text>
        <r>
          <rPr>
            <sz val="10"/>
            <color rgb="FF000000"/>
            <rFont val="Arial"/>
            <scheme val="minor"/>
          </rPr>
          <t>Responder updated this value.</t>
        </r>
      </text>
    </comment>
    <comment ref="AQ98" authorId="0" shapeId="0" xr:uid="{00000000-0006-0000-0300-0000EC080000}">
      <text>
        <r>
          <rPr>
            <sz val="10"/>
            <color rgb="FF000000"/>
            <rFont val="Arial"/>
            <scheme val="minor"/>
          </rPr>
          <t>Responder updated this value.</t>
        </r>
      </text>
    </comment>
    <comment ref="AR98" authorId="0" shapeId="0" xr:uid="{00000000-0006-0000-0300-0000ED080000}">
      <text>
        <r>
          <rPr>
            <sz val="10"/>
            <color rgb="FF000000"/>
            <rFont val="Arial"/>
            <scheme val="minor"/>
          </rPr>
          <t>Responder updated this value.</t>
        </r>
      </text>
    </comment>
    <comment ref="AS98" authorId="0" shapeId="0" xr:uid="{00000000-0006-0000-0300-0000EE080000}">
      <text>
        <r>
          <rPr>
            <sz val="10"/>
            <color rgb="FF000000"/>
            <rFont val="Arial"/>
            <scheme val="minor"/>
          </rPr>
          <t>Responder updated this value.</t>
        </r>
      </text>
    </comment>
    <comment ref="AU98" authorId="0" shapeId="0" xr:uid="{00000000-0006-0000-0300-0000EF080000}">
      <text>
        <r>
          <rPr>
            <sz val="10"/>
            <color rgb="FF000000"/>
            <rFont val="Arial"/>
            <scheme val="minor"/>
          </rPr>
          <t>Responder updated this value.</t>
        </r>
      </text>
    </comment>
    <comment ref="D99" authorId="0" shapeId="0" xr:uid="{00000000-0006-0000-0300-0000F0080000}">
      <text>
        <r>
          <rPr>
            <sz val="10"/>
            <color rgb="FF000000"/>
            <rFont val="Arial"/>
            <scheme val="minor"/>
          </rPr>
          <t>Responder updated this value.</t>
        </r>
      </text>
    </comment>
    <comment ref="L99" authorId="0" shapeId="0" xr:uid="{00000000-0006-0000-0300-0000F1080000}">
      <text>
        <r>
          <rPr>
            <sz val="10"/>
            <color rgb="FF000000"/>
            <rFont val="Arial"/>
            <scheme val="minor"/>
          </rPr>
          <t>Responder updated this value.</t>
        </r>
      </text>
    </comment>
    <comment ref="M99" authorId="0" shapeId="0" xr:uid="{00000000-0006-0000-0300-0000F2080000}">
      <text>
        <r>
          <rPr>
            <sz val="10"/>
            <color rgb="FF000000"/>
            <rFont val="Arial"/>
            <scheme val="minor"/>
          </rPr>
          <t>Responder updated this value.</t>
        </r>
      </text>
    </comment>
    <comment ref="N99" authorId="0" shapeId="0" xr:uid="{00000000-0006-0000-0300-0000F3080000}">
      <text>
        <r>
          <rPr>
            <sz val="10"/>
            <color rgb="FF000000"/>
            <rFont val="Arial"/>
            <scheme val="minor"/>
          </rPr>
          <t>Responder updated this value.</t>
        </r>
      </text>
    </comment>
    <comment ref="O99" authorId="0" shapeId="0" xr:uid="{00000000-0006-0000-0300-0000F4080000}">
      <text>
        <r>
          <rPr>
            <sz val="10"/>
            <color rgb="FF000000"/>
            <rFont val="Arial"/>
            <scheme val="minor"/>
          </rPr>
          <t>Responder updated this value.</t>
        </r>
      </text>
    </comment>
    <comment ref="P99" authorId="0" shapeId="0" xr:uid="{00000000-0006-0000-0300-0000F5080000}">
      <text>
        <r>
          <rPr>
            <sz val="10"/>
            <color rgb="FF000000"/>
            <rFont val="Arial"/>
            <scheme val="minor"/>
          </rPr>
          <t>Responder updated this value.</t>
        </r>
      </text>
    </comment>
    <comment ref="Q99" authorId="0" shapeId="0" xr:uid="{00000000-0006-0000-0300-0000F6080000}">
      <text>
        <r>
          <rPr>
            <sz val="10"/>
            <color rgb="FF000000"/>
            <rFont val="Arial"/>
            <scheme val="minor"/>
          </rPr>
          <t>Responder updated this value.</t>
        </r>
      </text>
    </comment>
    <comment ref="S99" authorId="0" shapeId="0" xr:uid="{00000000-0006-0000-0300-0000F7080000}">
      <text>
        <r>
          <rPr>
            <sz val="10"/>
            <color rgb="FF000000"/>
            <rFont val="Arial"/>
            <scheme val="minor"/>
          </rPr>
          <t>Responder updated this value.</t>
        </r>
      </text>
    </comment>
    <comment ref="U99" authorId="0" shapeId="0" xr:uid="{00000000-0006-0000-0300-0000F8080000}">
      <text>
        <r>
          <rPr>
            <sz val="10"/>
            <color rgb="FF000000"/>
            <rFont val="Arial"/>
            <scheme val="minor"/>
          </rPr>
          <t>Responder updated this value.</t>
        </r>
      </text>
    </comment>
    <comment ref="W99" authorId="0" shapeId="0" xr:uid="{00000000-0006-0000-0300-0000F9080000}">
      <text>
        <r>
          <rPr>
            <sz val="10"/>
            <color rgb="FF000000"/>
            <rFont val="Arial"/>
            <scheme val="minor"/>
          </rPr>
          <t>Responder updated this value.</t>
        </r>
      </text>
    </comment>
    <comment ref="X99" authorId="0" shapeId="0" xr:uid="{00000000-0006-0000-0300-0000FA080000}">
      <text>
        <r>
          <rPr>
            <sz val="10"/>
            <color rgb="FF000000"/>
            <rFont val="Arial"/>
            <scheme val="minor"/>
          </rPr>
          <t>Responder updated this value.</t>
        </r>
      </text>
    </comment>
    <comment ref="Y99" authorId="0" shapeId="0" xr:uid="{00000000-0006-0000-0300-0000FB080000}">
      <text>
        <r>
          <rPr>
            <sz val="10"/>
            <color rgb="FF000000"/>
            <rFont val="Arial"/>
            <scheme val="minor"/>
          </rPr>
          <t>Responder updated this value.</t>
        </r>
      </text>
    </comment>
    <comment ref="Z99" authorId="0" shapeId="0" xr:uid="{00000000-0006-0000-0300-0000FC080000}">
      <text>
        <r>
          <rPr>
            <sz val="10"/>
            <color rgb="FF000000"/>
            <rFont val="Arial"/>
            <scheme val="minor"/>
          </rPr>
          <t>Responder updated this value.</t>
        </r>
      </text>
    </comment>
    <comment ref="AC99" authorId="0" shapeId="0" xr:uid="{00000000-0006-0000-0300-0000FD080000}">
      <text>
        <r>
          <rPr>
            <sz val="10"/>
            <color rgb="FF000000"/>
            <rFont val="Arial"/>
            <scheme val="minor"/>
          </rPr>
          <t>Responder updated this value.</t>
        </r>
      </text>
    </comment>
    <comment ref="AD99" authorId="0" shapeId="0" xr:uid="{00000000-0006-0000-0300-0000FE080000}">
      <text>
        <r>
          <rPr>
            <sz val="10"/>
            <color rgb="FF000000"/>
            <rFont val="Arial"/>
            <scheme val="minor"/>
          </rPr>
          <t>Responder updated this value.</t>
        </r>
      </text>
    </comment>
    <comment ref="AE99" authorId="0" shapeId="0" xr:uid="{00000000-0006-0000-0300-0000FF080000}">
      <text>
        <r>
          <rPr>
            <sz val="10"/>
            <color rgb="FF000000"/>
            <rFont val="Arial"/>
            <scheme val="minor"/>
          </rPr>
          <t>Responder updated this value.</t>
        </r>
      </text>
    </comment>
    <comment ref="AF99" authorId="0" shapeId="0" xr:uid="{00000000-0006-0000-0300-000000090000}">
      <text>
        <r>
          <rPr>
            <sz val="10"/>
            <color rgb="FF000000"/>
            <rFont val="Arial"/>
            <scheme val="minor"/>
          </rPr>
          <t>Responder updated this value.</t>
        </r>
      </text>
    </comment>
    <comment ref="AG99" authorId="0" shapeId="0" xr:uid="{00000000-0006-0000-0300-000001090000}">
      <text>
        <r>
          <rPr>
            <sz val="10"/>
            <color rgb="FF000000"/>
            <rFont val="Arial"/>
            <scheme val="minor"/>
          </rPr>
          <t>Responder updated this value.</t>
        </r>
      </text>
    </comment>
    <comment ref="D100" authorId="0" shapeId="0" xr:uid="{00000000-0006-0000-0300-000002090000}">
      <text>
        <r>
          <rPr>
            <sz val="10"/>
            <color rgb="FF000000"/>
            <rFont val="Arial"/>
            <scheme val="minor"/>
          </rPr>
          <t>Responder updated this value.</t>
        </r>
      </text>
    </comment>
    <comment ref="F100" authorId="0" shapeId="0" xr:uid="{00000000-0006-0000-0300-000003090000}">
      <text>
        <r>
          <rPr>
            <sz val="10"/>
            <color rgb="FF000000"/>
            <rFont val="Arial"/>
            <scheme val="minor"/>
          </rPr>
          <t>Responder updated this value.</t>
        </r>
      </text>
    </comment>
    <comment ref="L100" authorId="0" shapeId="0" xr:uid="{00000000-0006-0000-0300-000004090000}">
      <text>
        <r>
          <rPr>
            <sz val="10"/>
            <color rgb="FF000000"/>
            <rFont val="Arial"/>
            <scheme val="minor"/>
          </rPr>
          <t>Responder updated this value.</t>
        </r>
      </text>
    </comment>
    <comment ref="M100" authorId="0" shapeId="0" xr:uid="{00000000-0006-0000-0300-000005090000}">
      <text>
        <r>
          <rPr>
            <sz val="10"/>
            <color rgb="FF000000"/>
            <rFont val="Arial"/>
            <scheme val="minor"/>
          </rPr>
          <t>Responder updated this value.</t>
        </r>
      </text>
    </comment>
    <comment ref="N100" authorId="0" shapeId="0" xr:uid="{00000000-0006-0000-0300-000006090000}">
      <text>
        <r>
          <rPr>
            <sz val="10"/>
            <color rgb="FF000000"/>
            <rFont val="Arial"/>
            <scheme val="minor"/>
          </rPr>
          <t>Responder updated this value.</t>
        </r>
      </text>
    </comment>
    <comment ref="O100" authorId="0" shapeId="0" xr:uid="{00000000-0006-0000-0300-000007090000}">
      <text>
        <r>
          <rPr>
            <sz val="10"/>
            <color rgb="FF000000"/>
            <rFont val="Arial"/>
            <scheme val="minor"/>
          </rPr>
          <t>Responder updated this value.</t>
        </r>
      </text>
    </comment>
    <comment ref="P100" authorId="0" shapeId="0" xr:uid="{00000000-0006-0000-0300-000008090000}">
      <text>
        <r>
          <rPr>
            <sz val="10"/>
            <color rgb="FF000000"/>
            <rFont val="Arial"/>
            <scheme val="minor"/>
          </rPr>
          <t>Responder updated this value.</t>
        </r>
      </text>
    </comment>
    <comment ref="Q100" authorId="0" shapeId="0" xr:uid="{00000000-0006-0000-0300-000009090000}">
      <text>
        <r>
          <rPr>
            <sz val="10"/>
            <color rgb="FF000000"/>
            <rFont val="Arial"/>
            <scheme val="minor"/>
          </rPr>
          <t>Responder updated this value.</t>
        </r>
      </text>
    </comment>
    <comment ref="S100" authorId="0" shapeId="0" xr:uid="{00000000-0006-0000-0300-00000A090000}">
      <text>
        <r>
          <rPr>
            <sz val="10"/>
            <color rgb="FF000000"/>
            <rFont val="Arial"/>
            <scheme val="minor"/>
          </rPr>
          <t>Responder updated this value.</t>
        </r>
      </text>
    </comment>
    <comment ref="U100" authorId="0" shapeId="0" xr:uid="{00000000-0006-0000-0300-00000B090000}">
      <text>
        <r>
          <rPr>
            <sz val="10"/>
            <color rgb="FF000000"/>
            <rFont val="Arial"/>
            <scheme val="minor"/>
          </rPr>
          <t>Responder updated this value.</t>
        </r>
      </text>
    </comment>
    <comment ref="W100" authorId="0" shapeId="0" xr:uid="{00000000-0006-0000-0300-00000C090000}">
      <text>
        <r>
          <rPr>
            <sz val="10"/>
            <color rgb="FF000000"/>
            <rFont val="Arial"/>
            <scheme val="minor"/>
          </rPr>
          <t>Responder updated this value.</t>
        </r>
      </text>
    </comment>
    <comment ref="X100" authorId="0" shapeId="0" xr:uid="{00000000-0006-0000-0300-00000D090000}">
      <text>
        <r>
          <rPr>
            <sz val="10"/>
            <color rgb="FF000000"/>
            <rFont val="Arial"/>
            <scheme val="minor"/>
          </rPr>
          <t>Responder updated this value.</t>
        </r>
      </text>
    </comment>
    <comment ref="Y100" authorId="0" shapeId="0" xr:uid="{00000000-0006-0000-0300-00000E090000}">
      <text>
        <r>
          <rPr>
            <sz val="10"/>
            <color rgb="FF000000"/>
            <rFont val="Arial"/>
            <scheme val="minor"/>
          </rPr>
          <t>Responder updated this value.</t>
        </r>
      </text>
    </comment>
    <comment ref="Z100" authorId="0" shapeId="0" xr:uid="{00000000-0006-0000-0300-00000F090000}">
      <text>
        <r>
          <rPr>
            <sz val="10"/>
            <color rgb="FF000000"/>
            <rFont val="Arial"/>
            <scheme val="minor"/>
          </rPr>
          <t>Responder updated this value.</t>
        </r>
      </text>
    </comment>
    <comment ref="AC100" authorId="0" shapeId="0" xr:uid="{00000000-0006-0000-0300-000010090000}">
      <text>
        <r>
          <rPr>
            <sz val="10"/>
            <color rgb="FF000000"/>
            <rFont val="Arial"/>
            <scheme val="minor"/>
          </rPr>
          <t>Responder updated this value.</t>
        </r>
      </text>
    </comment>
    <comment ref="AD100" authorId="0" shapeId="0" xr:uid="{00000000-0006-0000-0300-000011090000}">
      <text>
        <r>
          <rPr>
            <sz val="10"/>
            <color rgb="FF000000"/>
            <rFont val="Arial"/>
            <scheme val="minor"/>
          </rPr>
          <t>Responder updated this value.</t>
        </r>
      </text>
    </comment>
    <comment ref="AE100" authorId="0" shapeId="0" xr:uid="{00000000-0006-0000-0300-000012090000}">
      <text>
        <r>
          <rPr>
            <sz val="10"/>
            <color rgb="FF000000"/>
            <rFont val="Arial"/>
            <scheme val="minor"/>
          </rPr>
          <t>Responder updated this value.</t>
        </r>
      </text>
    </comment>
    <comment ref="AF100" authorId="0" shapeId="0" xr:uid="{00000000-0006-0000-0300-000013090000}">
      <text>
        <r>
          <rPr>
            <sz val="10"/>
            <color rgb="FF000000"/>
            <rFont val="Arial"/>
            <scheme val="minor"/>
          </rPr>
          <t>Responder updated this value.</t>
        </r>
      </text>
    </comment>
    <comment ref="AG100" authorId="0" shapeId="0" xr:uid="{00000000-0006-0000-0300-000014090000}">
      <text>
        <r>
          <rPr>
            <sz val="10"/>
            <color rgb="FF000000"/>
            <rFont val="Arial"/>
            <scheme val="minor"/>
          </rPr>
          <t>Responder updated this value.</t>
        </r>
      </text>
    </comment>
    <comment ref="AH100" authorId="0" shapeId="0" xr:uid="{00000000-0006-0000-0300-000015090000}">
      <text>
        <r>
          <rPr>
            <sz val="10"/>
            <color rgb="FF000000"/>
            <rFont val="Arial"/>
            <scheme val="minor"/>
          </rPr>
          <t>Responder updated this value.</t>
        </r>
      </text>
    </comment>
    <comment ref="AK100" authorId="0" shapeId="0" xr:uid="{00000000-0006-0000-0300-000016090000}">
      <text>
        <r>
          <rPr>
            <sz val="10"/>
            <color rgb="FF000000"/>
            <rFont val="Arial"/>
            <scheme val="minor"/>
          </rPr>
          <t>Responder updated this value.</t>
        </r>
      </text>
    </comment>
    <comment ref="AL100" authorId="0" shapeId="0" xr:uid="{00000000-0006-0000-0300-000017090000}">
      <text>
        <r>
          <rPr>
            <sz val="10"/>
            <color rgb="FF000000"/>
            <rFont val="Arial"/>
            <scheme val="minor"/>
          </rPr>
          <t>Responder updated this value.</t>
        </r>
      </text>
    </comment>
    <comment ref="AM100" authorId="0" shapeId="0" xr:uid="{00000000-0006-0000-0300-000018090000}">
      <text>
        <r>
          <rPr>
            <sz val="10"/>
            <color rgb="FF000000"/>
            <rFont val="Arial"/>
            <scheme val="minor"/>
          </rPr>
          <t>Responder updated this value.</t>
        </r>
      </text>
    </comment>
    <comment ref="AN100" authorId="0" shapeId="0" xr:uid="{00000000-0006-0000-0300-000019090000}">
      <text>
        <r>
          <rPr>
            <sz val="10"/>
            <color rgb="FF000000"/>
            <rFont val="Arial"/>
            <scheme val="minor"/>
          </rPr>
          <t>Responder updated this value.</t>
        </r>
      </text>
    </comment>
    <comment ref="AO100" authorId="0" shapeId="0" xr:uid="{00000000-0006-0000-0300-00001A090000}">
      <text>
        <r>
          <rPr>
            <sz val="10"/>
            <color rgb="FF000000"/>
            <rFont val="Arial"/>
            <scheme val="minor"/>
          </rPr>
          <t>Responder updated this value.</t>
        </r>
      </text>
    </comment>
    <comment ref="AP100" authorId="0" shapeId="0" xr:uid="{00000000-0006-0000-0300-00001B090000}">
      <text>
        <r>
          <rPr>
            <sz val="10"/>
            <color rgb="FF000000"/>
            <rFont val="Arial"/>
            <scheme val="minor"/>
          </rPr>
          <t>Responder updated this value.</t>
        </r>
      </text>
    </comment>
    <comment ref="AQ100" authorId="0" shapeId="0" xr:uid="{00000000-0006-0000-0300-00001C090000}">
      <text>
        <r>
          <rPr>
            <sz val="10"/>
            <color rgb="FF000000"/>
            <rFont val="Arial"/>
            <scheme val="minor"/>
          </rPr>
          <t>Responder updated this value.</t>
        </r>
      </text>
    </comment>
    <comment ref="AR100" authorId="0" shapeId="0" xr:uid="{00000000-0006-0000-0300-00001D090000}">
      <text>
        <r>
          <rPr>
            <sz val="10"/>
            <color rgb="FF000000"/>
            <rFont val="Arial"/>
            <scheme val="minor"/>
          </rPr>
          <t>Responder updated this value.</t>
        </r>
      </text>
    </comment>
    <comment ref="AU100" authorId="0" shapeId="0" xr:uid="{00000000-0006-0000-0300-00001E090000}">
      <text>
        <r>
          <rPr>
            <sz val="10"/>
            <color rgb="FF000000"/>
            <rFont val="Arial"/>
            <scheme val="minor"/>
          </rPr>
          <t>Responder updated this value.</t>
        </r>
      </text>
    </comment>
    <comment ref="D101" authorId="0" shapeId="0" xr:uid="{00000000-0006-0000-0300-00001F090000}">
      <text>
        <r>
          <rPr>
            <sz val="10"/>
            <color rgb="FF000000"/>
            <rFont val="Arial"/>
            <scheme val="minor"/>
          </rPr>
          <t>Responder updated this value.</t>
        </r>
      </text>
    </comment>
    <comment ref="F101" authorId="0" shapeId="0" xr:uid="{00000000-0006-0000-0300-000020090000}">
      <text>
        <r>
          <rPr>
            <sz val="10"/>
            <color rgb="FF000000"/>
            <rFont val="Arial"/>
            <scheme val="minor"/>
          </rPr>
          <t>Responder updated this value.</t>
        </r>
      </text>
    </comment>
    <comment ref="N101" authorId="0" shapeId="0" xr:uid="{00000000-0006-0000-0300-000021090000}">
      <text>
        <r>
          <rPr>
            <sz val="10"/>
            <color rgb="FF000000"/>
            <rFont val="Arial"/>
            <scheme val="minor"/>
          </rPr>
          <t>Responder updated this value.</t>
        </r>
      </text>
    </comment>
    <comment ref="O101" authorId="0" shapeId="0" xr:uid="{00000000-0006-0000-0300-000022090000}">
      <text>
        <r>
          <rPr>
            <sz val="10"/>
            <color rgb="FF000000"/>
            <rFont val="Arial"/>
            <scheme val="minor"/>
          </rPr>
          <t>Responder updated this value.</t>
        </r>
      </text>
    </comment>
    <comment ref="P101" authorId="0" shapeId="0" xr:uid="{00000000-0006-0000-0300-000023090000}">
      <text>
        <r>
          <rPr>
            <sz val="10"/>
            <color rgb="FF000000"/>
            <rFont val="Arial"/>
            <scheme val="minor"/>
          </rPr>
          <t>Responder updated this value.</t>
        </r>
      </text>
    </comment>
    <comment ref="Q101" authorId="0" shapeId="0" xr:uid="{00000000-0006-0000-0300-000024090000}">
      <text>
        <r>
          <rPr>
            <sz val="10"/>
            <color rgb="FF000000"/>
            <rFont val="Arial"/>
            <scheme val="minor"/>
          </rPr>
          <t>Responder updated this value.</t>
        </r>
      </text>
    </comment>
    <comment ref="R101" authorId="0" shapeId="0" xr:uid="{00000000-0006-0000-0300-000025090000}">
      <text>
        <r>
          <rPr>
            <sz val="10"/>
            <color rgb="FF000000"/>
            <rFont val="Arial"/>
            <scheme val="minor"/>
          </rPr>
          <t>Responder updated this value.</t>
        </r>
      </text>
    </comment>
    <comment ref="S101" authorId="0" shapeId="0" xr:uid="{00000000-0006-0000-0300-000026090000}">
      <text>
        <r>
          <rPr>
            <sz val="10"/>
            <color rgb="FF000000"/>
            <rFont val="Arial"/>
            <scheme val="minor"/>
          </rPr>
          <t>Responder updated this value.</t>
        </r>
      </text>
    </comment>
    <comment ref="T101" authorId="0" shapeId="0" xr:uid="{00000000-0006-0000-0300-000027090000}">
      <text>
        <r>
          <rPr>
            <sz val="10"/>
            <color rgb="FF000000"/>
            <rFont val="Arial"/>
            <scheme val="minor"/>
          </rPr>
          <t>Responder updated this value.</t>
        </r>
      </text>
    </comment>
    <comment ref="W101" authorId="0" shapeId="0" xr:uid="{00000000-0006-0000-0300-000028090000}">
      <text>
        <r>
          <rPr>
            <sz val="10"/>
            <color rgb="FF000000"/>
            <rFont val="Arial"/>
            <scheme val="minor"/>
          </rPr>
          <t>Responder updated this value.</t>
        </r>
      </text>
    </comment>
    <comment ref="Y101" authorId="0" shapeId="0" xr:uid="{00000000-0006-0000-0300-000029090000}">
      <text>
        <r>
          <rPr>
            <sz val="10"/>
            <color rgb="FF000000"/>
            <rFont val="Arial"/>
            <scheme val="minor"/>
          </rPr>
          <t>Responder updated this value.</t>
        </r>
      </text>
    </comment>
    <comment ref="Z101" authorId="0" shapeId="0" xr:uid="{00000000-0006-0000-0300-00002A090000}">
      <text>
        <r>
          <rPr>
            <sz val="10"/>
            <color rgb="FF000000"/>
            <rFont val="Arial"/>
            <scheme val="minor"/>
          </rPr>
          <t>Responder updated this value.</t>
        </r>
      </text>
    </comment>
    <comment ref="AC101" authorId="0" shapeId="0" xr:uid="{00000000-0006-0000-0300-00002B090000}">
      <text>
        <r>
          <rPr>
            <sz val="10"/>
            <color rgb="FF000000"/>
            <rFont val="Arial"/>
            <scheme val="minor"/>
          </rPr>
          <t>Responder updated this value.</t>
        </r>
      </text>
    </comment>
    <comment ref="AD101" authorId="0" shapeId="0" xr:uid="{00000000-0006-0000-0300-00002C090000}">
      <text>
        <r>
          <rPr>
            <sz val="10"/>
            <color rgb="FF000000"/>
            <rFont val="Arial"/>
            <scheme val="minor"/>
          </rPr>
          <t>Responder updated this value.</t>
        </r>
      </text>
    </comment>
    <comment ref="AE101" authorId="0" shapeId="0" xr:uid="{00000000-0006-0000-0300-00002D090000}">
      <text>
        <r>
          <rPr>
            <sz val="10"/>
            <color rgb="FF000000"/>
            <rFont val="Arial"/>
            <scheme val="minor"/>
          </rPr>
          <t>Responder updated this value.</t>
        </r>
      </text>
    </comment>
    <comment ref="AF101" authorId="0" shapeId="0" xr:uid="{00000000-0006-0000-0300-00002E090000}">
      <text>
        <r>
          <rPr>
            <sz val="10"/>
            <color rgb="FF000000"/>
            <rFont val="Arial"/>
            <scheme val="minor"/>
          </rPr>
          <t>Responder updated this value.</t>
        </r>
      </text>
    </comment>
    <comment ref="AG101" authorId="0" shapeId="0" xr:uid="{00000000-0006-0000-0300-00002F090000}">
      <text>
        <r>
          <rPr>
            <sz val="10"/>
            <color rgb="FF000000"/>
            <rFont val="Arial"/>
            <scheme val="minor"/>
          </rPr>
          <t>Responder updated this value.</t>
        </r>
      </text>
    </comment>
    <comment ref="AH101" authorId="0" shapeId="0" xr:uid="{00000000-0006-0000-0300-000030090000}">
      <text>
        <r>
          <rPr>
            <sz val="10"/>
            <color rgb="FF000000"/>
            <rFont val="Arial"/>
            <scheme val="minor"/>
          </rPr>
          <t>Responder updated this value.</t>
        </r>
      </text>
    </comment>
    <comment ref="AK101" authorId="0" shapeId="0" xr:uid="{00000000-0006-0000-0300-000031090000}">
      <text>
        <r>
          <rPr>
            <sz val="10"/>
            <color rgb="FF000000"/>
            <rFont val="Arial"/>
            <scheme val="minor"/>
          </rPr>
          <t>Responder updated this value.</t>
        </r>
      </text>
    </comment>
    <comment ref="AL101" authorId="0" shapeId="0" xr:uid="{00000000-0006-0000-0300-000032090000}">
      <text>
        <r>
          <rPr>
            <sz val="10"/>
            <color rgb="FF000000"/>
            <rFont val="Arial"/>
            <scheme val="minor"/>
          </rPr>
          <t>Responder updated this value.</t>
        </r>
      </text>
    </comment>
    <comment ref="AM101" authorId="0" shapeId="0" xr:uid="{00000000-0006-0000-0300-000033090000}">
      <text>
        <r>
          <rPr>
            <sz val="10"/>
            <color rgb="FF000000"/>
            <rFont val="Arial"/>
            <scheme val="minor"/>
          </rPr>
          <t>Responder updated this value.</t>
        </r>
      </text>
    </comment>
    <comment ref="AN101" authorId="0" shapeId="0" xr:uid="{00000000-0006-0000-0300-000034090000}">
      <text>
        <r>
          <rPr>
            <sz val="10"/>
            <color rgb="FF000000"/>
            <rFont val="Arial"/>
            <scheme val="minor"/>
          </rPr>
          <t>Responder updated this value.</t>
        </r>
      </text>
    </comment>
    <comment ref="AO101" authorId="0" shapeId="0" xr:uid="{00000000-0006-0000-0300-000035090000}">
      <text>
        <r>
          <rPr>
            <sz val="10"/>
            <color rgb="FF000000"/>
            <rFont val="Arial"/>
            <scheme val="minor"/>
          </rPr>
          <t>Responder updated this value.</t>
        </r>
      </text>
    </comment>
    <comment ref="AP101" authorId="0" shapeId="0" xr:uid="{00000000-0006-0000-0300-000036090000}">
      <text>
        <r>
          <rPr>
            <sz val="10"/>
            <color rgb="FF000000"/>
            <rFont val="Arial"/>
            <scheme val="minor"/>
          </rPr>
          <t>Responder updated this value.</t>
        </r>
      </text>
    </comment>
    <comment ref="AQ101" authorId="0" shapeId="0" xr:uid="{00000000-0006-0000-0300-000037090000}">
      <text>
        <r>
          <rPr>
            <sz val="10"/>
            <color rgb="FF000000"/>
            <rFont val="Arial"/>
            <scheme val="minor"/>
          </rPr>
          <t>Responder updated this value.</t>
        </r>
      </text>
    </comment>
    <comment ref="AR101" authorId="0" shapeId="0" xr:uid="{00000000-0006-0000-0300-000038090000}">
      <text>
        <r>
          <rPr>
            <sz val="10"/>
            <color rgb="FF000000"/>
            <rFont val="Arial"/>
            <scheme val="minor"/>
          </rPr>
          <t>Responder updated this value.</t>
        </r>
      </text>
    </comment>
    <comment ref="AU101" authorId="0" shapeId="0" xr:uid="{00000000-0006-0000-0300-000039090000}">
      <text>
        <r>
          <rPr>
            <sz val="10"/>
            <color rgb="FF000000"/>
            <rFont val="Arial"/>
            <scheme val="minor"/>
          </rPr>
          <t>Responder updated this value.</t>
        </r>
      </text>
    </comment>
    <comment ref="D102" authorId="0" shapeId="0" xr:uid="{00000000-0006-0000-0300-00003A090000}">
      <text>
        <r>
          <rPr>
            <sz val="10"/>
            <color rgb="FF000000"/>
            <rFont val="Arial"/>
            <scheme val="minor"/>
          </rPr>
          <t>Responder updated this value.</t>
        </r>
      </text>
    </comment>
    <comment ref="F102" authorId="0" shapeId="0" xr:uid="{00000000-0006-0000-0300-00003B090000}">
      <text>
        <r>
          <rPr>
            <sz val="10"/>
            <color rgb="FF000000"/>
            <rFont val="Arial"/>
            <scheme val="minor"/>
          </rPr>
          <t>Responder updated this value.</t>
        </r>
      </text>
    </comment>
    <comment ref="L102" authorId="0" shapeId="0" xr:uid="{00000000-0006-0000-0300-00003C090000}">
      <text>
        <r>
          <rPr>
            <sz val="10"/>
            <color rgb="FF000000"/>
            <rFont val="Arial"/>
            <scheme val="minor"/>
          </rPr>
          <t>Responder updated this value.</t>
        </r>
      </text>
    </comment>
    <comment ref="N102" authorId="0" shapeId="0" xr:uid="{00000000-0006-0000-0300-00003D090000}">
      <text>
        <r>
          <rPr>
            <sz val="10"/>
            <color rgb="FF000000"/>
            <rFont val="Arial"/>
            <scheme val="minor"/>
          </rPr>
          <t>Responder updated this value.</t>
        </r>
      </text>
    </comment>
    <comment ref="O102" authorId="0" shapeId="0" xr:uid="{00000000-0006-0000-0300-00003E090000}">
      <text>
        <r>
          <rPr>
            <sz val="10"/>
            <color rgb="FF000000"/>
            <rFont val="Arial"/>
            <scheme val="minor"/>
          </rPr>
          <t>Responder updated this value.</t>
        </r>
      </text>
    </comment>
    <comment ref="P102" authorId="0" shapeId="0" xr:uid="{00000000-0006-0000-0300-00003F090000}">
      <text>
        <r>
          <rPr>
            <sz val="10"/>
            <color rgb="FF000000"/>
            <rFont val="Arial"/>
            <scheme val="minor"/>
          </rPr>
          <t>Responder updated this value.</t>
        </r>
      </text>
    </comment>
    <comment ref="Q102" authorId="0" shapeId="0" xr:uid="{00000000-0006-0000-0300-000040090000}">
      <text>
        <r>
          <rPr>
            <sz val="10"/>
            <color rgb="FF000000"/>
            <rFont val="Arial"/>
            <scheme val="minor"/>
          </rPr>
          <t>Responder updated this value.</t>
        </r>
      </text>
    </comment>
    <comment ref="R102" authorId="0" shapeId="0" xr:uid="{00000000-0006-0000-0300-000041090000}">
      <text>
        <r>
          <rPr>
            <sz val="10"/>
            <color rgb="FF000000"/>
            <rFont val="Arial"/>
            <scheme val="minor"/>
          </rPr>
          <t>Responder updated this value.</t>
        </r>
      </text>
    </comment>
    <comment ref="V102" authorId="0" shapeId="0" xr:uid="{00000000-0006-0000-0300-000042090000}">
      <text>
        <r>
          <rPr>
            <sz val="10"/>
            <color rgb="FF000000"/>
            <rFont val="Arial"/>
            <scheme val="minor"/>
          </rPr>
          <t>Responder updated this value.</t>
        </r>
      </text>
    </comment>
    <comment ref="W102" authorId="0" shapeId="0" xr:uid="{00000000-0006-0000-0300-000043090000}">
      <text>
        <r>
          <rPr>
            <sz val="10"/>
            <color rgb="FF000000"/>
            <rFont val="Arial"/>
            <scheme val="minor"/>
          </rPr>
          <t>Responder updated this value.</t>
        </r>
      </text>
    </comment>
    <comment ref="Y102" authorId="0" shapeId="0" xr:uid="{00000000-0006-0000-0300-000044090000}">
      <text>
        <r>
          <rPr>
            <sz val="10"/>
            <color rgb="FF000000"/>
            <rFont val="Arial"/>
            <scheme val="minor"/>
          </rPr>
          <t>Responder updated this value.</t>
        </r>
      </text>
    </comment>
    <comment ref="Z102" authorId="0" shapeId="0" xr:uid="{00000000-0006-0000-0300-000045090000}">
      <text>
        <r>
          <rPr>
            <sz val="10"/>
            <color rgb="FF000000"/>
            <rFont val="Arial"/>
            <scheme val="minor"/>
          </rPr>
          <t>Responder updated this value.</t>
        </r>
      </text>
    </comment>
    <comment ref="AC102" authorId="0" shapeId="0" xr:uid="{00000000-0006-0000-0300-000046090000}">
      <text>
        <r>
          <rPr>
            <sz val="10"/>
            <color rgb="FF000000"/>
            <rFont val="Arial"/>
            <scheme val="minor"/>
          </rPr>
          <t>Responder updated this value.</t>
        </r>
      </text>
    </comment>
    <comment ref="AD102" authorId="0" shapeId="0" xr:uid="{00000000-0006-0000-0300-000047090000}">
      <text>
        <r>
          <rPr>
            <sz val="10"/>
            <color rgb="FF000000"/>
            <rFont val="Arial"/>
            <scheme val="minor"/>
          </rPr>
          <t>Responder updated this value.</t>
        </r>
      </text>
    </comment>
    <comment ref="AE102" authorId="0" shapeId="0" xr:uid="{00000000-0006-0000-0300-000048090000}">
      <text>
        <r>
          <rPr>
            <sz val="10"/>
            <color rgb="FF000000"/>
            <rFont val="Arial"/>
            <scheme val="minor"/>
          </rPr>
          <t>Responder updated this value.</t>
        </r>
      </text>
    </comment>
    <comment ref="AF102" authorId="0" shapeId="0" xr:uid="{00000000-0006-0000-0300-000049090000}">
      <text>
        <r>
          <rPr>
            <sz val="10"/>
            <color rgb="FF000000"/>
            <rFont val="Arial"/>
            <scheme val="minor"/>
          </rPr>
          <t>Responder updated this value.</t>
        </r>
      </text>
    </comment>
    <comment ref="AG102" authorId="0" shapeId="0" xr:uid="{00000000-0006-0000-0300-00004A090000}">
      <text>
        <r>
          <rPr>
            <sz val="10"/>
            <color rgb="FF000000"/>
            <rFont val="Arial"/>
            <scheme val="minor"/>
          </rPr>
          <t>Responder updated this value.</t>
        </r>
      </text>
    </comment>
    <comment ref="AH102" authorId="0" shapeId="0" xr:uid="{00000000-0006-0000-0300-00004B090000}">
      <text>
        <r>
          <rPr>
            <sz val="10"/>
            <color rgb="FF000000"/>
            <rFont val="Arial"/>
            <scheme val="minor"/>
          </rPr>
          <t>Responder updated this value.</t>
        </r>
      </text>
    </comment>
    <comment ref="AK102" authorId="0" shapeId="0" xr:uid="{00000000-0006-0000-0300-00004C090000}">
      <text>
        <r>
          <rPr>
            <sz val="10"/>
            <color rgb="FF000000"/>
            <rFont val="Arial"/>
            <scheme val="minor"/>
          </rPr>
          <t>Responder updated this value.</t>
        </r>
      </text>
    </comment>
    <comment ref="AL102" authorId="0" shapeId="0" xr:uid="{00000000-0006-0000-0300-00004D090000}">
      <text>
        <r>
          <rPr>
            <sz val="10"/>
            <color rgb="FF000000"/>
            <rFont val="Arial"/>
            <scheme val="minor"/>
          </rPr>
          <t>Responder updated this value.</t>
        </r>
      </text>
    </comment>
    <comment ref="AM102" authorId="0" shapeId="0" xr:uid="{00000000-0006-0000-0300-00004E090000}">
      <text>
        <r>
          <rPr>
            <sz val="10"/>
            <color rgb="FF000000"/>
            <rFont val="Arial"/>
            <scheme val="minor"/>
          </rPr>
          <t>Responder updated this value.</t>
        </r>
      </text>
    </comment>
    <comment ref="AN102" authorId="0" shapeId="0" xr:uid="{00000000-0006-0000-0300-00004F090000}">
      <text>
        <r>
          <rPr>
            <sz val="10"/>
            <color rgb="FF000000"/>
            <rFont val="Arial"/>
            <scheme val="minor"/>
          </rPr>
          <t>Responder updated this value.</t>
        </r>
      </text>
    </comment>
    <comment ref="AO102" authorId="0" shapeId="0" xr:uid="{00000000-0006-0000-0300-000050090000}">
      <text>
        <r>
          <rPr>
            <sz val="10"/>
            <color rgb="FF000000"/>
            <rFont val="Arial"/>
            <scheme val="minor"/>
          </rPr>
          <t>Responder updated this value.</t>
        </r>
      </text>
    </comment>
    <comment ref="AP102" authorId="0" shapeId="0" xr:uid="{00000000-0006-0000-0300-000051090000}">
      <text>
        <r>
          <rPr>
            <sz val="10"/>
            <color rgb="FF000000"/>
            <rFont val="Arial"/>
            <scheme val="minor"/>
          </rPr>
          <t>Responder updated this value.</t>
        </r>
      </text>
    </comment>
    <comment ref="AQ102" authorId="0" shapeId="0" xr:uid="{00000000-0006-0000-0300-000052090000}">
      <text>
        <r>
          <rPr>
            <sz val="10"/>
            <color rgb="FF000000"/>
            <rFont val="Arial"/>
            <scheme val="minor"/>
          </rPr>
          <t>Responder updated this value.</t>
        </r>
      </text>
    </comment>
    <comment ref="AU102" authorId="0" shapeId="0" xr:uid="{00000000-0006-0000-0300-000053090000}">
      <text>
        <r>
          <rPr>
            <sz val="10"/>
            <color rgb="FF000000"/>
            <rFont val="Arial"/>
            <scheme val="minor"/>
          </rPr>
          <t>Responder updated this value.</t>
        </r>
      </text>
    </comment>
    <comment ref="D103" authorId="0" shapeId="0" xr:uid="{00000000-0006-0000-0300-000054090000}">
      <text>
        <r>
          <rPr>
            <sz val="10"/>
            <color rgb="FF000000"/>
            <rFont val="Arial"/>
            <scheme val="minor"/>
          </rPr>
          <t>Responder updated this value.</t>
        </r>
      </text>
    </comment>
    <comment ref="L103" authorId="0" shapeId="0" xr:uid="{00000000-0006-0000-0300-000055090000}">
      <text>
        <r>
          <rPr>
            <sz val="10"/>
            <color rgb="FF000000"/>
            <rFont val="Arial"/>
            <scheme val="minor"/>
          </rPr>
          <t>Responder updated this value.</t>
        </r>
      </text>
    </comment>
    <comment ref="M103" authorId="0" shapeId="0" xr:uid="{00000000-0006-0000-0300-000056090000}">
      <text>
        <r>
          <rPr>
            <sz val="10"/>
            <color rgb="FF000000"/>
            <rFont val="Arial"/>
            <scheme val="minor"/>
          </rPr>
          <t>Responder updated this value.</t>
        </r>
      </text>
    </comment>
    <comment ref="N103" authorId="0" shapeId="0" xr:uid="{00000000-0006-0000-0300-000057090000}">
      <text>
        <r>
          <rPr>
            <sz val="10"/>
            <color rgb="FF000000"/>
            <rFont val="Arial"/>
            <scheme val="minor"/>
          </rPr>
          <t>Responder updated this value.</t>
        </r>
      </text>
    </comment>
    <comment ref="O103" authorId="0" shapeId="0" xr:uid="{00000000-0006-0000-0300-000058090000}">
      <text>
        <r>
          <rPr>
            <sz val="10"/>
            <color rgb="FF000000"/>
            <rFont val="Arial"/>
            <scheme val="minor"/>
          </rPr>
          <t>Responder updated this value.</t>
        </r>
      </text>
    </comment>
    <comment ref="P103" authorId="0" shapeId="0" xr:uid="{00000000-0006-0000-0300-000059090000}">
      <text>
        <r>
          <rPr>
            <sz val="10"/>
            <color rgb="FF000000"/>
            <rFont val="Arial"/>
            <scheme val="minor"/>
          </rPr>
          <t>Responder updated this value.</t>
        </r>
      </text>
    </comment>
    <comment ref="Q103" authorId="0" shapeId="0" xr:uid="{00000000-0006-0000-0300-00005A090000}">
      <text>
        <r>
          <rPr>
            <sz val="10"/>
            <color rgb="FF000000"/>
            <rFont val="Arial"/>
            <scheme val="minor"/>
          </rPr>
          <t>Responder updated this value.</t>
        </r>
      </text>
    </comment>
    <comment ref="R103" authorId="0" shapeId="0" xr:uid="{00000000-0006-0000-0300-00005B090000}">
      <text>
        <r>
          <rPr>
            <sz val="10"/>
            <color rgb="FF000000"/>
            <rFont val="Arial"/>
            <scheme val="minor"/>
          </rPr>
          <t>Responder updated this value.</t>
        </r>
      </text>
    </comment>
    <comment ref="V103" authorId="0" shapeId="0" xr:uid="{00000000-0006-0000-0300-00005C090000}">
      <text>
        <r>
          <rPr>
            <sz val="10"/>
            <color rgb="FF000000"/>
            <rFont val="Arial"/>
            <scheme val="minor"/>
          </rPr>
          <t>Responder updated this value.</t>
        </r>
      </text>
    </comment>
    <comment ref="W103" authorId="0" shapeId="0" xr:uid="{00000000-0006-0000-0300-00005D090000}">
      <text>
        <r>
          <rPr>
            <sz val="10"/>
            <color rgb="FF000000"/>
            <rFont val="Arial"/>
            <scheme val="minor"/>
          </rPr>
          <t>Responder updated this value.</t>
        </r>
      </text>
    </comment>
    <comment ref="Y103" authorId="0" shapeId="0" xr:uid="{00000000-0006-0000-0300-00005E090000}">
      <text>
        <r>
          <rPr>
            <sz val="10"/>
            <color rgb="FF000000"/>
            <rFont val="Arial"/>
            <scheme val="minor"/>
          </rPr>
          <t>Responder updated this value.</t>
        </r>
      </text>
    </comment>
    <comment ref="Z103" authorId="0" shapeId="0" xr:uid="{00000000-0006-0000-0300-00005F090000}">
      <text>
        <r>
          <rPr>
            <sz val="10"/>
            <color rgb="FF000000"/>
            <rFont val="Arial"/>
            <scheme val="minor"/>
          </rPr>
          <t>Responder updated this value.</t>
        </r>
      </text>
    </comment>
    <comment ref="AC103" authorId="0" shapeId="0" xr:uid="{00000000-0006-0000-0300-000060090000}">
      <text>
        <r>
          <rPr>
            <sz val="10"/>
            <color rgb="FF000000"/>
            <rFont val="Arial"/>
            <scheme val="minor"/>
          </rPr>
          <t>Responder updated this value.</t>
        </r>
      </text>
    </comment>
    <comment ref="AD103" authorId="0" shapeId="0" xr:uid="{00000000-0006-0000-0300-000061090000}">
      <text>
        <r>
          <rPr>
            <sz val="10"/>
            <color rgb="FF000000"/>
            <rFont val="Arial"/>
            <scheme val="minor"/>
          </rPr>
          <t>Responder updated this value.</t>
        </r>
      </text>
    </comment>
    <comment ref="AE103" authorId="0" shapeId="0" xr:uid="{00000000-0006-0000-0300-000062090000}">
      <text>
        <r>
          <rPr>
            <sz val="10"/>
            <color rgb="FF000000"/>
            <rFont val="Arial"/>
            <scheme val="minor"/>
          </rPr>
          <t>Responder updated this value.</t>
        </r>
      </text>
    </comment>
    <comment ref="AF103" authorId="0" shapeId="0" xr:uid="{00000000-0006-0000-0300-000063090000}">
      <text>
        <r>
          <rPr>
            <sz val="10"/>
            <color rgb="FF000000"/>
            <rFont val="Arial"/>
            <scheme val="minor"/>
          </rPr>
          <t>Responder updated this value.</t>
        </r>
      </text>
    </comment>
    <comment ref="AG103" authorId="0" shapeId="0" xr:uid="{00000000-0006-0000-0300-000064090000}">
      <text>
        <r>
          <rPr>
            <sz val="10"/>
            <color rgb="FF000000"/>
            <rFont val="Arial"/>
            <scheme val="minor"/>
          </rPr>
          <t>Responder updated this value.</t>
        </r>
      </text>
    </comment>
    <comment ref="AH103" authorId="0" shapeId="0" xr:uid="{00000000-0006-0000-0300-000065090000}">
      <text>
        <r>
          <rPr>
            <sz val="10"/>
            <color rgb="FF000000"/>
            <rFont val="Arial"/>
            <scheme val="minor"/>
          </rPr>
          <t>Responder updated this value.</t>
        </r>
      </text>
    </comment>
    <comment ref="AK103" authorId="0" shapeId="0" xr:uid="{00000000-0006-0000-0300-000066090000}">
      <text>
        <r>
          <rPr>
            <sz val="10"/>
            <color rgb="FF000000"/>
            <rFont val="Arial"/>
            <scheme val="minor"/>
          </rPr>
          <t>Responder updated this value.</t>
        </r>
      </text>
    </comment>
    <comment ref="AL103" authorId="0" shapeId="0" xr:uid="{00000000-0006-0000-0300-000067090000}">
      <text>
        <r>
          <rPr>
            <sz val="10"/>
            <color rgb="FF000000"/>
            <rFont val="Arial"/>
            <scheme val="minor"/>
          </rPr>
          <t>Responder updated this value.</t>
        </r>
      </text>
    </comment>
    <comment ref="AM103" authorId="0" shapeId="0" xr:uid="{00000000-0006-0000-0300-000068090000}">
      <text>
        <r>
          <rPr>
            <sz val="10"/>
            <color rgb="FF000000"/>
            <rFont val="Arial"/>
            <scheme val="minor"/>
          </rPr>
          <t>Responder updated this value.</t>
        </r>
      </text>
    </comment>
    <comment ref="AN103" authorId="0" shapeId="0" xr:uid="{00000000-0006-0000-0300-000069090000}">
      <text>
        <r>
          <rPr>
            <sz val="10"/>
            <color rgb="FF000000"/>
            <rFont val="Arial"/>
            <scheme val="minor"/>
          </rPr>
          <t>Responder updated this value.</t>
        </r>
      </text>
    </comment>
    <comment ref="AO103" authorId="0" shapeId="0" xr:uid="{00000000-0006-0000-0300-00006A090000}">
      <text>
        <r>
          <rPr>
            <sz val="10"/>
            <color rgb="FF000000"/>
            <rFont val="Arial"/>
            <scheme val="minor"/>
          </rPr>
          <t>Responder updated this value.</t>
        </r>
      </text>
    </comment>
    <comment ref="AP103" authorId="0" shapeId="0" xr:uid="{00000000-0006-0000-0300-00006B090000}">
      <text>
        <r>
          <rPr>
            <sz val="10"/>
            <color rgb="FF000000"/>
            <rFont val="Arial"/>
            <scheme val="minor"/>
          </rPr>
          <t>Responder updated this value.</t>
        </r>
      </text>
    </comment>
    <comment ref="AQ103" authorId="0" shapeId="0" xr:uid="{00000000-0006-0000-0300-00006C090000}">
      <text>
        <r>
          <rPr>
            <sz val="10"/>
            <color rgb="FF000000"/>
            <rFont val="Arial"/>
            <scheme val="minor"/>
          </rPr>
          <t>Responder updated this value.</t>
        </r>
      </text>
    </comment>
    <comment ref="AR103" authorId="0" shapeId="0" xr:uid="{00000000-0006-0000-0300-00006D090000}">
      <text>
        <r>
          <rPr>
            <sz val="10"/>
            <color rgb="FF000000"/>
            <rFont val="Arial"/>
            <scheme val="minor"/>
          </rPr>
          <t>Responder updated this value.</t>
        </r>
      </text>
    </comment>
    <comment ref="AU103" authorId="0" shapeId="0" xr:uid="{00000000-0006-0000-0300-00006E090000}">
      <text>
        <r>
          <rPr>
            <sz val="10"/>
            <color rgb="FF000000"/>
            <rFont val="Arial"/>
            <scheme val="minor"/>
          </rPr>
          <t>Responder updated this value.</t>
        </r>
      </text>
    </comment>
    <comment ref="D104" authorId="0" shapeId="0" xr:uid="{00000000-0006-0000-0300-00006F090000}">
      <text>
        <r>
          <rPr>
            <sz val="10"/>
            <color rgb="FF000000"/>
            <rFont val="Arial"/>
            <scheme val="minor"/>
          </rPr>
          <t>Responder updated this value.</t>
        </r>
      </text>
    </comment>
    <comment ref="L104" authorId="0" shapeId="0" xr:uid="{00000000-0006-0000-0300-000070090000}">
      <text>
        <r>
          <rPr>
            <sz val="10"/>
            <color rgb="FF000000"/>
            <rFont val="Arial"/>
            <scheme val="minor"/>
          </rPr>
          <t>Responder updated this value.</t>
        </r>
      </text>
    </comment>
    <comment ref="M104" authorId="0" shapeId="0" xr:uid="{00000000-0006-0000-0300-000071090000}">
      <text>
        <r>
          <rPr>
            <sz val="10"/>
            <color rgb="FF000000"/>
            <rFont val="Arial"/>
            <scheme val="minor"/>
          </rPr>
          <t>Responder updated this value.</t>
        </r>
      </text>
    </comment>
    <comment ref="N104" authorId="0" shapeId="0" xr:uid="{00000000-0006-0000-0300-000072090000}">
      <text>
        <r>
          <rPr>
            <sz val="10"/>
            <color rgb="FF000000"/>
            <rFont val="Arial"/>
            <scheme val="minor"/>
          </rPr>
          <t>Responder updated this value.</t>
        </r>
      </text>
    </comment>
    <comment ref="O104" authorId="0" shapeId="0" xr:uid="{00000000-0006-0000-0300-000073090000}">
      <text>
        <r>
          <rPr>
            <sz val="10"/>
            <color rgb="FF000000"/>
            <rFont val="Arial"/>
            <scheme val="minor"/>
          </rPr>
          <t>Responder updated this value.</t>
        </r>
      </text>
    </comment>
    <comment ref="P104" authorId="0" shapeId="0" xr:uid="{00000000-0006-0000-0300-000074090000}">
      <text>
        <r>
          <rPr>
            <sz val="10"/>
            <color rgb="FF000000"/>
            <rFont val="Arial"/>
            <scheme val="minor"/>
          </rPr>
          <t>Responder updated this value.</t>
        </r>
      </text>
    </comment>
    <comment ref="Q104" authorId="0" shapeId="0" xr:uid="{00000000-0006-0000-0300-000075090000}">
      <text>
        <r>
          <rPr>
            <sz val="10"/>
            <color rgb="FF000000"/>
            <rFont val="Arial"/>
            <scheme val="minor"/>
          </rPr>
          <t>Responder updated this value.</t>
        </r>
      </text>
    </comment>
    <comment ref="R104" authorId="0" shapeId="0" xr:uid="{00000000-0006-0000-0300-000076090000}">
      <text>
        <r>
          <rPr>
            <sz val="10"/>
            <color rgb="FF000000"/>
            <rFont val="Arial"/>
            <scheme val="minor"/>
          </rPr>
          <t>Responder updated this value.</t>
        </r>
      </text>
    </comment>
    <comment ref="V104" authorId="0" shapeId="0" xr:uid="{00000000-0006-0000-0300-000077090000}">
      <text>
        <r>
          <rPr>
            <sz val="10"/>
            <color rgb="FF000000"/>
            <rFont val="Arial"/>
            <scheme val="minor"/>
          </rPr>
          <t>Responder updated this value.</t>
        </r>
      </text>
    </comment>
    <comment ref="W104" authorId="0" shapeId="0" xr:uid="{00000000-0006-0000-0300-000078090000}">
      <text>
        <r>
          <rPr>
            <sz val="10"/>
            <color rgb="FF000000"/>
            <rFont val="Arial"/>
            <scheme val="minor"/>
          </rPr>
          <t>Responder updated this value.</t>
        </r>
      </text>
    </comment>
    <comment ref="Y104" authorId="0" shapeId="0" xr:uid="{00000000-0006-0000-0300-000079090000}">
      <text>
        <r>
          <rPr>
            <sz val="10"/>
            <color rgb="FF000000"/>
            <rFont val="Arial"/>
            <scheme val="minor"/>
          </rPr>
          <t>Responder updated this value.</t>
        </r>
      </text>
    </comment>
    <comment ref="Z104" authorId="0" shapeId="0" xr:uid="{00000000-0006-0000-0300-00007A090000}">
      <text>
        <r>
          <rPr>
            <sz val="10"/>
            <color rgb="FF000000"/>
            <rFont val="Arial"/>
            <scheme val="minor"/>
          </rPr>
          <t>Responder updated this value.</t>
        </r>
      </text>
    </comment>
    <comment ref="AC104" authorId="0" shapeId="0" xr:uid="{00000000-0006-0000-0300-00007B090000}">
      <text>
        <r>
          <rPr>
            <sz val="10"/>
            <color rgb="FF000000"/>
            <rFont val="Arial"/>
            <scheme val="minor"/>
          </rPr>
          <t>Responder updated this value.</t>
        </r>
      </text>
    </comment>
    <comment ref="AD104" authorId="0" shapeId="0" xr:uid="{00000000-0006-0000-0300-00007C090000}">
      <text>
        <r>
          <rPr>
            <sz val="10"/>
            <color rgb="FF000000"/>
            <rFont val="Arial"/>
            <scheme val="minor"/>
          </rPr>
          <t>Responder updated this value.</t>
        </r>
      </text>
    </comment>
    <comment ref="AE104" authorId="0" shapeId="0" xr:uid="{00000000-0006-0000-0300-00007D090000}">
      <text>
        <r>
          <rPr>
            <sz val="10"/>
            <color rgb="FF000000"/>
            <rFont val="Arial"/>
            <scheme val="minor"/>
          </rPr>
          <t>Responder updated this value.</t>
        </r>
      </text>
    </comment>
    <comment ref="AF104" authorId="0" shapeId="0" xr:uid="{00000000-0006-0000-0300-00007E090000}">
      <text>
        <r>
          <rPr>
            <sz val="10"/>
            <color rgb="FF000000"/>
            <rFont val="Arial"/>
            <scheme val="minor"/>
          </rPr>
          <t>Responder updated this value.</t>
        </r>
      </text>
    </comment>
    <comment ref="AG104" authorId="0" shapeId="0" xr:uid="{00000000-0006-0000-0300-00007F090000}">
      <text>
        <r>
          <rPr>
            <sz val="10"/>
            <color rgb="FF000000"/>
            <rFont val="Arial"/>
            <scheme val="minor"/>
          </rPr>
          <t>Responder updated this value.</t>
        </r>
      </text>
    </comment>
    <comment ref="AH104" authorId="0" shapeId="0" xr:uid="{00000000-0006-0000-0300-000080090000}">
      <text>
        <r>
          <rPr>
            <sz val="10"/>
            <color rgb="FF000000"/>
            <rFont val="Arial"/>
            <scheme val="minor"/>
          </rPr>
          <t>Responder updated this value.</t>
        </r>
      </text>
    </comment>
    <comment ref="AK104" authorId="0" shapeId="0" xr:uid="{00000000-0006-0000-0300-000081090000}">
      <text>
        <r>
          <rPr>
            <sz val="10"/>
            <color rgb="FF000000"/>
            <rFont val="Arial"/>
            <scheme val="minor"/>
          </rPr>
          <t>Responder updated this value.</t>
        </r>
      </text>
    </comment>
    <comment ref="AL104" authorId="0" shapeId="0" xr:uid="{00000000-0006-0000-0300-000082090000}">
      <text>
        <r>
          <rPr>
            <sz val="10"/>
            <color rgb="FF000000"/>
            <rFont val="Arial"/>
            <scheme val="minor"/>
          </rPr>
          <t>Responder updated this value.</t>
        </r>
      </text>
    </comment>
    <comment ref="AM104" authorId="0" shapeId="0" xr:uid="{00000000-0006-0000-0300-000083090000}">
      <text>
        <r>
          <rPr>
            <sz val="10"/>
            <color rgb="FF000000"/>
            <rFont val="Arial"/>
            <scheme val="minor"/>
          </rPr>
          <t>Responder updated this value.</t>
        </r>
      </text>
    </comment>
    <comment ref="AN104" authorId="0" shapeId="0" xr:uid="{00000000-0006-0000-0300-000084090000}">
      <text>
        <r>
          <rPr>
            <sz val="10"/>
            <color rgb="FF000000"/>
            <rFont val="Arial"/>
            <scheme val="minor"/>
          </rPr>
          <t>Responder updated this value.</t>
        </r>
      </text>
    </comment>
    <comment ref="AO104" authorId="0" shapeId="0" xr:uid="{00000000-0006-0000-0300-000085090000}">
      <text>
        <r>
          <rPr>
            <sz val="10"/>
            <color rgb="FF000000"/>
            <rFont val="Arial"/>
            <scheme val="minor"/>
          </rPr>
          <t>Responder updated this value.</t>
        </r>
      </text>
    </comment>
    <comment ref="AP104" authorId="0" shapeId="0" xr:uid="{00000000-0006-0000-0300-000086090000}">
      <text>
        <r>
          <rPr>
            <sz val="10"/>
            <color rgb="FF000000"/>
            <rFont val="Arial"/>
            <scheme val="minor"/>
          </rPr>
          <t>Responder updated this value.</t>
        </r>
      </text>
    </comment>
    <comment ref="AQ104" authorId="0" shapeId="0" xr:uid="{00000000-0006-0000-0300-000087090000}">
      <text>
        <r>
          <rPr>
            <sz val="10"/>
            <color rgb="FF000000"/>
            <rFont val="Arial"/>
            <scheme val="minor"/>
          </rPr>
          <t>Responder updated this value.</t>
        </r>
      </text>
    </comment>
    <comment ref="AR104" authorId="0" shapeId="0" xr:uid="{00000000-0006-0000-0300-000088090000}">
      <text>
        <r>
          <rPr>
            <sz val="10"/>
            <color rgb="FF000000"/>
            <rFont val="Arial"/>
            <scheme val="minor"/>
          </rPr>
          <t>Responder updated this value.</t>
        </r>
      </text>
    </comment>
    <comment ref="AS104" authorId="0" shapeId="0" xr:uid="{00000000-0006-0000-0300-000089090000}">
      <text>
        <r>
          <rPr>
            <sz val="10"/>
            <color rgb="FF000000"/>
            <rFont val="Arial"/>
            <scheme val="minor"/>
          </rPr>
          <t>Responder updated this value.</t>
        </r>
      </text>
    </comment>
    <comment ref="AT104" authorId="0" shapeId="0" xr:uid="{00000000-0006-0000-0300-00008A090000}">
      <text>
        <r>
          <rPr>
            <sz val="10"/>
            <color rgb="FF000000"/>
            <rFont val="Arial"/>
            <scheme val="minor"/>
          </rPr>
          <t>Responder updated this value.</t>
        </r>
      </text>
    </comment>
    <comment ref="AU104" authorId="0" shapeId="0" xr:uid="{00000000-0006-0000-0300-00008B090000}">
      <text>
        <r>
          <rPr>
            <sz val="10"/>
            <color rgb="FF000000"/>
            <rFont val="Arial"/>
            <scheme val="minor"/>
          </rPr>
          <t>Responder updated this value.</t>
        </r>
      </text>
    </comment>
    <comment ref="D105" authorId="0" shapeId="0" xr:uid="{00000000-0006-0000-0300-00008C090000}">
      <text>
        <r>
          <rPr>
            <sz val="10"/>
            <color rgb="FF000000"/>
            <rFont val="Arial"/>
            <scheme val="minor"/>
          </rPr>
          <t>Responder updated this value.</t>
        </r>
      </text>
    </comment>
    <comment ref="L105" authorId="0" shapeId="0" xr:uid="{00000000-0006-0000-0300-00008D090000}">
      <text>
        <r>
          <rPr>
            <sz val="10"/>
            <color rgb="FF000000"/>
            <rFont val="Arial"/>
            <scheme val="minor"/>
          </rPr>
          <t>Responder updated this value.</t>
        </r>
      </text>
    </comment>
    <comment ref="M105" authorId="0" shapeId="0" xr:uid="{00000000-0006-0000-0300-00008E090000}">
      <text>
        <r>
          <rPr>
            <sz val="10"/>
            <color rgb="FF000000"/>
            <rFont val="Arial"/>
            <scheme val="minor"/>
          </rPr>
          <t>Responder updated this value.</t>
        </r>
      </text>
    </comment>
    <comment ref="N105" authorId="0" shapeId="0" xr:uid="{00000000-0006-0000-0300-00008F090000}">
      <text>
        <r>
          <rPr>
            <sz val="10"/>
            <color rgb="FF000000"/>
            <rFont val="Arial"/>
            <scheme val="minor"/>
          </rPr>
          <t>Responder updated this value.</t>
        </r>
      </text>
    </comment>
    <comment ref="O105" authorId="0" shapeId="0" xr:uid="{00000000-0006-0000-0300-000090090000}">
      <text>
        <r>
          <rPr>
            <sz val="10"/>
            <color rgb="FF000000"/>
            <rFont val="Arial"/>
            <scheme val="minor"/>
          </rPr>
          <t>Responder updated this value.</t>
        </r>
      </text>
    </comment>
    <comment ref="P105" authorId="0" shapeId="0" xr:uid="{00000000-0006-0000-0300-000091090000}">
      <text>
        <r>
          <rPr>
            <sz val="10"/>
            <color rgb="FF000000"/>
            <rFont val="Arial"/>
            <scheme val="minor"/>
          </rPr>
          <t>Responder updated this value.</t>
        </r>
      </text>
    </comment>
    <comment ref="Q105" authorId="0" shapeId="0" xr:uid="{00000000-0006-0000-0300-000092090000}">
      <text>
        <r>
          <rPr>
            <sz val="10"/>
            <color rgb="FF000000"/>
            <rFont val="Arial"/>
            <scheme val="minor"/>
          </rPr>
          <t>Responder updated this value.</t>
        </r>
      </text>
    </comment>
    <comment ref="R105" authorId="0" shapeId="0" xr:uid="{00000000-0006-0000-0300-000093090000}">
      <text>
        <r>
          <rPr>
            <sz val="10"/>
            <color rgb="FF000000"/>
            <rFont val="Arial"/>
            <scheme val="minor"/>
          </rPr>
          <t>Responder updated this value.</t>
        </r>
      </text>
    </comment>
    <comment ref="V105" authorId="0" shapeId="0" xr:uid="{00000000-0006-0000-0300-000094090000}">
      <text>
        <r>
          <rPr>
            <sz val="10"/>
            <color rgb="FF000000"/>
            <rFont val="Arial"/>
            <scheme val="minor"/>
          </rPr>
          <t>Responder updated this value.</t>
        </r>
      </text>
    </comment>
    <comment ref="W105" authorId="0" shapeId="0" xr:uid="{00000000-0006-0000-0300-000095090000}">
      <text>
        <r>
          <rPr>
            <sz val="10"/>
            <color rgb="FF000000"/>
            <rFont val="Arial"/>
            <scheme val="minor"/>
          </rPr>
          <t>Responder updated this value.</t>
        </r>
      </text>
    </comment>
    <comment ref="Y105" authorId="0" shapeId="0" xr:uid="{00000000-0006-0000-0300-000096090000}">
      <text>
        <r>
          <rPr>
            <sz val="10"/>
            <color rgb="FF000000"/>
            <rFont val="Arial"/>
            <scheme val="minor"/>
          </rPr>
          <t>Responder updated this value.</t>
        </r>
      </text>
    </comment>
    <comment ref="Z105" authorId="0" shapeId="0" xr:uid="{00000000-0006-0000-0300-000097090000}">
      <text>
        <r>
          <rPr>
            <sz val="10"/>
            <color rgb="FF000000"/>
            <rFont val="Arial"/>
            <scheme val="minor"/>
          </rPr>
          <t>Responder updated this value.</t>
        </r>
      </text>
    </comment>
    <comment ref="AC105" authorId="0" shapeId="0" xr:uid="{00000000-0006-0000-0300-000098090000}">
      <text>
        <r>
          <rPr>
            <sz val="10"/>
            <color rgb="FF000000"/>
            <rFont val="Arial"/>
            <scheme val="minor"/>
          </rPr>
          <t>Responder updated this value.</t>
        </r>
      </text>
    </comment>
    <comment ref="AD105" authorId="0" shapeId="0" xr:uid="{00000000-0006-0000-0300-000099090000}">
      <text>
        <r>
          <rPr>
            <sz val="10"/>
            <color rgb="FF000000"/>
            <rFont val="Arial"/>
            <scheme val="minor"/>
          </rPr>
          <t>Responder updated this value.</t>
        </r>
      </text>
    </comment>
    <comment ref="AE105" authorId="0" shapeId="0" xr:uid="{00000000-0006-0000-0300-00009A090000}">
      <text>
        <r>
          <rPr>
            <sz val="10"/>
            <color rgb="FF000000"/>
            <rFont val="Arial"/>
            <scheme val="minor"/>
          </rPr>
          <t>Responder updated this value.</t>
        </r>
      </text>
    </comment>
    <comment ref="AF105" authorId="0" shapeId="0" xr:uid="{00000000-0006-0000-0300-00009B090000}">
      <text>
        <r>
          <rPr>
            <sz val="10"/>
            <color rgb="FF000000"/>
            <rFont val="Arial"/>
            <scheme val="minor"/>
          </rPr>
          <t>Responder updated this value.</t>
        </r>
      </text>
    </comment>
    <comment ref="AG105" authorId="0" shapeId="0" xr:uid="{00000000-0006-0000-0300-00009C090000}">
      <text>
        <r>
          <rPr>
            <sz val="10"/>
            <color rgb="FF000000"/>
            <rFont val="Arial"/>
            <scheme val="minor"/>
          </rPr>
          <t>Responder updated this value.</t>
        </r>
      </text>
    </comment>
    <comment ref="AH105" authorId="0" shapeId="0" xr:uid="{00000000-0006-0000-0300-00009D090000}">
      <text>
        <r>
          <rPr>
            <sz val="10"/>
            <color rgb="FF000000"/>
            <rFont val="Arial"/>
            <scheme val="minor"/>
          </rPr>
          <t>Responder updated this value.</t>
        </r>
      </text>
    </comment>
    <comment ref="AK105" authorId="0" shapeId="0" xr:uid="{00000000-0006-0000-0300-00009E090000}">
      <text>
        <r>
          <rPr>
            <sz val="10"/>
            <color rgb="FF000000"/>
            <rFont val="Arial"/>
            <scheme val="minor"/>
          </rPr>
          <t>Responder updated this value.</t>
        </r>
      </text>
    </comment>
    <comment ref="AL105" authorId="0" shapeId="0" xr:uid="{00000000-0006-0000-0300-00009F090000}">
      <text>
        <r>
          <rPr>
            <sz val="10"/>
            <color rgb="FF000000"/>
            <rFont val="Arial"/>
            <scheme val="minor"/>
          </rPr>
          <t>Responder updated this value.</t>
        </r>
      </text>
    </comment>
    <comment ref="AM105" authorId="0" shapeId="0" xr:uid="{00000000-0006-0000-0300-0000A0090000}">
      <text>
        <r>
          <rPr>
            <sz val="10"/>
            <color rgb="FF000000"/>
            <rFont val="Arial"/>
            <scheme val="minor"/>
          </rPr>
          <t>Responder updated this value.</t>
        </r>
      </text>
    </comment>
    <comment ref="AN105" authorId="0" shapeId="0" xr:uid="{00000000-0006-0000-0300-0000A1090000}">
      <text>
        <r>
          <rPr>
            <sz val="10"/>
            <color rgb="FF000000"/>
            <rFont val="Arial"/>
            <scheme val="minor"/>
          </rPr>
          <t>Responder updated this value.</t>
        </r>
      </text>
    </comment>
    <comment ref="AO105" authorId="0" shapeId="0" xr:uid="{00000000-0006-0000-0300-0000A2090000}">
      <text>
        <r>
          <rPr>
            <sz val="10"/>
            <color rgb="FF000000"/>
            <rFont val="Arial"/>
            <scheme val="minor"/>
          </rPr>
          <t>Responder updated this value.</t>
        </r>
      </text>
    </comment>
    <comment ref="AP105" authorId="0" shapeId="0" xr:uid="{00000000-0006-0000-0300-0000A3090000}">
      <text>
        <r>
          <rPr>
            <sz val="10"/>
            <color rgb="FF000000"/>
            <rFont val="Arial"/>
            <scheme val="minor"/>
          </rPr>
          <t>Responder updated this value.</t>
        </r>
      </text>
    </comment>
    <comment ref="AQ105" authorId="0" shapeId="0" xr:uid="{00000000-0006-0000-0300-0000A4090000}">
      <text>
        <r>
          <rPr>
            <sz val="10"/>
            <color rgb="FF000000"/>
            <rFont val="Arial"/>
            <scheme val="minor"/>
          </rPr>
          <t>Responder updated this value.</t>
        </r>
      </text>
    </comment>
    <comment ref="AR105" authorId="0" shapeId="0" xr:uid="{00000000-0006-0000-0300-0000A5090000}">
      <text>
        <r>
          <rPr>
            <sz val="10"/>
            <color rgb="FF000000"/>
            <rFont val="Arial"/>
            <scheme val="minor"/>
          </rPr>
          <t>Responder updated this value.</t>
        </r>
      </text>
    </comment>
    <comment ref="AS105" authorId="0" shapeId="0" xr:uid="{00000000-0006-0000-0300-0000A6090000}">
      <text>
        <r>
          <rPr>
            <sz val="10"/>
            <color rgb="FF000000"/>
            <rFont val="Arial"/>
            <scheme val="minor"/>
          </rPr>
          <t>Responder updated this value.</t>
        </r>
      </text>
    </comment>
    <comment ref="AT105" authorId="0" shapeId="0" xr:uid="{00000000-0006-0000-0300-0000A7090000}">
      <text>
        <r>
          <rPr>
            <sz val="10"/>
            <color rgb="FF000000"/>
            <rFont val="Arial"/>
            <scheme val="minor"/>
          </rPr>
          <t>Responder updated this value.</t>
        </r>
      </text>
    </comment>
    <comment ref="AU105" authorId="0" shapeId="0" xr:uid="{00000000-0006-0000-0300-0000A8090000}">
      <text>
        <r>
          <rPr>
            <sz val="10"/>
            <color rgb="FF000000"/>
            <rFont val="Arial"/>
            <scheme val="minor"/>
          </rPr>
          <t>Responder updated this value.</t>
        </r>
      </text>
    </comment>
    <comment ref="D106" authorId="0" shapeId="0" xr:uid="{00000000-0006-0000-0300-0000A9090000}">
      <text>
        <r>
          <rPr>
            <sz val="10"/>
            <color rgb="FF000000"/>
            <rFont val="Arial"/>
            <scheme val="minor"/>
          </rPr>
          <t>Responder updated this value.</t>
        </r>
      </text>
    </comment>
    <comment ref="M106" authorId="0" shapeId="0" xr:uid="{00000000-0006-0000-0300-0000AA090000}">
      <text>
        <r>
          <rPr>
            <sz val="10"/>
            <color rgb="FF000000"/>
            <rFont val="Arial"/>
            <scheme val="minor"/>
          </rPr>
          <t>Responder updated this value.</t>
        </r>
      </text>
    </comment>
    <comment ref="N106" authorId="0" shapeId="0" xr:uid="{00000000-0006-0000-0300-0000AB090000}">
      <text>
        <r>
          <rPr>
            <sz val="10"/>
            <color rgb="FF000000"/>
            <rFont val="Arial"/>
            <scheme val="minor"/>
          </rPr>
          <t>Responder updated this value.</t>
        </r>
      </text>
    </comment>
    <comment ref="O106" authorId="0" shapeId="0" xr:uid="{00000000-0006-0000-0300-0000AC090000}">
      <text>
        <r>
          <rPr>
            <sz val="10"/>
            <color rgb="FF000000"/>
            <rFont val="Arial"/>
            <scheme val="minor"/>
          </rPr>
          <t>Responder updated this value.</t>
        </r>
      </text>
    </comment>
    <comment ref="P106" authorId="0" shapeId="0" xr:uid="{00000000-0006-0000-0300-0000AD090000}">
      <text>
        <r>
          <rPr>
            <sz val="10"/>
            <color rgb="FF000000"/>
            <rFont val="Arial"/>
            <scheme val="minor"/>
          </rPr>
          <t>Responder updated this value.</t>
        </r>
      </text>
    </comment>
    <comment ref="Q106" authorId="0" shapeId="0" xr:uid="{00000000-0006-0000-0300-0000AE090000}">
      <text>
        <r>
          <rPr>
            <sz val="10"/>
            <color rgb="FF000000"/>
            <rFont val="Arial"/>
            <scheme val="minor"/>
          </rPr>
          <t>Responder updated this value.</t>
        </r>
      </text>
    </comment>
    <comment ref="S106" authorId="0" shapeId="0" xr:uid="{00000000-0006-0000-0300-0000AF090000}">
      <text>
        <r>
          <rPr>
            <sz val="10"/>
            <color rgb="FF000000"/>
            <rFont val="Arial"/>
            <scheme val="minor"/>
          </rPr>
          <t>Responder updated this value.</t>
        </r>
      </text>
    </comment>
    <comment ref="T106" authorId="0" shapeId="0" xr:uid="{00000000-0006-0000-0300-0000B0090000}">
      <text>
        <r>
          <rPr>
            <sz val="10"/>
            <color rgb="FF000000"/>
            <rFont val="Arial"/>
            <scheme val="minor"/>
          </rPr>
          <t>Responder updated this value.</t>
        </r>
      </text>
    </comment>
    <comment ref="U106" authorId="0" shapeId="0" xr:uid="{00000000-0006-0000-0300-0000B1090000}">
      <text>
        <r>
          <rPr>
            <sz val="10"/>
            <color rgb="FF000000"/>
            <rFont val="Arial"/>
            <scheme val="minor"/>
          </rPr>
          <t>Responder updated this value.</t>
        </r>
      </text>
    </comment>
    <comment ref="X106" authorId="0" shapeId="0" xr:uid="{00000000-0006-0000-0300-0000B2090000}">
      <text>
        <r>
          <rPr>
            <sz val="10"/>
            <color rgb="FF000000"/>
            <rFont val="Arial"/>
            <scheme val="minor"/>
          </rPr>
          <t>Responder updated this value.</t>
        </r>
      </text>
    </comment>
    <comment ref="Y106" authorId="0" shapeId="0" xr:uid="{00000000-0006-0000-0300-0000B3090000}">
      <text>
        <r>
          <rPr>
            <sz val="10"/>
            <color rgb="FF000000"/>
            <rFont val="Arial"/>
            <scheme val="minor"/>
          </rPr>
          <t>Responder updated this value.</t>
        </r>
      </text>
    </comment>
    <comment ref="Z106" authorId="0" shapeId="0" xr:uid="{00000000-0006-0000-0300-0000B4090000}">
      <text>
        <r>
          <rPr>
            <sz val="10"/>
            <color rgb="FF000000"/>
            <rFont val="Arial"/>
            <scheme val="minor"/>
          </rPr>
          <t>Responder updated this value.</t>
        </r>
      </text>
    </comment>
    <comment ref="AC106" authorId="0" shapeId="0" xr:uid="{00000000-0006-0000-0300-0000B5090000}">
      <text>
        <r>
          <rPr>
            <sz val="10"/>
            <color rgb="FF000000"/>
            <rFont val="Arial"/>
            <scheme val="minor"/>
          </rPr>
          <t>Responder updated this value.</t>
        </r>
      </text>
    </comment>
    <comment ref="AD106" authorId="0" shapeId="0" xr:uid="{00000000-0006-0000-0300-0000B6090000}">
      <text>
        <r>
          <rPr>
            <sz val="10"/>
            <color rgb="FF000000"/>
            <rFont val="Arial"/>
            <scheme val="minor"/>
          </rPr>
          <t>Responder updated this value.</t>
        </r>
      </text>
    </comment>
    <comment ref="AE106" authorId="0" shapeId="0" xr:uid="{00000000-0006-0000-0300-0000B7090000}">
      <text>
        <r>
          <rPr>
            <sz val="10"/>
            <color rgb="FF000000"/>
            <rFont val="Arial"/>
            <scheme val="minor"/>
          </rPr>
          <t>Responder updated this value.</t>
        </r>
      </text>
    </comment>
    <comment ref="AK106" authorId="0" shapeId="0" xr:uid="{00000000-0006-0000-0300-0000B8090000}">
      <text>
        <r>
          <rPr>
            <sz val="10"/>
            <color rgb="FF000000"/>
            <rFont val="Arial"/>
            <scheme val="minor"/>
          </rPr>
          <t>Responder updated this value.</t>
        </r>
      </text>
    </comment>
    <comment ref="AL106" authorId="0" shapeId="0" xr:uid="{00000000-0006-0000-0300-0000B9090000}">
      <text>
        <r>
          <rPr>
            <sz val="10"/>
            <color rgb="FF000000"/>
            <rFont val="Arial"/>
            <scheme val="minor"/>
          </rPr>
          <t>Responder updated this value.</t>
        </r>
      </text>
    </comment>
    <comment ref="AM106" authorId="0" shapeId="0" xr:uid="{00000000-0006-0000-0300-0000BA090000}">
      <text>
        <r>
          <rPr>
            <sz val="10"/>
            <color rgb="FF000000"/>
            <rFont val="Arial"/>
            <scheme val="minor"/>
          </rPr>
          <t>Responder updated this value.</t>
        </r>
      </text>
    </comment>
    <comment ref="AN106" authorId="0" shapeId="0" xr:uid="{00000000-0006-0000-0300-0000BB090000}">
      <text>
        <r>
          <rPr>
            <sz val="10"/>
            <color rgb="FF000000"/>
            <rFont val="Arial"/>
            <scheme val="minor"/>
          </rPr>
          <t>Responder updated this value.</t>
        </r>
      </text>
    </comment>
    <comment ref="AO106" authorId="0" shapeId="0" xr:uid="{00000000-0006-0000-0300-0000BC090000}">
      <text>
        <r>
          <rPr>
            <sz val="10"/>
            <color rgb="FF000000"/>
            <rFont val="Arial"/>
            <scheme val="minor"/>
          </rPr>
          <t>Responder updated this value.</t>
        </r>
      </text>
    </comment>
    <comment ref="AP106" authorId="0" shapeId="0" xr:uid="{00000000-0006-0000-0300-0000BD090000}">
      <text>
        <r>
          <rPr>
            <sz val="10"/>
            <color rgb="FF000000"/>
            <rFont val="Arial"/>
            <scheme val="minor"/>
          </rPr>
          <t>Responder updated this value.</t>
        </r>
      </text>
    </comment>
    <comment ref="AQ106" authorId="0" shapeId="0" xr:uid="{00000000-0006-0000-0300-0000BE090000}">
      <text>
        <r>
          <rPr>
            <sz val="10"/>
            <color rgb="FF000000"/>
            <rFont val="Arial"/>
            <scheme val="minor"/>
          </rPr>
          <t>Responder updated this value.</t>
        </r>
      </text>
    </comment>
    <comment ref="AR106" authorId="0" shapeId="0" xr:uid="{00000000-0006-0000-0300-0000BF090000}">
      <text>
        <r>
          <rPr>
            <sz val="10"/>
            <color rgb="FF000000"/>
            <rFont val="Arial"/>
            <scheme val="minor"/>
          </rPr>
          <t>Responder updated this value.</t>
        </r>
      </text>
    </comment>
    <comment ref="D107" authorId="0" shapeId="0" xr:uid="{00000000-0006-0000-0300-0000C0090000}">
      <text>
        <r>
          <rPr>
            <sz val="10"/>
            <color rgb="FF000000"/>
            <rFont val="Arial"/>
            <scheme val="minor"/>
          </rPr>
          <t>Responder updated this value.</t>
        </r>
      </text>
    </comment>
    <comment ref="M107" authorId="0" shapeId="0" xr:uid="{00000000-0006-0000-0300-0000C1090000}">
      <text>
        <r>
          <rPr>
            <sz val="10"/>
            <color rgb="FF000000"/>
            <rFont val="Arial"/>
            <scheme val="minor"/>
          </rPr>
          <t>Responder updated this value.</t>
        </r>
      </text>
    </comment>
    <comment ref="N107" authorId="0" shapeId="0" xr:uid="{00000000-0006-0000-0300-0000C2090000}">
      <text>
        <r>
          <rPr>
            <sz val="10"/>
            <color rgb="FF000000"/>
            <rFont val="Arial"/>
            <scheme val="minor"/>
          </rPr>
          <t>Responder updated this value.</t>
        </r>
      </text>
    </comment>
    <comment ref="R107" authorId="0" shapeId="0" xr:uid="{00000000-0006-0000-0300-0000C3090000}">
      <text>
        <r>
          <rPr>
            <sz val="10"/>
            <color rgb="FF000000"/>
            <rFont val="Arial"/>
            <scheme val="minor"/>
          </rPr>
          <t>Responder updated this value.</t>
        </r>
      </text>
    </comment>
    <comment ref="AC107" authorId="0" shapeId="0" xr:uid="{00000000-0006-0000-0300-0000C4090000}">
      <text>
        <r>
          <rPr>
            <sz val="10"/>
            <color rgb="FF000000"/>
            <rFont val="Arial"/>
            <scheme val="minor"/>
          </rPr>
          <t>Responder updated this value.</t>
        </r>
      </text>
    </comment>
    <comment ref="AD107" authorId="0" shapeId="0" xr:uid="{00000000-0006-0000-0300-0000C5090000}">
      <text>
        <r>
          <rPr>
            <sz val="10"/>
            <color rgb="FF000000"/>
            <rFont val="Arial"/>
            <scheme val="minor"/>
          </rPr>
          <t>Responder updated this value.</t>
        </r>
      </text>
    </comment>
    <comment ref="D108" authorId="0" shapeId="0" xr:uid="{00000000-0006-0000-0300-0000C6090000}">
      <text>
        <r>
          <rPr>
            <sz val="10"/>
            <color rgb="FF000000"/>
            <rFont val="Arial"/>
            <scheme val="minor"/>
          </rPr>
          <t>Responder updated this value.</t>
        </r>
      </text>
    </comment>
    <comment ref="N108" authorId="0" shapeId="0" xr:uid="{00000000-0006-0000-0300-0000C7090000}">
      <text>
        <r>
          <rPr>
            <sz val="10"/>
            <color rgb="FF000000"/>
            <rFont val="Arial"/>
            <scheme val="minor"/>
          </rPr>
          <t>Responder updated this value.</t>
        </r>
      </text>
    </comment>
    <comment ref="O108" authorId="0" shapeId="0" xr:uid="{00000000-0006-0000-0300-0000C8090000}">
      <text>
        <r>
          <rPr>
            <sz val="10"/>
            <color rgb="FF000000"/>
            <rFont val="Arial"/>
            <scheme val="minor"/>
          </rPr>
          <t>Responder updated this value.</t>
        </r>
      </text>
    </comment>
    <comment ref="P108" authorId="0" shapeId="0" xr:uid="{00000000-0006-0000-0300-0000C9090000}">
      <text>
        <r>
          <rPr>
            <sz val="10"/>
            <color rgb="FF000000"/>
            <rFont val="Arial"/>
            <scheme val="minor"/>
          </rPr>
          <t>Responder updated this value.</t>
        </r>
      </text>
    </comment>
    <comment ref="Q108" authorId="0" shapeId="0" xr:uid="{00000000-0006-0000-0300-0000CA090000}">
      <text>
        <r>
          <rPr>
            <sz val="10"/>
            <color rgb="FF000000"/>
            <rFont val="Arial"/>
            <scheme val="minor"/>
          </rPr>
          <t>Responder updated this value.</t>
        </r>
      </text>
    </comment>
    <comment ref="S108" authorId="0" shapeId="0" xr:uid="{00000000-0006-0000-0300-0000CB090000}">
      <text>
        <r>
          <rPr>
            <sz val="10"/>
            <color rgb="FF000000"/>
            <rFont val="Arial"/>
            <scheme val="minor"/>
          </rPr>
          <t>Responder updated this value.</t>
        </r>
      </text>
    </comment>
    <comment ref="U108" authorId="0" shapeId="0" xr:uid="{00000000-0006-0000-0300-0000CC090000}">
      <text>
        <r>
          <rPr>
            <sz val="10"/>
            <color rgb="FF000000"/>
            <rFont val="Arial"/>
            <scheme val="minor"/>
          </rPr>
          <t>Responder updated this value.</t>
        </r>
      </text>
    </comment>
    <comment ref="W108" authorId="0" shapeId="0" xr:uid="{00000000-0006-0000-0300-0000CD090000}">
      <text>
        <r>
          <rPr>
            <sz val="10"/>
            <color rgb="FF000000"/>
            <rFont val="Arial"/>
            <scheme val="minor"/>
          </rPr>
          <t>Responder updated this value.</t>
        </r>
      </text>
    </comment>
    <comment ref="X108" authorId="0" shapeId="0" xr:uid="{00000000-0006-0000-0300-0000CE090000}">
      <text>
        <r>
          <rPr>
            <sz val="10"/>
            <color rgb="FF000000"/>
            <rFont val="Arial"/>
            <scheme val="minor"/>
          </rPr>
          <t>Responder updated this value.</t>
        </r>
      </text>
    </comment>
    <comment ref="Y108" authorId="0" shapeId="0" xr:uid="{00000000-0006-0000-0300-0000CF090000}">
      <text>
        <r>
          <rPr>
            <sz val="10"/>
            <color rgb="FF000000"/>
            <rFont val="Arial"/>
            <scheme val="minor"/>
          </rPr>
          <t>Responder updated this value.</t>
        </r>
      </text>
    </comment>
    <comment ref="Z108" authorId="0" shapeId="0" xr:uid="{00000000-0006-0000-0300-0000D0090000}">
      <text>
        <r>
          <rPr>
            <sz val="10"/>
            <color rgb="FF000000"/>
            <rFont val="Arial"/>
            <scheme val="minor"/>
          </rPr>
          <t>Responder updated this value.</t>
        </r>
      </text>
    </comment>
    <comment ref="AC108" authorId="0" shapeId="0" xr:uid="{00000000-0006-0000-0300-0000D1090000}">
      <text>
        <r>
          <rPr>
            <sz val="10"/>
            <color rgb="FF000000"/>
            <rFont val="Arial"/>
            <scheme val="minor"/>
          </rPr>
          <t>Responder updated this value.</t>
        </r>
      </text>
    </comment>
    <comment ref="AD108" authorId="0" shapeId="0" xr:uid="{00000000-0006-0000-0300-0000D2090000}">
      <text>
        <r>
          <rPr>
            <sz val="10"/>
            <color rgb="FF000000"/>
            <rFont val="Arial"/>
            <scheme val="minor"/>
          </rPr>
          <t>Responder updated this value.</t>
        </r>
      </text>
    </comment>
    <comment ref="AE108" authorId="0" shapeId="0" xr:uid="{00000000-0006-0000-0300-0000D3090000}">
      <text>
        <r>
          <rPr>
            <sz val="10"/>
            <color rgb="FF000000"/>
            <rFont val="Arial"/>
            <scheme val="minor"/>
          </rPr>
          <t>Responder updated this value.</t>
        </r>
      </text>
    </comment>
    <comment ref="AF108" authorId="0" shapeId="0" xr:uid="{00000000-0006-0000-0300-0000D4090000}">
      <text>
        <r>
          <rPr>
            <sz val="10"/>
            <color rgb="FF000000"/>
            <rFont val="Arial"/>
            <scheme val="minor"/>
          </rPr>
          <t>Responder updated this value.</t>
        </r>
      </text>
    </comment>
    <comment ref="AG108" authorId="0" shapeId="0" xr:uid="{00000000-0006-0000-0300-0000D5090000}">
      <text>
        <r>
          <rPr>
            <sz val="10"/>
            <color rgb="FF000000"/>
            <rFont val="Arial"/>
            <scheme val="minor"/>
          </rPr>
          <t>Responder updated this value.</t>
        </r>
      </text>
    </comment>
    <comment ref="AH108" authorId="0" shapeId="0" xr:uid="{00000000-0006-0000-0300-0000D6090000}">
      <text>
        <r>
          <rPr>
            <sz val="10"/>
            <color rgb="FF000000"/>
            <rFont val="Arial"/>
            <scheme val="minor"/>
          </rPr>
          <t>Responder updated this value.</t>
        </r>
      </text>
    </comment>
    <comment ref="AK108" authorId="0" shapeId="0" xr:uid="{00000000-0006-0000-0300-0000D7090000}">
      <text>
        <r>
          <rPr>
            <sz val="10"/>
            <color rgb="FF000000"/>
            <rFont val="Arial"/>
            <scheme val="minor"/>
          </rPr>
          <t>Responder updated this value.</t>
        </r>
      </text>
    </comment>
    <comment ref="AL108" authorId="0" shapeId="0" xr:uid="{00000000-0006-0000-0300-0000D8090000}">
      <text>
        <r>
          <rPr>
            <sz val="10"/>
            <color rgb="FF000000"/>
            <rFont val="Arial"/>
            <scheme val="minor"/>
          </rPr>
          <t>Responder updated this value.</t>
        </r>
      </text>
    </comment>
    <comment ref="AM108" authorId="0" shapeId="0" xr:uid="{00000000-0006-0000-0300-0000D9090000}">
      <text>
        <r>
          <rPr>
            <sz val="10"/>
            <color rgb="FF000000"/>
            <rFont val="Arial"/>
            <scheme val="minor"/>
          </rPr>
          <t>Responder updated this value.</t>
        </r>
      </text>
    </comment>
    <comment ref="AN108" authorId="0" shapeId="0" xr:uid="{00000000-0006-0000-0300-0000DA090000}">
      <text>
        <r>
          <rPr>
            <sz val="10"/>
            <color rgb="FF000000"/>
            <rFont val="Arial"/>
            <scheme val="minor"/>
          </rPr>
          <t>Responder updated this value.</t>
        </r>
      </text>
    </comment>
    <comment ref="AO108" authorId="0" shapeId="0" xr:uid="{00000000-0006-0000-0300-0000DB090000}">
      <text>
        <r>
          <rPr>
            <sz val="10"/>
            <color rgb="FF000000"/>
            <rFont val="Arial"/>
            <scheme val="minor"/>
          </rPr>
          <t>Responder updated this value.</t>
        </r>
      </text>
    </comment>
    <comment ref="AP108" authorId="0" shapeId="0" xr:uid="{00000000-0006-0000-0300-0000DC090000}">
      <text>
        <r>
          <rPr>
            <sz val="10"/>
            <color rgb="FF000000"/>
            <rFont val="Arial"/>
            <scheme val="minor"/>
          </rPr>
          <t>Responder updated this value.</t>
        </r>
      </text>
    </comment>
    <comment ref="AQ108" authorId="0" shapeId="0" xr:uid="{00000000-0006-0000-0300-0000DD090000}">
      <text>
        <r>
          <rPr>
            <sz val="10"/>
            <color rgb="FF000000"/>
            <rFont val="Arial"/>
            <scheme val="minor"/>
          </rPr>
          <t>Responder updated this value.</t>
        </r>
      </text>
    </comment>
    <comment ref="AR108" authorId="0" shapeId="0" xr:uid="{00000000-0006-0000-0300-0000DE090000}">
      <text>
        <r>
          <rPr>
            <sz val="10"/>
            <color rgb="FF000000"/>
            <rFont val="Arial"/>
            <scheme val="minor"/>
          </rPr>
          <t>Responder updated this value.</t>
        </r>
      </text>
    </comment>
    <comment ref="AU108" authorId="0" shapeId="0" xr:uid="{00000000-0006-0000-0300-0000DF090000}">
      <text>
        <r>
          <rPr>
            <sz val="10"/>
            <color rgb="FF000000"/>
            <rFont val="Arial"/>
            <scheme val="minor"/>
          </rPr>
          <t>Responder updated this value.</t>
        </r>
      </text>
    </comment>
    <comment ref="D109" authorId="0" shapeId="0" xr:uid="{00000000-0006-0000-0300-0000E0090000}">
      <text>
        <r>
          <rPr>
            <sz val="10"/>
            <color rgb="FF000000"/>
            <rFont val="Arial"/>
            <scheme val="minor"/>
          </rPr>
          <t>Responder updated this value.</t>
        </r>
      </text>
    </comment>
    <comment ref="AE109" authorId="0" shapeId="0" xr:uid="{00000000-0006-0000-0300-0000E1090000}">
      <text>
        <r>
          <rPr>
            <sz val="10"/>
            <color rgb="FF000000"/>
            <rFont val="Arial"/>
            <scheme val="minor"/>
          </rPr>
          <t>Responder updated this value.</t>
        </r>
      </text>
    </comment>
    <comment ref="AF109" authorId="0" shapeId="0" xr:uid="{00000000-0006-0000-0300-0000E2090000}">
      <text>
        <r>
          <rPr>
            <sz val="10"/>
            <color rgb="FF000000"/>
            <rFont val="Arial"/>
            <scheme val="minor"/>
          </rPr>
          <t>Responder updated this value.</t>
        </r>
      </text>
    </comment>
    <comment ref="AG109" authorId="0" shapeId="0" xr:uid="{00000000-0006-0000-0300-0000E3090000}">
      <text>
        <r>
          <rPr>
            <sz val="10"/>
            <color rgb="FF000000"/>
            <rFont val="Arial"/>
            <scheme val="minor"/>
          </rPr>
          <t>Responder updated this value.</t>
        </r>
      </text>
    </comment>
    <comment ref="AH109" authorId="0" shapeId="0" xr:uid="{00000000-0006-0000-0300-0000E4090000}">
      <text>
        <r>
          <rPr>
            <sz val="10"/>
            <color rgb="FF000000"/>
            <rFont val="Arial"/>
            <scheme val="minor"/>
          </rPr>
          <t>Responder updated this value.</t>
        </r>
      </text>
    </comment>
    <comment ref="AK109" authorId="0" shapeId="0" xr:uid="{00000000-0006-0000-0300-0000E5090000}">
      <text>
        <r>
          <rPr>
            <sz val="10"/>
            <color rgb="FF000000"/>
            <rFont val="Arial"/>
            <scheme val="minor"/>
          </rPr>
          <t>Responder updated this value.</t>
        </r>
      </text>
    </comment>
    <comment ref="AL109" authorId="0" shapeId="0" xr:uid="{00000000-0006-0000-0300-0000E6090000}">
      <text>
        <r>
          <rPr>
            <sz val="10"/>
            <color rgb="FF000000"/>
            <rFont val="Arial"/>
            <scheme val="minor"/>
          </rPr>
          <t>Responder updated this value.</t>
        </r>
      </text>
    </comment>
    <comment ref="AM109" authorId="0" shapeId="0" xr:uid="{00000000-0006-0000-0300-0000E7090000}">
      <text>
        <r>
          <rPr>
            <sz val="10"/>
            <color rgb="FF000000"/>
            <rFont val="Arial"/>
            <scheme val="minor"/>
          </rPr>
          <t>Responder updated this value.</t>
        </r>
      </text>
    </comment>
    <comment ref="AN109" authorId="0" shapeId="0" xr:uid="{00000000-0006-0000-0300-0000E8090000}">
      <text>
        <r>
          <rPr>
            <sz val="10"/>
            <color rgb="FF000000"/>
            <rFont val="Arial"/>
            <scheme val="minor"/>
          </rPr>
          <t>Responder updated this value.</t>
        </r>
      </text>
    </comment>
    <comment ref="AO109" authorId="0" shapeId="0" xr:uid="{00000000-0006-0000-0300-0000E9090000}">
      <text>
        <r>
          <rPr>
            <sz val="10"/>
            <color rgb="FF000000"/>
            <rFont val="Arial"/>
            <scheme val="minor"/>
          </rPr>
          <t>Responder updated this value.</t>
        </r>
      </text>
    </comment>
    <comment ref="AR109" authorId="0" shapeId="0" xr:uid="{00000000-0006-0000-0300-0000EA090000}">
      <text>
        <r>
          <rPr>
            <sz val="10"/>
            <color rgb="FF000000"/>
            <rFont val="Arial"/>
            <scheme val="minor"/>
          </rPr>
          <t>Responder updated this value.</t>
        </r>
      </text>
    </comment>
    <comment ref="AU109" authorId="0" shapeId="0" xr:uid="{00000000-0006-0000-0300-0000EB090000}">
      <text>
        <r>
          <rPr>
            <sz val="10"/>
            <color rgb="FF000000"/>
            <rFont val="Arial"/>
            <scheme val="minor"/>
          </rPr>
          <t>Responder updated this value.</t>
        </r>
      </text>
    </comment>
    <comment ref="D110" authorId="0" shapeId="0" xr:uid="{00000000-0006-0000-0300-0000EC090000}">
      <text>
        <r>
          <rPr>
            <sz val="10"/>
            <color rgb="FF000000"/>
            <rFont val="Arial"/>
            <scheme val="minor"/>
          </rPr>
          <t>Responder updated this value.</t>
        </r>
      </text>
    </comment>
    <comment ref="K110" authorId="0" shapeId="0" xr:uid="{00000000-0006-0000-0300-0000ED090000}">
      <text>
        <r>
          <rPr>
            <sz val="10"/>
            <color rgb="FF000000"/>
            <rFont val="Arial"/>
            <scheme val="minor"/>
          </rPr>
          <t>Responder updated this value.</t>
        </r>
      </text>
    </comment>
    <comment ref="D111" authorId="0" shapeId="0" xr:uid="{00000000-0006-0000-0300-0000EE090000}">
      <text>
        <r>
          <rPr>
            <sz val="10"/>
            <color rgb="FF000000"/>
            <rFont val="Arial"/>
            <scheme val="minor"/>
          </rPr>
          <t>Responder updated this value.</t>
        </r>
      </text>
    </comment>
    <comment ref="F111" authorId="0" shapeId="0" xr:uid="{00000000-0006-0000-0300-0000EF090000}">
      <text>
        <r>
          <rPr>
            <sz val="10"/>
            <color rgb="FF000000"/>
            <rFont val="Arial"/>
            <scheme val="minor"/>
          </rPr>
          <t>Responder updated this value.</t>
        </r>
      </text>
    </comment>
    <comment ref="H111" authorId="0" shapeId="0" xr:uid="{00000000-0006-0000-0300-0000F0090000}">
      <text>
        <r>
          <rPr>
            <sz val="10"/>
            <color rgb="FF000000"/>
            <rFont val="Arial"/>
            <scheme val="minor"/>
          </rPr>
          <t>Responder updated this value.</t>
        </r>
      </text>
    </comment>
    <comment ref="J111" authorId="0" shapeId="0" xr:uid="{00000000-0006-0000-0300-0000F1090000}">
      <text>
        <r>
          <rPr>
            <sz val="10"/>
            <color rgb="FF000000"/>
            <rFont val="Arial"/>
            <scheme val="minor"/>
          </rPr>
          <t>Responder updated this value.</t>
        </r>
      </text>
    </comment>
    <comment ref="N111" authorId="0" shapeId="0" xr:uid="{00000000-0006-0000-0300-0000F2090000}">
      <text>
        <r>
          <rPr>
            <sz val="10"/>
            <color rgb="FF000000"/>
            <rFont val="Arial"/>
            <scheme val="minor"/>
          </rPr>
          <t>Responder updated this value.</t>
        </r>
      </text>
    </comment>
    <comment ref="O111" authorId="0" shapeId="0" xr:uid="{00000000-0006-0000-0300-0000F3090000}">
      <text>
        <r>
          <rPr>
            <sz val="10"/>
            <color rgb="FF000000"/>
            <rFont val="Arial"/>
            <scheme val="minor"/>
          </rPr>
          <t>Responder updated this value.</t>
        </r>
      </text>
    </comment>
    <comment ref="P111" authorId="0" shapeId="0" xr:uid="{00000000-0006-0000-0300-0000F4090000}">
      <text>
        <r>
          <rPr>
            <sz val="10"/>
            <color rgb="FF000000"/>
            <rFont val="Arial"/>
            <scheme val="minor"/>
          </rPr>
          <t>Responder updated this value.</t>
        </r>
      </text>
    </comment>
    <comment ref="Q111" authorId="0" shapeId="0" xr:uid="{00000000-0006-0000-0300-0000F5090000}">
      <text>
        <r>
          <rPr>
            <sz val="10"/>
            <color rgb="FF000000"/>
            <rFont val="Arial"/>
            <scheme val="minor"/>
          </rPr>
          <t>Responder updated this value.</t>
        </r>
      </text>
    </comment>
    <comment ref="S111" authorId="0" shapeId="0" xr:uid="{00000000-0006-0000-0300-0000F6090000}">
      <text>
        <r>
          <rPr>
            <sz val="10"/>
            <color rgb="FF000000"/>
            <rFont val="Arial"/>
            <scheme val="minor"/>
          </rPr>
          <t>Responder updated this value.</t>
        </r>
      </text>
    </comment>
    <comment ref="T111" authorId="0" shapeId="0" xr:uid="{00000000-0006-0000-0300-0000F7090000}">
      <text>
        <r>
          <rPr>
            <sz val="10"/>
            <color rgb="FF000000"/>
            <rFont val="Arial"/>
            <scheme val="minor"/>
          </rPr>
          <t>Responder updated this value.</t>
        </r>
      </text>
    </comment>
    <comment ref="U111" authorId="0" shapeId="0" xr:uid="{00000000-0006-0000-0300-0000F8090000}">
      <text>
        <r>
          <rPr>
            <sz val="10"/>
            <color rgb="FF000000"/>
            <rFont val="Arial"/>
            <scheme val="minor"/>
          </rPr>
          <t>Responder updated this value.</t>
        </r>
      </text>
    </comment>
    <comment ref="W111" authorId="0" shapeId="0" xr:uid="{00000000-0006-0000-0300-0000F9090000}">
      <text>
        <r>
          <rPr>
            <sz val="10"/>
            <color rgb="FF000000"/>
            <rFont val="Arial"/>
            <scheme val="minor"/>
          </rPr>
          <t>Responder updated this value.</t>
        </r>
      </text>
    </comment>
    <comment ref="X111" authorId="0" shapeId="0" xr:uid="{00000000-0006-0000-0300-0000FA090000}">
      <text>
        <r>
          <rPr>
            <sz val="10"/>
            <color rgb="FF000000"/>
            <rFont val="Arial"/>
            <scheme val="minor"/>
          </rPr>
          <t>Responder updated this value.</t>
        </r>
      </text>
    </comment>
    <comment ref="Y111" authorId="0" shapeId="0" xr:uid="{00000000-0006-0000-0300-0000FB090000}">
      <text>
        <r>
          <rPr>
            <sz val="10"/>
            <color rgb="FF000000"/>
            <rFont val="Arial"/>
            <scheme val="minor"/>
          </rPr>
          <t>Responder updated this value.</t>
        </r>
      </text>
    </comment>
    <comment ref="Z111" authorId="0" shapeId="0" xr:uid="{00000000-0006-0000-0300-0000FC090000}">
      <text>
        <r>
          <rPr>
            <sz val="10"/>
            <color rgb="FF000000"/>
            <rFont val="Arial"/>
            <scheme val="minor"/>
          </rPr>
          <t>Responder updated this value.</t>
        </r>
      </text>
    </comment>
    <comment ref="AC111" authorId="0" shapeId="0" xr:uid="{00000000-0006-0000-0300-0000FD090000}">
      <text>
        <r>
          <rPr>
            <sz val="10"/>
            <color rgb="FF000000"/>
            <rFont val="Arial"/>
            <scheme val="minor"/>
          </rPr>
          <t>Responder updated this value.</t>
        </r>
      </text>
    </comment>
    <comment ref="AD111" authorId="0" shapeId="0" xr:uid="{00000000-0006-0000-0300-0000FE090000}">
      <text>
        <r>
          <rPr>
            <sz val="10"/>
            <color rgb="FF000000"/>
            <rFont val="Arial"/>
            <scheme val="minor"/>
          </rPr>
          <t>Responder updated this value.</t>
        </r>
      </text>
    </comment>
    <comment ref="AE111" authorId="0" shapeId="0" xr:uid="{00000000-0006-0000-0300-0000FF090000}">
      <text>
        <r>
          <rPr>
            <sz val="10"/>
            <color rgb="FF000000"/>
            <rFont val="Arial"/>
            <scheme val="minor"/>
          </rPr>
          <t>Responder updated this value.</t>
        </r>
      </text>
    </comment>
    <comment ref="AF111" authorId="0" shapeId="0" xr:uid="{00000000-0006-0000-0300-0000000A0000}">
      <text>
        <r>
          <rPr>
            <sz val="10"/>
            <color rgb="FF000000"/>
            <rFont val="Arial"/>
            <scheme val="minor"/>
          </rPr>
          <t>Responder updated this value.</t>
        </r>
      </text>
    </comment>
    <comment ref="AG111" authorId="0" shapeId="0" xr:uid="{00000000-0006-0000-0300-0000010A0000}">
      <text>
        <r>
          <rPr>
            <sz val="10"/>
            <color rgb="FF000000"/>
            <rFont val="Arial"/>
            <scheme val="minor"/>
          </rPr>
          <t>Responder updated this value.</t>
        </r>
      </text>
    </comment>
    <comment ref="AH111" authorId="0" shapeId="0" xr:uid="{00000000-0006-0000-0300-0000020A0000}">
      <text>
        <r>
          <rPr>
            <sz val="10"/>
            <color rgb="FF000000"/>
            <rFont val="Arial"/>
            <scheme val="minor"/>
          </rPr>
          <t>Responder updated this value.</t>
        </r>
      </text>
    </comment>
    <comment ref="AK111" authorId="0" shapeId="0" xr:uid="{00000000-0006-0000-0300-0000030A0000}">
      <text>
        <r>
          <rPr>
            <sz val="10"/>
            <color rgb="FF000000"/>
            <rFont val="Arial"/>
            <scheme val="minor"/>
          </rPr>
          <t>Responder updated this value.</t>
        </r>
      </text>
    </comment>
    <comment ref="AL111" authorId="0" shapeId="0" xr:uid="{00000000-0006-0000-0300-0000040A0000}">
      <text>
        <r>
          <rPr>
            <sz val="10"/>
            <color rgb="FF000000"/>
            <rFont val="Arial"/>
            <scheme val="minor"/>
          </rPr>
          <t>Responder updated this value.</t>
        </r>
      </text>
    </comment>
    <comment ref="AM111" authorId="0" shapeId="0" xr:uid="{00000000-0006-0000-0300-0000050A0000}">
      <text>
        <r>
          <rPr>
            <sz val="10"/>
            <color rgb="FF000000"/>
            <rFont val="Arial"/>
            <scheme val="minor"/>
          </rPr>
          <t>Responder updated this value.</t>
        </r>
      </text>
    </comment>
    <comment ref="AN111" authorId="0" shapeId="0" xr:uid="{00000000-0006-0000-0300-0000060A0000}">
      <text>
        <r>
          <rPr>
            <sz val="10"/>
            <color rgb="FF000000"/>
            <rFont val="Arial"/>
            <scheme val="minor"/>
          </rPr>
          <t>Responder updated this value.</t>
        </r>
      </text>
    </comment>
    <comment ref="AO111" authorId="0" shapeId="0" xr:uid="{00000000-0006-0000-0300-0000070A0000}">
      <text>
        <r>
          <rPr>
            <sz val="10"/>
            <color rgb="FF000000"/>
            <rFont val="Arial"/>
            <scheme val="minor"/>
          </rPr>
          <t>Responder updated this value.</t>
        </r>
      </text>
    </comment>
    <comment ref="AP111" authorId="0" shapeId="0" xr:uid="{00000000-0006-0000-0300-0000080A0000}">
      <text>
        <r>
          <rPr>
            <sz val="10"/>
            <color rgb="FF000000"/>
            <rFont val="Arial"/>
            <scheme val="minor"/>
          </rPr>
          <t>Responder updated this value.</t>
        </r>
      </text>
    </comment>
    <comment ref="AQ111" authorId="0" shapeId="0" xr:uid="{00000000-0006-0000-0300-0000090A0000}">
      <text>
        <r>
          <rPr>
            <sz val="10"/>
            <color rgb="FF000000"/>
            <rFont val="Arial"/>
            <scheme val="minor"/>
          </rPr>
          <t>Responder updated this value.</t>
        </r>
      </text>
    </comment>
    <comment ref="AR111" authorId="0" shapeId="0" xr:uid="{00000000-0006-0000-0300-00000A0A0000}">
      <text>
        <r>
          <rPr>
            <sz val="10"/>
            <color rgb="FF000000"/>
            <rFont val="Arial"/>
            <scheme val="minor"/>
          </rPr>
          <t>Responder updated this value.</t>
        </r>
      </text>
    </comment>
    <comment ref="AU111" authorId="0" shapeId="0" xr:uid="{00000000-0006-0000-0300-00000B0A0000}">
      <text>
        <r>
          <rPr>
            <sz val="10"/>
            <color rgb="FF000000"/>
            <rFont val="Arial"/>
            <scheme val="minor"/>
          </rPr>
          <t>Responder updated this value.</t>
        </r>
      </text>
    </comment>
    <comment ref="D112" authorId="0" shapeId="0" xr:uid="{00000000-0006-0000-0300-00000C0A0000}">
      <text>
        <r>
          <rPr>
            <sz val="10"/>
            <color rgb="FF000000"/>
            <rFont val="Arial"/>
            <scheme val="minor"/>
          </rPr>
          <t>Responder updated this value.</t>
        </r>
      </text>
    </comment>
    <comment ref="F112" authorId="0" shapeId="0" xr:uid="{00000000-0006-0000-0300-00000D0A0000}">
      <text>
        <r>
          <rPr>
            <sz val="10"/>
            <color rgb="FF000000"/>
            <rFont val="Arial"/>
            <scheme val="minor"/>
          </rPr>
          <t>Responder updated this value.</t>
        </r>
      </text>
    </comment>
    <comment ref="N112" authorId="0" shapeId="0" xr:uid="{00000000-0006-0000-0300-00000E0A0000}">
      <text>
        <r>
          <rPr>
            <sz val="10"/>
            <color rgb="FF000000"/>
            <rFont val="Arial"/>
            <scheme val="minor"/>
          </rPr>
          <t>Responder updated this value.</t>
        </r>
      </text>
    </comment>
    <comment ref="O112" authorId="0" shapeId="0" xr:uid="{00000000-0006-0000-0300-00000F0A0000}">
      <text>
        <r>
          <rPr>
            <sz val="10"/>
            <color rgb="FF000000"/>
            <rFont val="Arial"/>
            <scheme val="minor"/>
          </rPr>
          <t>Responder updated this value.</t>
        </r>
      </text>
    </comment>
    <comment ref="P112" authorId="0" shapeId="0" xr:uid="{00000000-0006-0000-0300-0000100A0000}">
      <text>
        <r>
          <rPr>
            <sz val="10"/>
            <color rgb="FF000000"/>
            <rFont val="Arial"/>
            <scheme val="minor"/>
          </rPr>
          <t>Responder updated this value.</t>
        </r>
      </text>
    </comment>
    <comment ref="Q112" authorId="0" shapeId="0" xr:uid="{00000000-0006-0000-0300-0000110A0000}">
      <text>
        <r>
          <rPr>
            <sz val="10"/>
            <color rgb="FF000000"/>
            <rFont val="Arial"/>
            <scheme val="minor"/>
          </rPr>
          <t>Responder updated this value.</t>
        </r>
      </text>
    </comment>
    <comment ref="S112" authorId="0" shapeId="0" xr:uid="{00000000-0006-0000-0300-0000120A0000}">
      <text>
        <r>
          <rPr>
            <sz val="10"/>
            <color rgb="FF000000"/>
            <rFont val="Arial"/>
            <scheme val="minor"/>
          </rPr>
          <t>Responder updated this value.</t>
        </r>
      </text>
    </comment>
    <comment ref="T112" authorId="0" shapeId="0" xr:uid="{00000000-0006-0000-0300-0000130A0000}">
      <text>
        <r>
          <rPr>
            <sz val="10"/>
            <color rgb="FF000000"/>
            <rFont val="Arial"/>
            <scheme val="minor"/>
          </rPr>
          <t>Responder updated this value.</t>
        </r>
      </text>
    </comment>
    <comment ref="U112" authorId="0" shapeId="0" xr:uid="{00000000-0006-0000-0300-0000140A0000}">
      <text>
        <r>
          <rPr>
            <sz val="10"/>
            <color rgb="FF000000"/>
            <rFont val="Arial"/>
            <scheme val="minor"/>
          </rPr>
          <t>Responder updated this value.</t>
        </r>
      </text>
    </comment>
    <comment ref="W112" authorId="0" shapeId="0" xr:uid="{00000000-0006-0000-0300-0000150A0000}">
      <text>
        <r>
          <rPr>
            <sz val="10"/>
            <color rgb="FF000000"/>
            <rFont val="Arial"/>
            <scheme val="minor"/>
          </rPr>
          <t>Responder updated this value.</t>
        </r>
      </text>
    </comment>
    <comment ref="X112" authorId="0" shapeId="0" xr:uid="{00000000-0006-0000-0300-0000160A0000}">
      <text>
        <r>
          <rPr>
            <sz val="10"/>
            <color rgb="FF000000"/>
            <rFont val="Arial"/>
            <scheme val="minor"/>
          </rPr>
          <t>Responder updated this value.</t>
        </r>
      </text>
    </comment>
    <comment ref="Y112" authorId="0" shapeId="0" xr:uid="{00000000-0006-0000-0300-0000170A0000}">
      <text>
        <r>
          <rPr>
            <sz val="10"/>
            <color rgb="FF000000"/>
            <rFont val="Arial"/>
            <scheme val="minor"/>
          </rPr>
          <t>Responder updated this value.</t>
        </r>
      </text>
    </comment>
    <comment ref="Z112" authorId="0" shapeId="0" xr:uid="{00000000-0006-0000-0300-0000180A0000}">
      <text>
        <r>
          <rPr>
            <sz val="10"/>
            <color rgb="FF000000"/>
            <rFont val="Arial"/>
            <scheme val="minor"/>
          </rPr>
          <t>Responder updated this value.</t>
        </r>
      </text>
    </comment>
    <comment ref="AC112" authorId="0" shapeId="0" xr:uid="{00000000-0006-0000-0300-0000190A0000}">
      <text>
        <r>
          <rPr>
            <sz val="10"/>
            <color rgb="FF000000"/>
            <rFont val="Arial"/>
            <scheme val="minor"/>
          </rPr>
          <t>Responder updated this value.</t>
        </r>
      </text>
    </comment>
    <comment ref="AD112" authorId="0" shapeId="0" xr:uid="{00000000-0006-0000-0300-00001A0A0000}">
      <text>
        <r>
          <rPr>
            <sz val="10"/>
            <color rgb="FF000000"/>
            <rFont val="Arial"/>
            <scheme val="minor"/>
          </rPr>
          <t>Responder updated this value.</t>
        </r>
      </text>
    </comment>
    <comment ref="AE112" authorId="0" shapeId="0" xr:uid="{00000000-0006-0000-0300-00001B0A0000}">
      <text>
        <r>
          <rPr>
            <sz val="10"/>
            <color rgb="FF000000"/>
            <rFont val="Arial"/>
            <scheme val="minor"/>
          </rPr>
          <t>Responder updated this value.</t>
        </r>
      </text>
    </comment>
    <comment ref="AF112" authorId="0" shapeId="0" xr:uid="{00000000-0006-0000-0300-00001C0A0000}">
      <text>
        <r>
          <rPr>
            <sz val="10"/>
            <color rgb="FF000000"/>
            <rFont val="Arial"/>
            <scheme val="minor"/>
          </rPr>
          <t>Responder updated this value.</t>
        </r>
      </text>
    </comment>
    <comment ref="AG112" authorId="0" shapeId="0" xr:uid="{00000000-0006-0000-0300-00001D0A0000}">
      <text>
        <r>
          <rPr>
            <sz val="10"/>
            <color rgb="FF000000"/>
            <rFont val="Arial"/>
            <scheme val="minor"/>
          </rPr>
          <t>Responder updated this value.</t>
        </r>
      </text>
    </comment>
    <comment ref="D113" authorId="0" shapeId="0" xr:uid="{00000000-0006-0000-0300-00001E0A0000}">
      <text>
        <r>
          <rPr>
            <sz val="10"/>
            <color rgb="FF000000"/>
            <rFont val="Arial"/>
            <scheme val="minor"/>
          </rPr>
          <t>Responder updated this value.</t>
        </r>
      </text>
    </comment>
    <comment ref="N113" authorId="0" shapeId="0" xr:uid="{00000000-0006-0000-0300-00001F0A0000}">
      <text>
        <r>
          <rPr>
            <sz val="10"/>
            <color rgb="FF000000"/>
            <rFont val="Arial"/>
            <scheme val="minor"/>
          </rPr>
          <t>Responder updated this value.</t>
        </r>
      </text>
    </comment>
    <comment ref="O113" authorId="0" shapeId="0" xr:uid="{00000000-0006-0000-0300-0000200A0000}">
      <text>
        <r>
          <rPr>
            <sz val="10"/>
            <color rgb="FF000000"/>
            <rFont val="Arial"/>
            <scheme val="minor"/>
          </rPr>
          <t>Responder updated this value.</t>
        </r>
      </text>
    </comment>
    <comment ref="Q113" authorId="0" shapeId="0" xr:uid="{00000000-0006-0000-0300-0000210A0000}">
      <text>
        <r>
          <rPr>
            <sz val="10"/>
            <color rgb="FF000000"/>
            <rFont val="Arial"/>
            <scheme val="minor"/>
          </rPr>
          <t>Responder updated this value.</t>
        </r>
      </text>
    </comment>
    <comment ref="R113" authorId="0" shapeId="0" xr:uid="{00000000-0006-0000-0300-0000220A0000}">
      <text>
        <r>
          <rPr>
            <sz val="10"/>
            <color rgb="FF000000"/>
            <rFont val="Arial"/>
            <scheme val="minor"/>
          </rPr>
          <t>Responder updated this value.</t>
        </r>
      </text>
    </comment>
    <comment ref="S113" authorId="0" shapeId="0" xr:uid="{00000000-0006-0000-0300-0000230A0000}">
      <text>
        <r>
          <rPr>
            <sz val="10"/>
            <color rgb="FF000000"/>
            <rFont val="Arial"/>
            <scheme val="minor"/>
          </rPr>
          <t>Responder updated this value.</t>
        </r>
      </text>
    </comment>
    <comment ref="T113" authorId="0" shapeId="0" xr:uid="{00000000-0006-0000-0300-0000240A0000}">
      <text>
        <r>
          <rPr>
            <sz val="10"/>
            <color rgb="FF000000"/>
            <rFont val="Arial"/>
            <scheme val="minor"/>
          </rPr>
          <t>Responder updated this value.</t>
        </r>
      </text>
    </comment>
    <comment ref="U113" authorId="0" shapeId="0" xr:uid="{00000000-0006-0000-0300-0000250A0000}">
      <text>
        <r>
          <rPr>
            <sz val="10"/>
            <color rgb="FF000000"/>
            <rFont val="Arial"/>
            <scheme val="minor"/>
          </rPr>
          <t>Responder updated this value.</t>
        </r>
      </text>
    </comment>
    <comment ref="V113" authorId="0" shapeId="0" xr:uid="{00000000-0006-0000-0300-0000260A0000}">
      <text>
        <r>
          <rPr>
            <sz val="10"/>
            <color rgb="FF000000"/>
            <rFont val="Arial"/>
            <scheme val="minor"/>
          </rPr>
          <t>Responder updated this value.</t>
        </r>
      </text>
    </comment>
    <comment ref="W113" authorId="0" shapeId="0" xr:uid="{00000000-0006-0000-0300-0000270A0000}">
      <text>
        <r>
          <rPr>
            <sz val="10"/>
            <color rgb="FF000000"/>
            <rFont val="Arial"/>
            <scheme val="minor"/>
          </rPr>
          <t>Responder updated this value.</t>
        </r>
      </text>
    </comment>
    <comment ref="X113" authorId="0" shapeId="0" xr:uid="{00000000-0006-0000-0300-0000280A0000}">
      <text>
        <r>
          <rPr>
            <sz val="10"/>
            <color rgb="FF000000"/>
            <rFont val="Arial"/>
            <scheme val="minor"/>
          </rPr>
          <t>Responder updated this value.</t>
        </r>
      </text>
    </comment>
    <comment ref="Y113" authorId="0" shapeId="0" xr:uid="{00000000-0006-0000-0300-0000290A0000}">
      <text>
        <r>
          <rPr>
            <sz val="10"/>
            <color rgb="FF000000"/>
            <rFont val="Arial"/>
            <scheme val="minor"/>
          </rPr>
          <t>Responder updated this value.</t>
        </r>
      </text>
    </comment>
    <comment ref="AC113" authorId="0" shapeId="0" xr:uid="{00000000-0006-0000-0300-00002A0A0000}">
      <text>
        <r>
          <rPr>
            <sz val="10"/>
            <color rgb="FF000000"/>
            <rFont val="Arial"/>
            <scheme val="minor"/>
          </rPr>
          <t>Responder updated this value.</t>
        </r>
      </text>
    </comment>
    <comment ref="AD113" authorId="0" shapeId="0" xr:uid="{00000000-0006-0000-0300-00002B0A0000}">
      <text>
        <r>
          <rPr>
            <sz val="10"/>
            <color rgb="FF000000"/>
            <rFont val="Arial"/>
            <scheme val="minor"/>
          </rPr>
          <t>Responder updated this value.</t>
        </r>
      </text>
    </comment>
    <comment ref="AE113" authorId="0" shapeId="0" xr:uid="{00000000-0006-0000-0300-00002C0A0000}">
      <text>
        <r>
          <rPr>
            <sz val="10"/>
            <color rgb="FF000000"/>
            <rFont val="Arial"/>
            <scheme val="minor"/>
          </rPr>
          <t>Responder updated this value.</t>
        </r>
      </text>
    </comment>
    <comment ref="AG113" authorId="0" shapeId="0" xr:uid="{00000000-0006-0000-0300-00002D0A0000}">
      <text>
        <r>
          <rPr>
            <sz val="10"/>
            <color rgb="FF000000"/>
            <rFont val="Arial"/>
            <scheme val="minor"/>
          </rPr>
          <t>Responder updated this value.</t>
        </r>
      </text>
    </comment>
    <comment ref="AK113" authorId="0" shapeId="0" xr:uid="{00000000-0006-0000-0300-00002E0A0000}">
      <text>
        <r>
          <rPr>
            <sz val="10"/>
            <color rgb="FF000000"/>
            <rFont val="Arial"/>
            <scheme val="minor"/>
          </rPr>
          <t>Responder updated this value.</t>
        </r>
      </text>
    </comment>
    <comment ref="AL113" authorId="0" shapeId="0" xr:uid="{00000000-0006-0000-0300-00002F0A0000}">
      <text>
        <r>
          <rPr>
            <sz val="10"/>
            <color rgb="FF000000"/>
            <rFont val="Arial"/>
            <scheme val="minor"/>
          </rPr>
          <t>Responder updated this value.</t>
        </r>
      </text>
    </comment>
    <comment ref="AM113" authorId="0" shapeId="0" xr:uid="{00000000-0006-0000-0300-0000300A0000}">
      <text>
        <r>
          <rPr>
            <sz val="10"/>
            <color rgb="FF000000"/>
            <rFont val="Arial"/>
            <scheme val="minor"/>
          </rPr>
          <t>Responder updated this value.</t>
        </r>
      </text>
    </comment>
    <comment ref="AN113" authorId="0" shapeId="0" xr:uid="{00000000-0006-0000-0300-0000310A0000}">
      <text>
        <r>
          <rPr>
            <sz val="10"/>
            <color rgb="FF000000"/>
            <rFont val="Arial"/>
            <scheme val="minor"/>
          </rPr>
          <t>Responder updated this value.</t>
        </r>
      </text>
    </comment>
    <comment ref="AO113" authorId="0" shapeId="0" xr:uid="{00000000-0006-0000-0300-0000320A0000}">
      <text>
        <r>
          <rPr>
            <sz val="10"/>
            <color rgb="FF000000"/>
            <rFont val="Arial"/>
            <scheme val="minor"/>
          </rPr>
          <t>Responder updated this value.</t>
        </r>
      </text>
    </comment>
    <comment ref="AQ113" authorId="0" shapeId="0" xr:uid="{00000000-0006-0000-0300-0000330A0000}">
      <text>
        <r>
          <rPr>
            <sz val="10"/>
            <color rgb="FF000000"/>
            <rFont val="Arial"/>
            <scheme val="minor"/>
          </rPr>
          <t>Responder updated this value.</t>
        </r>
      </text>
    </comment>
    <comment ref="AR113" authorId="0" shapeId="0" xr:uid="{00000000-0006-0000-0300-0000340A0000}">
      <text>
        <r>
          <rPr>
            <sz val="10"/>
            <color rgb="FF000000"/>
            <rFont val="Arial"/>
            <scheme val="minor"/>
          </rPr>
          <t>Responder updated this value.</t>
        </r>
      </text>
    </comment>
    <comment ref="AU113" authorId="0" shapeId="0" xr:uid="{00000000-0006-0000-0300-0000350A0000}">
      <text>
        <r>
          <rPr>
            <sz val="10"/>
            <color rgb="FF000000"/>
            <rFont val="Arial"/>
            <scheme val="minor"/>
          </rPr>
          <t>Responder updated this value.</t>
        </r>
      </text>
    </comment>
    <comment ref="D114" authorId="0" shapeId="0" xr:uid="{00000000-0006-0000-0300-0000360A0000}">
      <text>
        <r>
          <rPr>
            <sz val="10"/>
            <color rgb="FF000000"/>
            <rFont val="Arial"/>
            <scheme val="minor"/>
          </rPr>
          <t>Responder updated this value.</t>
        </r>
      </text>
    </comment>
    <comment ref="L114" authorId="0" shapeId="0" xr:uid="{00000000-0006-0000-0300-0000370A0000}">
      <text>
        <r>
          <rPr>
            <sz val="10"/>
            <color rgb="FF000000"/>
            <rFont val="Arial"/>
            <scheme val="minor"/>
          </rPr>
          <t>Responder updated this value.</t>
        </r>
      </text>
    </comment>
    <comment ref="M114" authorId="0" shapeId="0" xr:uid="{00000000-0006-0000-0300-0000380A0000}">
      <text>
        <r>
          <rPr>
            <sz val="10"/>
            <color rgb="FF000000"/>
            <rFont val="Arial"/>
            <scheme val="minor"/>
          </rPr>
          <t>Responder updated this value.</t>
        </r>
      </text>
    </comment>
    <comment ref="N114" authorId="0" shapeId="0" xr:uid="{00000000-0006-0000-0300-0000390A0000}">
      <text>
        <r>
          <rPr>
            <sz val="10"/>
            <color rgb="FF000000"/>
            <rFont val="Arial"/>
            <scheme val="minor"/>
          </rPr>
          <t>Responder updated this value.</t>
        </r>
      </text>
    </comment>
    <comment ref="O114" authorId="0" shapeId="0" xr:uid="{00000000-0006-0000-0300-00003A0A0000}">
      <text>
        <r>
          <rPr>
            <sz val="10"/>
            <color rgb="FF000000"/>
            <rFont val="Arial"/>
            <scheme val="minor"/>
          </rPr>
          <t>Responder updated this value.</t>
        </r>
      </text>
    </comment>
    <comment ref="P114" authorId="0" shapeId="0" xr:uid="{00000000-0006-0000-0300-00003B0A0000}">
      <text>
        <r>
          <rPr>
            <sz val="10"/>
            <color rgb="FF000000"/>
            <rFont val="Arial"/>
            <scheme val="minor"/>
          </rPr>
          <t>Responder updated this value.</t>
        </r>
      </text>
    </comment>
    <comment ref="Q114" authorId="0" shapeId="0" xr:uid="{00000000-0006-0000-0300-00003C0A0000}">
      <text>
        <r>
          <rPr>
            <sz val="10"/>
            <color rgb="FF000000"/>
            <rFont val="Arial"/>
            <scheme val="minor"/>
          </rPr>
          <t>Responder updated this value.</t>
        </r>
      </text>
    </comment>
    <comment ref="S114" authorId="0" shapeId="0" xr:uid="{00000000-0006-0000-0300-00003D0A0000}">
      <text>
        <r>
          <rPr>
            <sz val="10"/>
            <color rgb="FF000000"/>
            <rFont val="Arial"/>
            <scheme val="minor"/>
          </rPr>
          <t>Responder updated this value.</t>
        </r>
      </text>
    </comment>
    <comment ref="T114" authorId="0" shapeId="0" xr:uid="{00000000-0006-0000-0300-00003E0A0000}">
      <text>
        <r>
          <rPr>
            <sz val="10"/>
            <color rgb="FF000000"/>
            <rFont val="Arial"/>
            <scheme val="minor"/>
          </rPr>
          <t>Responder updated this value.</t>
        </r>
      </text>
    </comment>
    <comment ref="U114" authorId="0" shapeId="0" xr:uid="{00000000-0006-0000-0300-00003F0A0000}">
      <text>
        <r>
          <rPr>
            <sz val="10"/>
            <color rgb="FF000000"/>
            <rFont val="Arial"/>
            <scheme val="minor"/>
          </rPr>
          <t>Responder updated this value.</t>
        </r>
      </text>
    </comment>
    <comment ref="V114" authorId="0" shapeId="0" xr:uid="{00000000-0006-0000-0300-0000400A0000}">
      <text>
        <r>
          <rPr>
            <sz val="10"/>
            <color rgb="FF000000"/>
            <rFont val="Arial"/>
            <scheme val="minor"/>
          </rPr>
          <t>Responder updated this value.</t>
        </r>
      </text>
    </comment>
    <comment ref="X114" authorId="0" shapeId="0" xr:uid="{00000000-0006-0000-0300-0000410A0000}">
      <text>
        <r>
          <rPr>
            <sz val="10"/>
            <color rgb="FF000000"/>
            <rFont val="Arial"/>
            <scheme val="minor"/>
          </rPr>
          <t>Responder updated this value.</t>
        </r>
      </text>
    </comment>
    <comment ref="Y114" authorId="0" shapeId="0" xr:uid="{00000000-0006-0000-0300-0000420A0000}">
      <text>
        <r>
          <rPr>
            <sz val="10"/>
            <color rgb="FF000000"/>
            <rFont val="Arial"/>
            <scheme val="minor"/>
          </rPr>
          <t>Responder updated this value.</t>
        </r>
      </text>
    </comment>
    <comment ref="Z114" authorId="0" shapeId="0" xr:uid="{00000000-0006-0000-0300-0000430A0000}">
      <text>
        <r>
          <rPr>
            <sz val="10"/>
            <color rgb="FF000000"/>
            <rFont val="Arial"/>
            <scheme val="minor"/>
          </rPr>
          <t>Responder updated this value.</t>
        </r>
      </text>
    </comment>
    <comment ref="AC114" authorId="0" shapeId="0" xr:uid="{00000000-0006-0000-0300-0000440A0000}">
      <text>
        <r>
          <rPr>
            <sz val="10"/>
            <color rgb="FF000000"/>
            <rFont val="Arial"/>
            <scheme val="minor"/>
          </rPr>
          <t>Responder updated this value.</t>
        </r>
      </text>
    </comment>
    <comment ref="AD114" authorId="0" shapeId="0" xr:uid="{00000000-0006-0000-0300-0000450A0000}">
      <text>
        <r>
          <rPr>
            <sz val="10"/>
            <color rgb="FF000000"/>
            <rFont val="Arial"/>
            <scheme val="minor"/>
          </rPr>
          <t>Responder updated this value.</t>
        </r>
      </text>
    </comment>
    <comment ref="AE114" authorId="0" shapeId="0" xr:uid="{00000000-0006-0000-0300-0000460A0000}">
      <text>
        <r>
          <rPr>
            <sz val="10"/>
            <color rgb="FF000000"/>
            <rFont val="Arial"/>
            <scheme val="minor"/>
          </rPr>
          <t>Responder updated this value.</t>
        </r>
      </text>
    </comment>
    <comment ref="AF114" authorId="0" shapeId="0" xr:uid="{00000000-0006-0000-0300-0000470A0000}">
      <text>
        <r>
          <rPr>
            <sz val="10"/>
            <color rgb="FF000000"/>
            <rFont val="Arial"/>
            <scheme val="minor"/>
          </rPr>
          <t>Responder updated this value.</t>
        </r>
      </text>
    </comment>
    <comment ref="AG114" authorId="0" shapeId="0" xr:uid="{00000000-0006-0000-0300-0000480A0000}">
      <text>
        <r>
          <rPr>
            <sz val="10"/>
            <color rgb="FF000000"/>
            <rFont val="Arial"/>
            <scheme val="minor"/>
          </rPr>
          <t>Responder updated this value.</t>
        </r>
      </text>
    </comment>
    <comment ref="AH114" authorId="0" shapeId="0" xr:uid="{00000000-0006-0000-0300-0000490A0000}">
      <text>
        <r>
          <rPr>
            <sz val="10"/>
            <color rgb="FF000000"/>
            <rFont val="Arial"/>
            <scheme val="minor"/>
          </rPr>
          <t>Responder updated this value.</t>
        </r>
      </text>
    </comment>
    <comment ref="AI114" authorId="0" shapeId="0" xr:uid="{00000000-0006-0000-0300-00004A0A0000}">
      <text>
        <r>
          <rPr>
            <sz val="10"/>
            <color rgb="FF000000"/>
            <rFont val="Arial"/>
            <scheme val="minor"/>
          </rPr>
          <t>Responder updated this value.</t>
        </r>
      </text>
    </comment>
    <comment ref="AK114" authorId="0" shapeId="0" xr:uid="{00000000-0006-0000-0300-00004B0A0000}">
      <text>
        <r>
          <rPr>
            <sz val="10"/>
            <color rgb="FF000000"/>
            <rFont val="Arial"/>
            <scheme val="minor"/>
          </rPr>
          <t>Responder updated this value.</t>
        </r>
      </text>
    </comment>
    <comment ref="AL114" authorId="0" shapeId="0" xr:uid="{00000000-0006-0000-0300-00004C0A0000}">
      <text>
        <r>
          <rPr>
            <sz val="10"/>
            <color rgb="FF000000"/>
            <rFont val="Arial"/>
            <scheme val="minor"/>
          </rPr>
          <t>Responder updated this value.</t>
        </r>
      </text>
    </comment>
    <comment ref="AM114" authorId="0" shapeId="0" xr:uid="{00000000-0006-0000-0300-00004D0A0000}">
      <text>
        <r>
          <rPr>
            <sz val="10"/>
            <color rgb="FF000000"/>
            <rFont val="Arial"/>
            <scheme val="minor"/>
          </rPr>
          <t>Responder updated this value.</t>
        </r>
      </text>
    </comment>
    <comment ref="AN114" authorId="0" shapeId="0" xr:uid="{00000000-0006-0000-0300-00004E0A0000}">
      <text>
        <r>
          <rPr>
            <sz val="10"/>
            <color rgb="FF000000"/>
            <rFont val="Arial"/>
            <scheme val="minor"/>
          </rPr>
          <t>Responder updated this value.</t>
        </r>
      </text>
    </comment>
    <comment ref="AO114" authorId="0" shapeId="0" xr:uid="{00000000-0006-0000-0300-00004F0A0000}">
      <text>
        <r>
          <rPr>
            <sz val="10"/>
            <color rgb="FF000000"/>
            <rFont val="Arial"/>
            <scheme val="minor"/>
          </rPr>
          <t>Responder updated this value.</t>
        </r>
      </text>
    </comment>
    <comment ref="AP114" authorId="0" shapeId="0" xr:uid="{00000000-0006-0000-0300-0000500A0000}">
      <text>
        <r>
          <rPr>
            <sz val="10"/>
            <color rgb="FF000000"/>
            <rFont val="Arial"/>
            <scheme val="minor"/>
          </rPr>
          <t>Responder updated this value.</t>
        </r>
      </text>
    </comment>
    <comment ref="AQ114" authorId="0" shapeId="0" xr:uid="{00000000-0006-0000-0300-0000510A0000}">
      <text>
        <r>
          <rPr>
            <sz val="10"/>
            <color rgb="FF000000"/>
            <rFont val="Arial"/>
            <scheme val="minor"/>
          </rPr>
          <t>Responder updated this value.</t>
        </r>
      </text>
    </comment>
    <comment ref="AR114" authorId="0" shapeId="0" xr:uid="{00000000-0006-0000-0300-0000520A0000}">
      <text>
        <r>
          <rPr>
            <sz val="10"/>
            <color rgb="FF000000"/>
            <rFont val="Arial"/>
            <scheme val="minor"/>
          </rPr>
          <t>Responder updated this value.</t>
        </r>
      </text>
    </comment>
    <comment ref="AS114" authorId="0" shapeId="0" xr:uid="{00000000-0006-0000-0300-0000530A0000}">
      <text>
        <r>
          <rPr>
            <sz val="10"/>
            <color rgb="FF000000"/>
            <rFont val="Arial"/>
            <scheme val="minor"/>
          </rPr>
          <t>Responder updated this value.</t>
        </r>
      </text>
    </comment>
    <comment ref="AU114" authorId="0" shapeId="0" xr:uid="{00000000-0006-0000-0300-0000540A0000}">
      <text>
        <r>
          <rPr>
            <sz val="10"/>
            <color rgb="FF000000"/>
            <rFont val="Arial"/>
            <scheme val="minor"/>
          </rPr>
          <t>Responder updated this value.</t>
        </r>
      </text>
    </comment>
    <comment ref="D115" authorId="0" shapeId="0" xr:uid="{00000000-0006-0000-0300-0000550A0000}">
      <text>
        <r>
          <rPr>
            <sz val="10"/>
            <color rgb="FF000000"/>
            <rFont val="Arial"/>
            <scheme val="minor"/>
          </rPr>
          <t>Responder updated this value.</t>
        </r>
      </text>
    </comment>
    <comment ref="L115" authorId="0" shapeId="0" xr:uid="{00000000-0006-0000-0300-0000560A0000}">
      <text>
        <r>
          <rPr>
            <sz val="10"/>
            <color rgb="FF000000"/>
            <rFont val="Arial"/>
            <scheme val="minor"/>
          </rPr>
          <t>Responder updated this value.</t>
        </r>
      </text>
    </comment>
    <comment ref="M115" authorId="0" shapeId="0" xr:uid="{00000000-0006-0000-0300-0000570A0000}">
      <text>
        <r>
          <rPr>
            <sz val="10"/>
            <color rgb="FF000000"/>
            <rFont val="Arial"/>
            <scheme val="minor"/>
          </rPr>
          <t>Responder updated this value.</t>
        </r>
      </text>
    </comment>
    <comment ref="N115" authorId="0" shapeId="0" xr:uid="{00000000-0006-0000-0300-0000580A0000}">
      <text>
        <r>
          <rPr>
            <sz val="10"/>
            <color rgb="FF000000"/>
            <rFont val="Arial"/>
            <scheme val="minor"/>
          </rPr>
          <t>Responder updated this value.</t>
        </r>
      </text>
    </comment>
    <comment ref="O115" authorId="0" shapeId="0" xr:uid="{00000000-0006-0000-0300-0000590A0000}">
      <text>
        <r>
          <rPr>
            <sz val="10"/>
            <color rgb="FF000000"/>
            <rFont val="Arial"/>
            <scheme val="minor"/>
          </rPr>
          <t>Responder updated this value.</t>
        </r>
      </text>
    </comment>
    <comment ref="P115" authorId="0" shapeId="0" xr:uid="{00000000-0006-0000-0300-00005A0A0000}">
      <text>
        <r>
          <rPr>
            <sz val="10"/>
            <color rgb="FF000000"/>
            <rFont val="Arial"/>
            <scheme val="minor"/>
          </rPr>
          <t>Responder updated this value.</t>
        </r>
      </text>
    </comment>
    <comment ref="S115" authorId="0" shapeId="0" xr:uid="{00000000-0006-0000-0300-00005B0A0000}">
      <text>
        <r>
          <rPr>
            <sz val="10"/>
            <color rgb="FF000000"/>
            <rFont val="Arial"/>
            <scheme val="minor"/>
          </rPr>
          <t>Responder updated this value.</t>
        </r>
      </text>
    </comment>
    <comment ref="T115" authorId="0" shapeId="0" xr:uid="{00000000-0006-0000-0300-00005C0A0000}">
      <text>
        <r>
          <rPr>
            <sz val="10"/>
            <color rgb="FF000000"/>
            <rFont val="Arial"/>
            <scheme val="minor"/>
          </rPr>
          <t>Responder updated this value.</t>
        </r>
      </text>
    </comment>
    <comment ref="U115" authorId="0" shapeId="0" xr:uid="{00000000-0006-0000-0300-00005D0A0000}">
      <text>
        <r>
          <rPr>
            <sz val="10"/>
            <color rgb="FF000000"/>
            <rFont val="Arial"/>
            <scheme val="minor"/>
          </rPr>
          <t>Responder updated this value.</t>
        </r>
      </text>
    </comment>
    <comment ref="V115" authorId="0" shapeId="0" xr:uid="{00000000-0006-0000-0300-00005E0A0000}">
      <text>
        <r>
          <rPr>
            <sz val="10"/>
            <color rgb="FF000000"/>
            <rFont val="Arial"/>
            <scheme val="minor"/>
          </rPr>
          <t>Responder updated this value.</t>
        </r>
      </text>
    </comment>
    <comment ref="X115" authorId="0" shapeId="0" xr:uid="{00000000-0006-0000-0300-00005F0A0000}">
      <text>
        <r>
          <rPr>
            <sz val="10"/>
            <color rgb="FF000000"/>
            <rFont val="Arial"/>
            <scheme val="minor"/>
          </rPr>
          <t>Responder updated this value.</t>
        </r>
      </text>
    </comment>
    <comment ref="Y115" authorId="0" shapeId="0" xr:uid="{00000000-0006-0000-0300-0000600A0000}">
      <text>
        <r>
          <rPr>
            <sz val="10"/>
            <color rgb="FF000000"/>
            <rFont val="Arial"/>
            <scheme val="minor"/>
          </rPr>
          <t>Responder updated this value.</t>
        </r>
      </text>
    </comment>
    <comment ref="Z115" authorId="0" shapeId="0" xr:uid="{00000000-0006-0000-0300-0000610A0000}">
      <text>
        <r>
          <rPr>
            <sz val="10"/>
            <color rgb="FF000000"/>
            <rFont val="Arial"/>
            <scheme val="minor"/>
          </rPr>
          <t>Responder updated this value.</t>
        </r>
      </text>
    </comment>
    <comment ref="AC115" authorId="0" shapeId="0" xr:uid="{00000000-0006-0000-0300-0000620A0000}">
      <text>
        <r>
          <rPr>
            <sz val="10"/>
            <color rgb="FF000000"/>
            <rFont val="Arial"/>
            <scheme val="minor"/>
          </rPr>
          <t>Responder updated this value.</t>
        </r>
      </text>
    </comment>
    <comment ref="AD115" authorId="0" shapeId="0" xr:uid="{00000000-0006-0000-0300-0000630A0000}">
      <text>
        <r>
          <rPr>
            <sz val="10"/>
            <color rgb="FF000000"/>
            <rFont val="Arial"/>
            <scheme val="minor"/>
          </rPr>
          <t>Responder updated this value.</t>
        </r>
      </text>
    </comment>
    <comment ref="AE115" authorId="0" shapeId="0" xr:uid="{00000000-0006-0000-0300-0000640A0000}">
      <text>
        <r>
          <rPr>
            <sz val="10"/>
            <color rgb="FF000000"/>
            <rFont val="Arial"/>
            <scheme val="minor"/>
          </rPr>
          <t>Responder updated this value.</t>
        </r>
      </text>
    </comment>
    <comment ref="AF115" authorId="0" shapeId="0" xr:uid="{00000000-0006-0000-0300-0000650A0000}">
      <text>
        <r>
          <rPr>
            <sz val="10"/>
            <color rgb="FF000000"/>
            <rFont val="Arial"/>
            <scheme val="minor"/>
          </rPr>
          <t>Responder updated this value.</t>
        </r>
      </text>
    </comment>
    <comment ref="AG115" authorId="0" shapeId="0" xr:uid="{00000000-0006-0000-0300-0000660A0000}">
      <text>
        <r>
          <rPr>
            <sz val="10"/>
            <color rgb="FF000000"/>
            <rFont val="Arial"/>
            <scheme val="minor"/>
          </rPr>
          <t>Responder updated this value.</t>
        </r>
      </text>
    </comment>
    <comment ref="AH115" authorId="0" shapeId="0" xr:uid="{00000000-0006-0000-0300-0000670A0000}">
      <text>
        <r>
          <rPr>
            <sz val="10"/>
            <color rgb="FF000000"/>
            <rFont val="Arial"/>
            <scheme val="minor"/>
          </rPr>
          <t>Responder updated this value.</t>
        </r>
      </text>
    </comment>
    <comment ref="AI115" authorId="0" shapeId="0" xr:uid="{00000000-0006-0000-0300-0000680A0000}">
      <text>
        <r>
          <rPr>
            <sz val="10"/>
            <color rgb="FF000000"/>
            <rFont val="Arial"/>
            <scheme val="minor"/>
          </rPr>
          <t>Responder updated this value.</t>
        </r>
      </text>
    </comment>
    <comment ref="AK115" authorId="0" shapeId="0" xr:uid="{00000000-0006-0000-0300-0000690A0000}">
      <text>
        <r>
          <rPr>
            <sz val="10"/>
            <color rgb="FF000000"/>
            <rFont val="Arial"/>
            <scheme val="minor"/>
          </rPr>
          <t>Responder updated this value.</t>
        </r>
      </text>
    </comment>
    <comment ref="AL115" authorId="0" shapeId="0" xr:uid="{00000000-0006-0000-0300-00006A0A0000}">
      <text>
        <r>
          <rPr>
            <sz val="10"/>
            <color rgb="FF000000"/>
            <rFont val="Arial"/>
            <scheme val="minor"/>
          </rPr>
          <t>Responder updated this value.</t>
        </r>
      </text>
    </comment>
    <comment ref="AM115" authorId="0" shapeId="0" xr:uid="{00000000-0006-0000-0300-00006B0A0000}">
      <text>
        <r>
          <rPr>
            <sz val="10"/>
            <color rgb="FF000000"/>
            <rFont val="Arial"/>
            <scheme val="minor"/>
          </rPr>
          <t>Responder updated this value.</t>
        </r>
      </text>
    </comment>
    <comment ref="AN115" authorId="0" shapeId="0" xr:uid="{00000000-0006-0000-0300-00006C0A0000}">
      <text>
        <r>
          <rPr>
            <sz val="10"/>
            <color rgb="FF000000"/>
            <rFont val="Arial"/>
            <scheme val="minor"/>
          </rPr>
          <t>Responder updated this value.</t>
        </r>
      </text>
    </comment>
    <comment ref="AO115" authorId="0" shapeId="0" xr:uid="{00000000-0006-0000-0300-00006D0A0000}">
      <text>
        <r>
          <rPr>
            <sz val="10"/>
            <color rgb="FF000000"/>
            <rFont val="Arial"/>
            <scheme val="minor"/>
          </rPr>
          <t>Responder updated this value.</t>
        </r>
      </text>
    </comment>
    <comment ref="AP115" authorId="0" shapeId="0" xr:uid="{00000000-0006-0000-0300-00006E0A0000}">
      <text>
        <r>
          <rPr>
            <sz val="10"/>
            <color rgb="FF000000"/>
            <rFont val="Arial"/>
            <scheme val="minor"/>
          </rPr>
          <t>Responder updated this value.</t>
        </r>
      </text>
    </comment>
    <comment ref="AQ115" authorId="0" shapeId="0" xr:uid="{00000000-0006-0000-0300-00006F0A0000}">
      <text>
        <r>
          <rPr>
            <sz val="10"/>
            <color rgb="FF000000"/>
            <rFont val="Arial"/>
            <scheme val="minor"/>
          </rPr>
          <t>Responder updated this value.</t>
        </r>
      </text>
    </comment>
    <comment ref="AR115" authorId="0" shapeId="0" xr:uid="{00000000-0006-0000-0300-0000700A0000}">
      <text>
        <r>
          <rPr>
            <sz val="10"/>
            <color rgb="FF000000"/>
            <rFont val="Arial"/>
            <scheme val="minor"/>
          </rPr>
          <t>Responder updated this value.</t>
        </r>
      </text>
    </comment>
    <comment ref="AS115" authorId="0" shapeId="0" xr:uid="{00000000-0006-0000-0300-0000710A0000}">
      <text>
        <r>
          <rPr>
            <sz val="10"/>
            <color rgb="FF000000"/>
            <rFont val="Arial"/>
            <scheme val="minor"/>
          </rPr>
          <t>Responder updated this value.</t>
        </r>
      </text>
    </comment>
    <comment ref="AU115" authorId="0" shapeId="0" xr:uid="{00000000-0006-0000-0300-0000720A0000}">
      <text>
        <r>
          <rPr>
            <sz val="10"/>
            <color rgb="FF000000"/>
            <rFont val="Arial"/>
            <scheme val="minor"/>
          </rPr>
          <t>Responder updated this value.</t>
        </r>
      </text>
    </comment>
    <comment ref="D116" authorId="0" shapeId="0" xr:uid="{00000000-0006-0000-0300-0000730A0000}">
      <text>
        <r>
          <rPr>
            <sz val="10"/>
            <color rgb="FF000000"/>
            <rFont val="Arial"/>
            <scheme val="minor"/>
          </rPr>
          <t>Responder updated this value.</t>
        </r>
      </text>
    </comment>
    <comment ref="H116" authorId="0" shapeId="0" xr:uid="{00000000-0006-0000-0300-0000740A0000}">
      <text>
        <r>
          <rPr>
            <sz val="10"/>
            <color rgb="FF000000"/>
            <rFont val="Arial"/>
            <scheme val="minor"/>
          </rPr>
          <t>Responder updated this value.</t>
        </r>
      </text>
    </comment>
    <comment ref="L116" authorId="0" shapeId="0" xr:uid="{00000000-0006-0000-0300-0000750A0000}">
      <text>
        <r>
          <rPr>
            <sz val="10"/>
            <color rgb="FF000000"/>
            <rFont val="Arial"/>
            <scheme val="minor"/>
          </rPr>
          <t>Responder updated this value.</t>
        </r>
      </text>
    </comment>
    <comment ref="M116" authorId="0" shapeId="0" xr:uid="{00000000-0006-0000-0300-0000760A0000}">
      <text>
        <r>
          <rPr>
            <sz val="10"/>
            <color rgb="FF000000"/>
            <rFont val="Arial"/>
            <scheme val="minor"/>
          </rPr>
          <t>Responder updated this value.</t>
        </r>
      </text>
    </comment>
    <comment ref="N116" authorId="0" shapeId="0" xr:uid="{00000000-0006-0000-0300-0000770A0000}">
      <text>
        <r>
          <rPr>
            <sz val="10"/>
            <color rgb="FF000000"/>
            <rFont val="Arial"/>
            <scheme val="minor"/>
          </rPr>
          <t>Responder updated this value.</t>
        </r>
      </text>
    </comment>
    <comment ref="O116" authorId="0" shapeId="0" xr:uid="{00000000-0006-0000-0300-0000780A0000}">
      <text>
        <r>
          <rPr>
            <sz val="10"/>
            <color rgb="FF000000"/>
            <rFont val="Arial"/>
            <scheme val="minor"/>
          </rPr>
          <t>Responder updated this value.</t>
        </r>
      </text>
    </comment>
    <comment ref="P116" authorId="0" shapeId="0" xr:uid="{00000000-0006-0000-0300-0000790A0000}">
      <text>
        <r>
          <rPr>
            <sz val="10"/>
            <color rgb="FF000000"/>
            <rFont val="Arial"/>
            <scheme val="minor"/>
          </rPr>
          <t>Responder updated this value.</t>
        </r>
      </text>
    </comment>
    <comment ref="Q116" authorId="0" shapeId="0" xr:uid="{00000000-0006-0000-0300-00007A0A0000}">
      <text>
        <r>
          <rPr>
            <sz val="10"/>
            <color rgb="FF000000"/>
            <rFont val="Arial"/>
            <scheme val="minor"/>
          </rPr>
          <t>Responder updated this value.</t>
        </r>
      </text>
    </comment>
    <comment ref="S116" authorId="0" shapeId="0" xr:uid="{00000000-0006-0000-0300-00007B0A0000}">
      <text>
        <r>
          <rPr>
            <sz val="10"/>
            <color rgb="FF000000"/>
            <rFont val="Arial"/>
            <scheme val="minor"/>
          </rPr>
          <t>Responder updated this value.</t>
        </r>
      </text>
    </comment>
    <comment ref="T116" authorId="0" shapeId="0" xr:uid="{00000000-0006-0000-0300-00007C0A0000}">
      <text>
        <r>
          <rPr>
            <sz val="10"/>
            <color rgb="FF000000"/>
            <rFont val="Arial"/>
            <scheme val="minor"/>
          </rPr>
          <t>Responder updated this value.</t>
        </r>
      </text>
    </comment>
    <comment ref="U116" authorId="0" shapeId="0" xr:uid="{00000000-0006-0000-0300-00007D0A0000}">
      <text>
        <r>
          <rPr>
            <sz val="10"/>
            <color rgb="FF000000"/>
            <rFont val="Arial"/>
            <scheme val="minor"/>
          </rPr>
          <t>Responder updated this value.</t>
        </r>
      </text>
    </comment>
    <comment ref="V116" authorId="0" shapeId="0" xr:uid="{00000000-0006-0000-0300-00007E0A0000}">
      <text>
        <r>
          <rPr>
            <sz val="10"/>
            <color rgb="FF000000"/>
            <rFont val="Arial"/>
            <scheme val="minor"/>
          </rPr>
          <t>Responder updated this value.</t>
        </r>
      </text>
    </comment>
    <comment ref="X116" authorId="0" shapeId="0" xr:uid="{00000000-0006-0000-0300-00007F0A0000}">
      <text>
        <r>
          <rPr>
            <sz val="10"/>
            <color rgb="FF000000"/>
            <rFont val="Arial"/>
            <scheme val="minor"/>
          </rPr>
          <t>Responder updated this value.</t>
        </r>
      </text>
    </comment>
    <comment ref="Y116" authorId="0" shapeId="0" xr:uid="{00000000-0006-0000-0300-0000800A0000}">
      <text>
        <r>
          <rPr>
            <sz val="10"/>
            <color rgb="FF000000"/>
            <rFont val="Arial"/>
            <scheme val="minor"/>
          </rPr>
          <t>Responder updated this value.</t>
        </r>
      </text>
    </comment>
    <comment ref="Z116" authorId="0" shapeId="0" xr:uid="{00000000-0006-0000-0300-0000810A0000}">
      <text>
        <r>
          <rPr>
            <sz val="10"/>
            <color rgb="FF000000"/>
            <rFont val="Arial"/>
            <scheme val="minor"/>
          </rPr>
          <t>Responder updated this value.</t>
        </r>
      </text>
    </comment>
    <comment ref="AC116" authorId="0" shapeId="0" xr:uid="{00000000-0006-0000-0300-0000820A0000}">
      <text>
        <r>
          <rPr>
            <sz val="10"/>
            <color rgb="FF000000"/>
            <rFont val="Arial"/>
            <scheme val="minor"/>
          </rPr>
          <t>Responder updated this value.</t>
        </r>
      </text>
    </comment>
    <comment ref="AD116" authorId="0" shapeId="0" xr:uid="{00000000-0006-0000-0300-0000830A0000}">
      <text>
        <r>
          <rPr>
            <sz val="10"/>
            <color rgb="FF000000"/>
            <rFont val="Arial"/>
            <scheme val="minor"/>
          </rPr>
          <t>Responder updated this value.</t>
        </r>
      </text>
    </comment>
    <comment ref="AE116" authorId="0" shapeId="0" xr:uid="{00000000-0006-0000-0300-0000840A0000}">
      <text>
        <r>
          <rPr>
            <sz val="10"/>
            <color rgb="FF000000"/>
            <rFont val="Arial"/>
            <scheme val="minor"/>
          </rPr>
          <t>Responder updated this value.</t>
        </r>
      </text>
    </comment>
    <comment ref="AF116" authorId="0" shapeId="0" xr:uid="{00000000-0006-0000-0300-0000850A0000}">
      <text>
        <r>
          <rPr>
            <sz val="10"/>
            <color rgb="FF000000"/>
            <rFont val="Arial"/>
            <scheme val="minor"/>
          </rPr>
          <t>Responder updated this value.</t>
        </r>
      </text>
    </comment>
    <comment ref="AG116" authorId="0" shapeId="0" xr:uid="{00000000-0006-0000-0300-0000860A0000}">
      <text>
        <r>
          <rPr>
            <sz val="10"/>
            <color rgb="FF000000"/>
            <rFont val="Arial"/>
            <scheme val="minor"/>
          </rPr>
          <t>Responder updated this value.</t>
        </r>
      </text>
    </comment>
    <comment ref="AH116" authorId="0" shapeId="0" xr:uid="{00000000-0006-0000-0300-0000870A0000}">
      <text>
        <r>
          <rPr>
            <sz val="10"/>
            <color rgb="FF000000"/>
            <rFont val="Arial"/>
            <scheme val="minor"/>
          </rPr>
          <t>Responder updated this value.</t>
        </r>
      </text>
    </comment>
    <comment ref="AK116" authorId="0" shapeId="0" xr:uid="{00000000-0006-0000-0300-0000880A0000}">
      <text>
        <r>
          <rPr>
            <sz val="10"/>
            <color rgb="FF000000"/>
            <rFont val="Arial"/>
            <scheme val="minor"/>
          </rPr>
          <t>Responder updated this value.</t>
        </r>
      </text>
    </comment>
    <comment ref="AL116" authorId="0" shapeId="0" xr:uid="{00000000-0006-0000-0300-0000890A0000}">
      <text>
        <r>
          <rPr>
            <sz val="10"/>
            <color rgb="FF000000"/>
            <rFont val="Arial"/>
            <scheme val="minor"/>
          </rPr>
          <t>Responder updated this value.</t>
        </r>
      </text>
    </comment>
    <comment ref="AM116" authorId="0" shapeId="0" xr:uid="{00000000-0006-0000-0300-00008A0A0000}">
      <text>
        <r>
          <rPr>
            <sz val="10"/>
            <color rgb="FF000000"/>
            <rFont val="Arial"/>
            <scheme val="minor"/>
          </rPr>
          <t>Responder updated this value.</t>
        </r>
      </text>
    </comment>
    <comment ref="AN116" authorId="0" shapeId="0" xr:uid="{00000000-0006-0000-0300-00008B0A0000}">
      <text>
        <r>
          <rPr>
            <sz val="10"/>
            <color rgb="FF000000"/>
            <rFont val="Arial"/>
            <scheme val="minor"/>
          </rPr>
          <t>Responder updated this value.</t>
        </r>
      </text>
    </comment>
    <comment ref="AO116" authorId="0" shapeId="0" xr:uid="{00000000-0006-0000-0300-00008C0A0000}">
      <text>
        <r>
          <rPr>
            <sz val="10"/>
            <color rgb="FF000000"/>
            <rFont val="Arial"/>
            <scheme val="minor"/>
          </rPr>
          <t>Responder updated this value.</t>
        </r>
      </text>
    </comment>
    <comment ref="AP116" authorId="0" shapeId="0" xr:uid="{00000000-0006-0000-0300-00008D0A0000}">
      <text>
        <r>
          <rPr>
            <sz val="10"/>
            <color rgb="FF000000"/>
            <rFont val="Arial"/>
            <scheme val="minor"/>
          </rPr>
          <t>Responder updated this value.</t>
        </r>
      </text>
    </comment>
    <comment ref="AQ116" authorId="0" shapeId="0" xr:uid="{00000000-0006-0000-0300-00008E0A0000}">
      <text>
        <r>
          <rPr>
            <sz val="10"/>
            <color rgb="FF000000"/>
            <rFont val="Arial"/>
            <scheme val="minor"/>
          </rPr>
          <t>Responder updated this value.</t>
        </r>
      </text>
    </comment>
    <comment ref="AR116" authorId="0" shapeId="0" xr:uid="{00000000-0006-0000-0300-00008F0A0000}">
      <text>
        <r>
          <rPr>
            <sz val="10"/>
            <color rgb="FF000000"/>
            <rFont val="Arial"/>
            <scheme val="minor"/>
          </rPr>
          <t>Responder updated this value.</t>
        </r>
      </text>
    </comment>
    <comment ref="AU116" authorId="0" shapeId="0" xr:uid="{00000000-0006-0000-0300-0000900A0000}">
      <text>
        <r>
          <rPr>
            <sz val="10"/>
            <color rgb="FF000000"/>
            <rFont val="Arial"/>
            <scheme val="minor"/>
          </rPr>
          <t>Responder updated this value.</t>
        </r>
      </text>
    </comment>
    <comment ref="D117" authorId="0" shapeId="0" xr:uid="{00000000-0006-0000-0300-0000910A0000}">
      <text>
        <r>
          <rPr>
            <sz val="10"/>
            <color rgb="FF000000"/>
            <rFont val="Arial"/>
            <scheme val="minor"/>
          </rPr>
          <t>Responder updated this value.</t>
        </r>
      </text>
    </comment>
    <comment ref="N117" authorId="0" shapeId="0" xr:uid="{00000000-0006-0000-0300-0000920A0000}">
      <text>
        <r>
          <rPr>
            <sz val="10"/>
            <color rgb="FF000000"/>
            <rFont val="Arial"/>
            <scheme val="minor"/>
          </rPr>
          <t>Responder updated this value.</t>
        </r>
      </text>
    </comment>
    <comment ref="O117" authorId="0" shapeId="0" xr:uid="{00000000-0006-0000-0300-0000930A0000}">
      <text>
        <r>
          <rPr>
            <sz val="10"/>
            <color rgb="FF000000"/>
            <rFont val="Arial"/>
            <scheme val="minor"/>
          </rPr>
          <t>Responder updated this value.</t>
        </r>
      </text>
    </comment>
    <comment ref="P117" authorId="0" shapeId="0" xr:uid="{00000000-0006-0000-0300-0000940A0000}">
      <text>
        <r>
          <rPr>
            <sz val="10"/>
            <color rgb="FF000000"/>
            <rFont val="Arial"/>
            <scheme val="minor"/>
          </rPr>
          <t>Responder updated this value.</t>
        </r>
      </text>
    </comment>
    <comment ref="Q117" authorId="0" shapeId="0" xr:uid="{00000000-0006-0000-0300-0000950A0000}">
      <text>
        <r>
          <rPr>
            <sz val="10"/>
            <color rgb="FF000000"/>
            <rFont val="Arial"/>
            <scheme val="minor"/>
          </rPr>
          <t>Responder updated this value.</t>
        </r>
      </text>
    </comment>
    <comment ref="S117" authorId="0" shapeId="0" xr:uid="{00000000-0006-0000-0300-0000960A0000}">
      <text>
        <r>
          <rPr>
            <sz val="10"/>
            <color rgb="FF000000"/>
            <rFont val="Arial"/>
            <scheme val="minor"/>
          </rPr>
          <t>Responder updated this value.</t>
        </r>
      </text>
    </comment>
    <comment ref="T117" authorId="0" shapeId="0" xr:uid="{00000000-0006-0000-0300-0000970A0000}">
      <text>
        <r>
          <rPr>
            <sz val="10"/>
            <color rgb="FF000000"/>
            <rFont val="Arial"/>
            <scheme val="minor"/>
          </rPr>
          <t>Responder updated this value.</t>
        </r>
      </text>
    </comment>
    <comment ref="U117" authorId="0" shapeId="0" xr:uid="{00000000-0006-0000-0300-0000980A0000}">
      <text>
        <r>
          <rPr>
            <sz val="10"/>
            <color rgb="FF000000"/>
            <rFont val="Arial"/>
            <scheme val="minor"/>
          </rPr>
          <t>Responder updated this value.</t>
        </r>
      </text>
    </comment>
    <comment ref="V117" authorId="0" shapeId="0" xr:uid="{00000000-0006-0000-0300-0000990A0000}">
      <text>
        <r>
          <rPr>
            <sz val="10"/>
            <color rgb="FF000000"/>
            <rFont val="Arial"/>
            <scheme val="minor"/>
          </rPr>
          <t>Responder updated this value.</t>
        </r>
      </text>
    </comment>
    <comment ref="X117" authorId="0" shapeId="0" xr:uid="{00000000-0006-0000-0300-00009A0A0000}">
      <text>
        <r>
          <rPr>
            <sz val="10"/>
            <color rgb="FF000000"/>
            <rFont val="Arial"/>
            <scheme val="minor"/>
          </rPr>
          <t>Responder updated this value.</t>
        </r>
      </text>
    </comment>
    <comment ref="Y117" authorId="0" shapeId="0" xr:uid="{00000000-0006-0000-0300-00009B0A0000}">
      <text>
        <r>
          <rPr>
            <sz val="10"/>
            <color rgb="FF000000"/>
            <rFont val="Arial"/>
            <scheme val="minor"/>
          </rPr>
          <t>Responder updated this value.</t>
        </r>
      </text>
    </comment>
    <comment ref="Z117" authorId="0" shapeId="0" xr:uid="{00000000-0006-0000-0300-00009C0A0000}">
      <text>
        <r>
          <rPr>
            <sz val="10"/>
            <color rgb="FF000000"/>
            <rFont val="Arial"/>
            <scheme val="minor"/>
          </rPr>
          <t>Responder updated this value.</t>
        </r>
      </text>
    </comment>
    <comment ref="AC117" authorId="0" shapeId="0" xr:uid="{00000000-0006-0000-0300-00009D0A0000}">
      <text>
        <r>
          <rPr>
            <sz val="10"/>
            <color rgb="FF000000"/>
            <rFont val="Arial"/>
            <scheme val="minor"/>
          </rPr>
          <t>Responder updated this value.</t>
        </r>
      </text>
    </comment>
    <comment ref="AD117" authorId="0" shapeId="0" xr:uid="{00000000-0006-0000-0300-00009E0A0000}">
      <text>
        <r>
          <rPr>
            <sz val="10"/>
            <color rgb="FF000000"/>
            <rFont val="Arial"/>
            <scheme val="minor"/>
          </rPr>
          <t>Responder updated this value.</t>
        </r>
      </text>
    </comment>
    <comment ref="AE117" authorId="0" shapeId="0" xr:uid="{00000000-0006-0000-0300-00009F0A0000}">
      <text>
        <r>
          <rPr>
            <sz val="10"/>
            <color rgb="FF000000"/>
            <rFont val="Arial"/>
            <scheme val="minor"/>
          </rPr>
          <t>Responder updated this value.</t>
        </r>
      </text>
    </comment>
    <comment ref="AF117" authorId="0" shapeId="0" xr:uid="{00000000-0006-0000-0300-0000A00A0000}">
      <text>
        <r>
          <rPr>
            <sz val="10"/>
            <color rgb="FF000000"/>
            <rFont val="Arial"/>
            <scheme val="minor"/>
          </rPr>
          <t>Responder updated this value.</t>
        </r>
      </text>
    </comment>
    <comment ref="AG117" authorId="0" shapeId="0" xr:uid="{00000000-0006-0000-0300-0000A10A0000}">
      <text>
        <r>
          <rPr>
            <sz val="10"/>
            <color rgb="FF000000"/>
            <rFont val="Arial"/>
            <scheme val="minor"/>
          </rPr>
          <t>Responder updated this value.</t>
        </r>
      </text>
    </comment>
    <comment ref="AH117" authorId="0" shapeId="0" xr:uid="{00000000-0006-0000-0300-0000A20A0000}">
      <text>
        <r>
          <rPr>
            <sz val="10"/>
            <color rgb="FF000000"/>
            <rFont val="Arial"/>
            <scheme val="minor"/>
          </rPr>
          <t>Responder updated this value.</t>
        </r>
      </text>
    </comment>
    <comment ref="AI117" authorId="0" shapeId="0" xr:uid="{00000000-0006-0000-0300-0000A30A0000}">
      <text>
        <r>
          <rPr>
            <sz val="10"/>
            <color rgb="FF000000"/>
            <rFont val="Arial"/>
            <scheme val="minor"/>
          </rPr>
          <t>Responder updated this value.</t>
        </r>
      </text>
    </comment>
    <comment ref="AJ117" authorId="0" shapeId="0" xr:uid="{00000000-0006-0000-0300-0000A40A0000}">
      <text>
        <r>
          <rPr>
            <sz val="10"/>
            <color rgb="FF000000"/>
            <rFont val="Arial"/>
            <scheme val="minor"/>
          </rPr>
          <t>Responder updated this value.</t>
        </r>
      </text>
    </comment>
    <comment ref="AK117" authorId="0" shapeId="0" xr:uid="{00000000-0006-0000-0300-0000A50A0000}">
      <text>
        <r>
          <rPr>
            <sz val="10"/>
            <color rgb="FF000000"/>
            <rFont val="Arial"/>
            <scheme val="minor"/>
          </rPr>
          <t>Responder updated this value.</t>
        </r>
      </text>
    </comment>
    <comment ref="AL117" authorId="0" shapeId="0" xr:uid="{00000000-0006-0000-0300-0000A60A0000}">
      <text>
        <r>
          <rPr>
            <sz val="10"/>
            <color rgb="FF000000"/>
            <rFont val="Arial"/>
            <scheme val="minor"/>
          </rPr>
          <t>Responder updated this value.</t>
        </r>
      </text>
    </comment>
    <comment ref="AM117" authorId="0" shapeId="0" xr:uid="{00000000-0006-0000-0300-0000A70A0000}">
      <text>
        <r>
          <rPr>
            <sz val="10"/>
            <color rgb="FF000000"/>
            <rFont val="Arial"/>
            <scheme val="minor"/>
          </rPr>
          <t>Responder updated this value.</t>
        </r>
      </text>
    </comment>
    <comment ref="AN117" authorId="0" shapeId="0" xr:uid="{00000000-0006-0000-0300-0000A80A0000}">
      <text>
        <r>
          <rPr>
            <sz val="10"/>
            <color rgb="FF000000"/>
            <rFont val="Arial"/>
            <scheme val="minor"/>
          </rPr>
          <t>Responder updated this value.</t>
        </r>
      </text>
    </comment>
    <comment ref="AO117" authorId="0" shapeId="0" xr:uid="{00000000-0006-0000-0300-0000A90A0000}">
      <text>
        <r>
          <rPr>
            <sz val="10"/>
            <color rgb="FF000000"/>
            <rFont val="Arial"/>
            <scheme val="minor"/>
          </rPr>
          <t>Responder updated this value.</t>
        </r>
      </text>
    </comment>
    <comment ref="AP117" authorId="0" shapeId="0" xr:uid="{00000000-0006-0000-0300-0000AA0A0000}">
      <text>
        <r>
          <rPr>
            <sz val="10"/>
            <color rgb="FF000000"/>
            <rFont val="Arial"/>
            <scheme val="minor"/>
          </rPr>
          <t>Responder updated this value.</t>
        </r>
      </text>
    </comment>
    <comment ref="AQ117" authorId="0" shapeId="0" xr:uid="{00000000-0006-0000-0300-0000AB0A0000}">
      <text>
        <r>
          <rPr>
            <sz val="10"/>
            <color rgb="FF000000"/>
            <rFont val="Arial"/>
            <scheme val="minor"/>
          </rPr>
          <t>Responder updated this value.</t>
        </r>
      </text>
    </comment>
    <comment ref="AR117" authorId="0" shapeId="0" xr:uid="{00000000-0006-0000-0300-0000AC0A0000}">
      <text>
        <r>
          <rPr>
            <sz val="10"/>
            <color rgb="FF000000"/>
            <rFont val="Arial"/>
            <scheme val="minor"/>
          </rPr>
          <t>Responder updated this value.</t>
        </r>
      </text>
    </comment>
    <comment ref="AS117" authorId="0" shapeId="0" xr:uid="{00000000-0006-0000-0300-0000AD0A0000}">
      <text>
        <r>
          <rPr>
            <sz val="10"/>
            <color rgb="FF000000"/>
            <rFont val="Arial"/>
            <scheme val="minor"/>
          </rPr>
          <t>Responder updated this value.</t>
        </r>
      </text>
    </comment>
    <comment ref="AT117" authorId="0" shapeId="0" xr:uid="{00000000-0006-0000-0300-0000AE0A0000}">
      <text>
        <r>
          <rPr>
            <sz val="10"/>
            <color rgb="FF000000"/>
            <rFont val="Arial"/>
            <scheme val="minor"/>
          </rPr>
          <t>Responder updated this value.</t>
        </r>
      </text>
    </comment>
    <comment ref="AU117" authorId="0" shapeId="0" xr:uid="{00000000-0006-0000-0300-0000AF0A0000}">
      <text>
        <r>
          <rPr>
            <sz val="10"/>
            <color rgb="FF000000"/>
            <rFont val="Arial"/>
            <scheme val="minor"/>
          </rPr>
          <t>Responder updated this value.</t>
        </r>
      </text>
    </comment>
    <comment ref="D118" authorId="0" shapeId="0" xr:uid="{00000000-0006-0000-0300-0000B00A0000}">
      <text>
        <r>
          <rPr>
            <sz val="10"/>
            <color rgb="FF000000"/>
            <rFont val="Arial"/>
            <scheme val="minor"/>
          </rPr>
          <t>Responder updated this value.</t>
        </r>
      </text>
    </comment>
    <comment ref="N118" authorId="0" shapeId="0" xr:uid="{00000000-0006-0000-0300-0000B10A0000}">
      <text>
        <r>
          <rPr>
            <sz val="10"/>
            <color rgb="FF000000"/>
            <rFont val="Arial"/>
            <scheme val="minor"/>
          </rPr>
          <t>Responder updated this value.</t>
        </r>
      </text>
    </comment>
    <comment ref="Q118" authorId="0" shapeId="0" xr:uid="{00000000-0006-0000-0300-0000B20A0000}">
      <text>
        <r>
          <rPr>
            <sz val="10"/>
            <color rgb="FF000000"/>
            <rFont val="Arial"/>
            <scheme val="minor"/>
          </rPr>
          <t>Responder updated this value.</t>
        </r>
      </text>
    </comment>
    <comment ref="R118" authorId="0" shapeId="0" xr:uid="{00000000-0006-0000-0300-0000B30A0000}">
      <text>
        <r>
          <rPr>
            <sz val="10"/>
            <color rgb="FF000000"/>
            <rFont val="Arial"/>
            <scheme val="minor"/>
          </rPr>
          <t>Responder updated this value.</t>
        </r>
      </text>
    </comment>
    <comment ref="S118" authorId="0" shapeId="0" xr:uid="{00000000-0006-0000-0300-0000B40A0000}">
      <text>
        <r>
          <rPr>
            <sz val="10"/>
            <color rgb="FF000000"/>
            <rFont val="Arial"/>
            <scheme val="minor"/>
          </rPr>
          <t>Responder updated this value.</t>
        </r>
      </text>
    </comment>
    <comment ref="X118" authorId="0" shapeId="0" xr:uid="{00000000-0006-0000-0300-0000B50A0000}">
      <text>
        <r>
          <rPr>
            <sz val="10"/>
            <color rgb="FF000000"/>
            <rFont val="Arial"/>
            <scheme val="minor"/>
          </rPr>
          <t>Responder updated this value.</t>
        </r>
      </text>
    </comment>
    <comment ref="Y118" authorId="0" shapeId="0" xr:uid="{00000000-0006-0000-0300-0000B60A0000}">
      <text>
        <r>
          <rPr>
            <sz val="10"/>
            <color rgb="FF000000"/>
            <rFont val="Arial"/>
            <scheme val="minor"/>
          </rPr>
          <t>Responder updated this value.</t>
        </r>
      </text>
    </comment>
    <comment ref="Z118" authorId="0" shapeId="0" xr:uid="{00000000-0006-0000-0300-0000B70A0000}">
      <text>
        <r>
          <rPr>
            <sz val="10"/>
            <color rgb="FF000000"/>
            <rFont val="Arial"/>
            <scheme val="minor"/>
          </rPr>
          <t>Responder updated this value.</t>
        </r>
      </text>
    </comment>
    <comment ref="AC118" authorId="0" shapeId="0" xr:uid="{00000000-0006-0000-0300-0000B80A0000}">
      <text>
        <r>
          <rPr>
            <sz val="10"/>
            <color rgb="FF000000"/>
            <rFont val="Arial"/>
            <scheme val="minor"/>
          </rPr>
          <t>Responder updated this value.</t>
        </r>
      </text>
    </comment>
    <comment ref="AD118" authorId="0" shapeId="0" xr:uid="{00000000-0006-0000-0300-0000B90A0000}">
      <text>
        <r>
          <rPr>
            <sz val="10"/>
            <color rgb="FF000000"/>
            <rFont val="Arial"/>
            <scheme val="minor"/>
          </rPr>
          <t>Responder updated this value.</t>
        </r>
      </text>
    </comment>
    <comment ref="AE118" authorId="0" shapeId="0" xr:uid="{00000000-0006-0000-0300-0000BA0A0000}">
      <text>
        <r>
          <rPr>
            <sz val="10"/>
            <color rgb="FF000000"/>
            <rFont val="Arial"/>
            <scheme val="minor"/>
          </rPr>
          <t>Responder updated this value.</t>
        </r>
      </text>
    </comment>
    <comment ref="AF118" authorId="0" shapeId="0" xr:uid="{00000000-0006-0000-0300-0000BB0A0000}">
      <text>
        <r>
          <rPr>
            <sz val="10"/>
            <color rgb="FF000000"/>
            <rFont val="Arial"/>
            <scheme val="minor"/>
          </rPr>
          <t>Responder updated this value.</t>
        </r>
      </text>
    </comment>
    <comment ref="AG118" authorId="0" shapeId="0" xr:uid="{00000000-0006-0000-0300-0000BC0A0000}">
      <text>
        <r>
          <rPr>
            <sz val="10"/>
            <color rgb="FF000000"/>
            <rFont val="Arial"/>
            <scheme val="minor"/>
          </rPr>
          <t>Responder updated this value.</t>
        </r>
      </text>
    </comment>
    <comment ref="AH118" authorId="0" shapeId="0" xr:uid="{00000000-0006-0000-0300-0000BD0A0000}">
      <text>
        <r>
          <rPr>
            <sz val="10"/>
            <color rgb="FF000000"/>
            <rFont val="Arial"/>
            <scheme val="minor"/>
          </rPr>
          <t>Responder updated this value.</t>
        </r>
      </text>
    </comment>
    <comment ref="AK118" authorId="0" shapeId="0" xr:uid="{00000000-0006-0000-0300-0000BE0A0000}">
      <text>
        <r>
          <rPr>
            <sz val="10"/>
            <color rgb="FF000000"/>
            <rFont val="Arial"/>
            <scheme val="minor"/>
          </rPr>
          <t>Responder updated this value.</t>
        </r>
      </text>
    </comment>
    <comment ref="AL118" authorId="0" shapeId="0" xr:uid="{00000000-0006-0000-0300-0000BF0A0000}">
      <text>
        <r>
          <rPr>
            <sz val="10"/>
            <color rgb="FF000000"/>
            <rFont val="Arial"/>
            <scheme val="minor"/>
          </rPr>
          <t>Responder updated this value.</t>
        </r>
      </text>
    </comment>
    <comment ref="AM118" authorId="0" shapeId="0" xr:uid="{00000000-0006-0000-0300-0000C00A0000}">
      <text>
        <r>
          <rPr>
            <sz val="10"/>
            <color rgb="FF000000"/>
            <rFont val="Arial"/>
            <scheme val="minor"/>
          </rPr>
          <t>Responder updated this value.</t>
        </r>
      </text>
    </comment>
    <comment ref="AN118" authorId="0" shapeId="0" xr:uid="{00000000-0006-0000-0300-0000C10A0000}">
      <text>
        <r>
          <rPr>
            <sz val="10"/>
            <color rgb="FF000000"/>
            <rFont val="Arial"/>
            <scheme val="minor"/>
          </rPr>
          <t>Responder updated this value.</t>
        </r>
      </text>
    </comment>
    <comment ref="AO118" authorId="0" shapeId="0" xr:uid="{00000000-0006-0000-0300-0000C20A0000}">
      <text>
        <r>
          <rPr>
            <sz val="10"/>
            <color rgb="FF000000"/>
            <rFont val="Arial"/>
            <scheme val="minor"/>
          </rPr>
          <t>Responder updated this value.</t>
        </r>
      </text>
    </comment>
    <comment ref="AP118" authorId="0" shapeId="0" xr:uid="{00000000-0006-0000-0300-0000C30A0000}">
      <text>
        <r>
          <rPr>
            <sz val="10"/>
            <color rgb="FF000000"/>
            <rFont val="Arial"/>
            <scheme val="minor"/>
          </rPr>
          <t>Responder updated this value.</t>
        </r>
      </text>
    </comment>
    <comment ref="AQ118" authorId="0" shapeId="0" xr:uid="{00000000-0006-0000-0300-0000C40A0000}">
      <text>
        <r>
          <rPr>
            <sz val="10"/>
            <color rgb="FF000000"/>
            <rFont val="Arial"/>
            <scheme val="minor"/>
          </rPr>
          <t>Responder updated this value.</t>
        </r>
      </text>
    </comment>
    <comment ref="AR118" authorId="0" shapeId="0" xr:uid="{00000000-0006-0000-0300-0000C50A0000}">
      <text>
        <r>
          <rPr>
            <sz val="10"/>
            <color rgb="FF000000"/>
            <rFont val="Arial"/>
            <scheme val="minor"/>
          </rPr>
          <t>Responder updated this value.</t>
        </r>
      </text>
    </comment>
    <comment ref="AS118" authorId="0" shapeId="0" xr:uid="{00000000-0006-0000-0300-0000C60A0000}">
      <text>
        <r>
          <rPr>
            <sz val="10"/>
            <color rgb="FF000000"/>
            <rFont val="Arial"/>
            <scheme val="minor"/>
          </rPr>
          <t>Responder updated this value.</t>
        </r>
      </text>
    </comment>
    <comment ref="AU118" authorId="0" shapeId="0" xr:uid="{00000000-0006-0000-0300-0000C70A0000}">
      <text>
        <r>
          <rPr>
            <sz val="10"/>
            <color rgb="FF000000"/>
            <rFont val="Arial"/>
            <scheme val="minor"/>
          </rPr>
          <t>Responder updated this value.</t>
        </r>
      </text>
    </comment>
    <comment ref="D119" authorId="0" shapeId="0" xr:uid="{00000000-0006-0000-0300-0000C80A0000}">
      <text>
        <r>
          <rPr>
            <sz val="10"/>
            <color rgb="FF000000"/>
            <rFont val="Arial"/>
            <scheme val="minor"/>
          </rPr>
          <t>Responder updated this value.</t>
        </r>
      </text>
    </comment>
    <comment ref="N119" authorId="0" shapeId="0" xr:uid="{00000000-0006-0000-0300-0000C90A0000}">
      <text>
        <r>
          <rPr>
            <sz val="10"/>
            <color rgb="FF000000"/>
            <rFont val="Arial"/>
            <scheme val="minor"/>
          </rPr>
          <t>Responder updated this value.</t>
        </r>
      </text>
    </comment>
    <comment ref="O119" authorId="0" shapeId="0" xr:uid="{00000000-0006-0000-0300-0000CA0A0000}">
      <text>
        <r>
          <rPr>
            <sz val="10"/>
            <color rgb="FF000000"/>
            <rFont val="Arial"/>
            <scheme val="minor"/>
          </rPr>
          <t>Responder updated this value.</t>
        </r>
      </text>
    </comment>
    <comment ref="P119" authorId="0" shapeId="0" xr:uid="{00000000-0006-0000-0300-0000CB0A0000}">
      <text>
        <r>
          <rPr>
            <sz val="10"/>
            <color rgb="FF000000"/>
            <rFont val="Arial"/>
            <scheme val="minor"/>
          </rPr>
          <t>Responder updated this value.</t>
        </r>
      </text>
    </comment>
    <comment ref="Q119" authorId="0" shapeId="0" xr:uid="{00000000-0006-0000-0300-0000CC0A0000}">
      <text>
        <r>
          <rPr>
            <sz val="10"/>
            <color rgb="FF000000"/>
            <rFont val="Arial"/>
            <scheme val="minor"/>
          </rPr>
          <t>Responder updated this value.</t>
        </r>
      </text>
    </comment>
    <comment ref="S119" authorId="0" shapeId="0" xr:uid="{00000000-0006-0000-0300-0000CD0A0000}">
      <text>
        <r>
          <rPr>
            <sz val="10"/>
            <color rgb="FF000000"/>
            <rFont val="Arial"/>
            <scheme val="minor"/>
          </rPr>
          <t>Responder updated this value.</t>
        </r>
      </text>
    </comment>
    <comment ref="T119" authorId="0" shapeId="0" xr:uid="{00000000-0006-0000-0300-0000CE0A0000}">
      <text>
        <r>
          <rPr>
            <sz val="10"/>
            <color rgb="FF000000"/>
            <rFont val="Arial"/>
            <scheme val="minor"/>
          </rPr>
          <t>Responder updated this value.</t>
        </r>
      </text>
    </comment>
    <comment ref="U119" authorId="0" shapeId="0" xr:uid="{00000000-0006-0000-0300-0000CF0A0000}">
      <text>
        <r>
          <rPr>
            <sz val="10"/>
            <color rgb="FF000000"/>
            <rFont val="Arial"/>
            <scheme val="minor"/>
          </rPr>
          <t>Responder updated this value.</t>
        </r>
      </text>
    </comment>
    <comment ref="W119" authorId="0" shapeId="0" xr:uid="{00000000-0006-0000-0300-0000D00A0000}">
      <text>
        <r>
          <rPr>
            <sz val="10"/>
            <color rgb="FF000000"/>
            <rFont val="Arial"/>
            <scheme val="minor"/>
          </rPr>
          <t>Responder updated this value.</t>
        </r>
      </text>
    </comment>
    <comment ref="X119" authorId="0" shapeId="0" xr:uid="{00000000-0006-0000-0300-0000D10A0000}">
      <text>
        <r>
          <rPr>
            <sz val="10"/>
            <color rgb="FF000000"/>
            <rFont val="Arial"/>
            <scheme val="minor"/>
          </rPr>
          <t>Responder updated this value.</t>
        </r>
      </text>
    </comment>
    <comment ref="Y119" authorId="0" shapeId="0" xr:uid="{00000000-0006-0000-0300-0000D20A0000}">
      <text>
        <r>
          <rPr>
            <sz val="10"/>
            <color rgb="FF000000"/>
            <rFont val="Arial"/>
            <scheme val="minor"/>
          </rPr>
          <t>Responder updated this value.</t>
        </r>
      </text>
    </comment>
    <comment ref="Z119" authorId="0" shapeId="0" xr:uid="{00000000-0006-0000-0300-0000D30A0000}">
      <text>
        <r>
          <rPr>
            <sz val="10"/>
            <color rgb="FF000000"/>
            <rFont val="Arial"/>
            <scheme val="minor"/>
          </rPr>
          <t>Responder updated this value.</t>
        </r>
      </text>
    </comment>
    <comment ref="AC119" authorId="0" shapeId="0" xr:uid="{00000000-0006-0000-0300-0000D40A0000}">
      <text>
        <r>
          <rPr>
            <sz val="10"/>
            <color rgb="FF000000"/>
            <rFont val="Arial"/>
            <scheme val="minor"/>
          </rPr>
          <t>Responder updated this value.</t>
        </r>
      </text>
    </comment>
    <comment ref="AD119" authorId="0" shapeId="0" xr:uid="{00000000-0006-0000-0300-0000D50A0000}">
      <text>
        <r>
          <rPr>
            <sz val="10"/>
            <color rgb="FF000000"/>
            <rFont val="Arial"/>
            <scheme val="minor"/>
          </rPr>
          <t>Responder updated this value.</t>
        </r>
      </text>
    </comment>
    <comment ref="AM119" authorId="0" shapeId="0" xr:uid="{00000000-0006-0000-0300-0000D60A0000}">
      <text>
        <r>
          <rPr>
            <sz val="10"/>
            <color rgb="FF000000"/>
            <rFont val="Arial"/>
            <scheme val="minor"/>
          </rPr>
          <t>Responder updated this value.</t>
        </r>
      </text>
    </comment>
    <comment ref="AN119" authorId="0" shapeId="0" xr:uid="{00000000-0006-0000-0300-0000D70A0000}">
      <text>
        <r>
          <rPr>
            <sz val="10"/>
            <color rgb="FF000000"/>
            <rFont val="Arial"/>
            <scheme val="minor"/>
          </rPr>
          <t>Responder updated this value.</t>
        </r>
      </text>
    </comment>
    <comment ref="AO119" authorId="0" shapeId="0" xr:uid="{00000000-0006-0000-0300-0000D80A0000}">
      <text>
        <r>
          <rPr>
            <sz val="10"/>
            <color rgb="FF000000"/>
            <rFont val="Arial"/>
            <scheme val="minor"/>
          </rPr>
          <t>Responder updated this value.</t>
        </r>
      </text>
    </comment>
    <comment ref="AP119" authorId="0" shapeId="0" xr:uid="{00000000-0006-0000-0300-0000D90A0000}">
      <text>
        <r>
          <rPr>
            <sz val="10"/>
            <color rgb="FF000000"/>
            <rFont val="Arial"/>
            <scheme val="minor"/>
          </rPr>
          <t>Responder updated this value.</t>
        </r>
      </text>
    </comment>
    <comment ref="AQ119" authorId="0" shapeId="0" xr:uid="{00000000-0006-0000-0300-0000DA0A0000}">
      <text>
        <r>
          <rPr>
            <sz val="10"/>
            <color rgb="FF000000"/>
            <rFont val="Arial"/>
            <scheme val="minor"/>
          </rPr>
          <t>Responder updated this value.</t>
        </r>
      </text>
    </comment>
    <comment ref="AR119" authorId="0" shapeId="0" xr:uid="{00000000-0006-0000-0300-0000DB0A0000}">
      <text>
        <r>
          <rPr>
            <sz val="10"/>
            <color rgb="FF000000"/>
            <rFont val="Arial"/>
            <scheme val="minor"/>
          </rPr>
          <t>Responder updated this value.</t>
        </r>
      </text>
    </comment>
    <comment ref="AU119" authorId="0" shapeId="0" xr:uid="{00000000-0006-0000-0300-0000DC0A0000}">
      <text>
        <r>
          <rPr>
            <sz val="10"/>
            <color rgb="FF000000"/>
            <rFont val="Arial"/>
            <scheme val="minor"/>
          </rPr>
          <t>Responder updated this value.</t>
        </r>
      </text>
    </comment>
    <comment ref="D120" authorId="0" shapeId="0" xr:uid="{00000000-0006-0000-0300-0000DD0A0000}">
      <text>
        <r>
          <rPr>
            <sz val="10"/>
            <color rgb="FF000000"/>
            <rFont val="Arial"/>
            <scheme val="minor"/>
          </rPr>
          <t>Responder updated this value.</t>
        </r>
      </text>
    </comment>
    <comment ref="F120" authorId="0" shapeId="0" xr:uid="{00000000-0006-0000-0300-0000DE0A0000}">
      <text>
        <r>
          <rPr>
            <sz val="10"/>
            <color rgb="FF000000"/>
            <rFont val="Arial"/>
            <scheme val="minor"/>
          </rPr>
          <t>Responder updated this value.</t>
        </r>
      </text>
    </comment>
    <comment ref="P120" authorId="0" shapeId="0" xr:uid="{00000000-0006-0000-0300-0000DF0A0000}">
      <text>
        <r>
          <rPr>
            <sz val="10"/>
            <color rgb="FF000000"/>
            <rFont val="Arial"/>
            <scheme val="minor"/>
          </rPr>
          <t>Responder updated this value.</t>
        </r>
      </text>
    </comment>
    <comment ref="S120" authorId="0" shapeId="0" xr:uid="{00000000-0006-0000-0300-0000E00A0000}">
      <text>
        <r>
          <rPr>
            <sz val="10"/>
            <color rgb="FF000000"/>
            <rFont val="Arial"/>
            <scheme val="minor"/>
          </rPr>
          <t>Responder updated this value.</t>
        </r>
      </text>
    </comment>
    <comment ref="AC120" authorId="0" shapeId="0" xr:uid="{00000000-0006-0000-0300-0000E10A0000}">
      <text>
        <r>
          <rPr>
            <sz val="10"/>
            <color rgb="FF000000"/>
            <rFont val="Arial"/>
            <scheme val="minor"/>
          </rPr>
          <t>Responder updated this value.</t>
        </r>
      </text>
    </comment>
    <comment ref="AD120" authorId="0" shapeId="0" xr:uid="{00000000-0006-0000-0300-0000E20A0000}">
      <text>
        <r>
          <rPr>
            <sz val="10"/>
            <color rgb="FF000000"/>
            <rFont val="Arial"/>
            <scheme val="minor"/>
          </rPr>
          <t>Responder updated this value.</t>
        </r>
      </text>
    </comment>
    <comment ref="AE120" authorId="0" shapeId="0" xr:uid="{00000000-0006-0000-0300-0000E30A0000}">
      <text>
        <r>
          <rPr>
            <sz val="10"/>
            <color rgb="FF000000"/>
            <rFont val="Arial"/>
            <scheme val="minor"/>
          </rPr>
          <t>Responder updated this value.</t>
        </r>
      </text>
    </comment>
    <comment ref="AG120" authorId="0" shapeId="0" xr:uid="{00000000-0006-0000-0300-0000E40A0000}">
      <text>
        <r>
          <rPr>
            <sz val="10"/>
            <color rgb="FF000000"/>
            <rFont val="Arial"/>
            <scheme val="minor"/>
          </rPr>
          <t>Responder updated this value.</t>
        </r>
      </text>
    </comment>
    <comment ref="AK120" authorId="0" shapeId="0" xr:uid="{00000000-0006-0000-0300-0000E50A0000}">
      <text>
        <r>
          <rPr>
            <sz val="10"/>
            <color rgb="FF000000"/>
            <rFont val="Arial"/>
            <scheme val="minor"/>
          </rPr>
          <t>Responder updated this value.</t>
        </r>
      </text>
    </comment>
    <comment ref="AL120" authorId="0" shapeId="0" xr:uid="{00000000-0006-0000-0300-0000E60A0000}">
      <text>
        <r>
          <rPr>
            <sz val="10"/>
            <color rgb="FF000000"/>
            <rFont val="Arial"/>
            <scheme val="minor"/>
          </rPr>
          <t>Responder updated this value.</t>
        </r>
      </text>
    </comment>
    <comment ref="AM120" authorId="0" shapeId="0" xr:uid="{00000000-0006-0000-0300-0000E70A0000}">
      <text>
        <r>
          <rPr>
            <sz val="10"/>
            <color rgb="FF000000"/>
            <rFont val="Arial"/>
            <scheme val="minor"/>
          </rPr>
          <t>Responder updated this value.</t>
        </r>
      </text>
    </comment>
    <comment ref="AN120" authorId="0" shapeId="0" xr:uid="{00000000-0006-0000-0300-0000E80A0000}">
      <text>
        <r>
          <rPr>
            <sz val="10"/>
            <color rgb="FF000000"/>
            <rFont val="Arial"/>
            <scheme val="minor"/>
          </rPr>
          <t>Responder updated this value.</t>
        </r>
      </text>
    </comment>
    <comment ref="AO120" authorId="0" shapeId="0" xr:uid="{00000000-0006-0000-0300-0000E90A0000}">
      <text>
        <r>
          <rPr>
            <sz val="10"/>
            <color rgb="FF000000"/>
            <rFont val="Arial"/>
            <scheme val="minor"/>
          </rPr>
          <t>Responder updated this value.</t>
        </r>
      </text>
    </comment>
    <comment ref="AP120" authorId="0" shapeId="0" xr:uid="{00000000-0006-0000-0300-0000EA0A0000}">
      <text>
        <r>
          <rPr>
            <sz val="10"/>
            <color rgb="FF000000"/>
            <rFont val="Arial"/>
            <scheme val="minor"/>
          </rPr>
          <t>Responder updated this value.</t>
        </r>
      </text>
    </comment>
    <comment ref="AQ120" authorId="0" shapeId="0" xr:uid="{00000000-0006-0000-0300-0000EB0A0000}">
      <text>
        <r>
          <rPr>
            <sz val="10"/>
            <color rgb="FF000000"/>
            <rFont val="Arial"/>
            <scheme val="minor"/>
          </rPr>
          <t>Responder updated this value.</t>
        </r>
      </text>
    </comment>
    <comment ref="AR120" authorId="0" shapeId="0" xr:uid="{00000000-0006-0000-0300-0000EC0A0000}">
      <text>
        <r>
          <rPr>
            <sz val="10"/>
            <color rgb="FF000000"/>
            <rFont val="Arial"/>
            <scheme val="minor"/>
          </rPr>
          <t>Responder updated this value.</t>
        </r>
      </text>
    </comment>
    <comment ref="AU120" authorId="0" shapeId="0" xr:uid="{00000000-0006-0000-0300-0000ED0A0000}">
      <text>
        <r>
          <rPr>
            <sz val="10"/>
            <color rgb="FF000000"/>
            <rFont val="Arial"/>
            <scheme val="minor"/>
          </rPr>
          <t>Responder updated this value.</t>
        </r>
      </text>
    </comment>
    <comment ref="D121" authorId="0" shapeId="0" xr:uid="{00000000-0006-0000-0300-0000EE0A0000}">
      <text>
        <r>
          <rPr>
            <sz val="10"/>
            <color rgb="FF000000"/>
            <rFont val="Arial"/>
            <scheme val="minor"/>
          </rPr>
          <t>Responder updated this value.</t>
        </r>
      </text>
    </comment>
    <comment ref="F121" authorId="0" shapeId="0" xr:uid="{00000000-0006-0000-0300-0000EF0A0000}">
      <text>
        <r>
          <rPr>
            <sz val="10"/>
            <color rgb="FF000000"/>
            <rFont val="Arial"/>
            <scheme val="minor"/>
          </rPr>
          <t>Responder updated this value.</t>
        </r>
      </text>
    </comment>
    <comment ref="N121" authorId="0" shapeId="0" xr:uid="{00000000-0006-0000-0300-0000F00A0000}">
      <text>
        <r>
          <rPr>
            <sz val="10"/>
            <color rgb="FF000000"/>
            <rFont val="Arial"/>
            <scheme val="minor"/>
          </rPr>
          <t>Responder updated this value.</t>
        </r>
      </text>
    </comment>
    <comment ref="P121" authorId="0" shapeId="0" xr:uid="{00000000-0006-0000-0300-0000F10A0000}">
      <text>
        <r>
          <rPr>
            <sz val="10"/>
            <color rgb="FF000000"/>
            <rFont val="Arial"/>
            <scheme val="minor"/>
          </rPr>
          <t>Responder updated this value.</t>
        </r>
      </text>
    </comment>
    <comment ref="S121" authorId="0" shapeId="0" xr:uid="{00000000-0006-0000-0300-0000F20A0000}">
      <text>
        <r>
          <rPr>
            <sz val="10"/>
            <color rgb="FF000000"/>
            <rFont val="Arial"/>
            <scheme val="minor"/>
          </rPr>
          <t>Responder updated this value.</t>
        </r>
      </text>
    </comment>
    <comment ref="AC121" authorId="0" shapeId="0" xr:uid="{00000000-0006-0000-0300-0000F30A0000}">
      <text>
        <r>
          <rPr>
            <sz val="10"/>
            <color rgb="FF000000"/>
            <rFont val="Arial"/>
            <scheme val="minor"/>
          </rPr>
          <t>Responder updated this value.</t>
        </r>
      </text>
    </comment>
    <comment ref="AD121" authorId="0" shapeId="0" xr:uid="{00000000-0006-0000-0300-0000F40A0000}">
      <text>
        <r>
          <rPr>
            <sz val="10"/>
            <color rgb="FF000000"/>
            <rFont val="Arial"/>
            <scheme val="minor"/>
          </rPr>
          <t>Responder updated this value.</t>
        </r>
      </text>
    </comment>
    <comment ref="AE121" authorId="0" shapeId="0" xr:uid="{00000000-0006-0000-0300-0000F50A0000}">
      <text>
        <r>
          <rPr>
            <sz val="10"/>
            <color rgb="FF000000"/>
            <rFont val="Arial"/>
            <scheme val="minor"/>
          </rPr>
          <t>Responder updated this value.</t>
        </r>
      </text>
    </comment>
    <comment ref="AK121" authorId="0" shapeId="0" xr:uid="{00000000-0006-0000-0300-0000F60A0000}">
      <text>
        <r>
          <rPr>
            <sz val="10"/>
            <color rgb="FF000000"/>
            <rFont val="Arial"/>
            <scheme val="minor"/>
          </rPr>
          <t>Responder updated this value.</t>
        </r>
      </text>
    </comment>
    <comment ref="AL121" authorId="0" shapeId="0" xr:uid="{00000000-0006-0000-0300-0000F70A0000}">
      <text>
        <r>
          <rPr>
            <sz val="10"/>
            <color rgb="FF000000"/>
            <rFont val="Arial"/>
            <scheme val="minor"/>
          </rPr>
          <t>Responder updated this value.</t>
        </r>
      </text>
    </comment>
    <comment ref="AM121" authorId="0" shapeId="0" xr:uid="{00000000-0006-0000-0300-0000F80A0000}">
      <text>
        <r>
          <rPr>
            <sz val="10"/>
            <color rgb="FF000000"/>
            <rFont val="Arial"/>
            <scheme val="minor"/>
          </rPr>
          <t>Responder updated this value.</t>
        </r>
      </text>
    </comment>
    <comment ref="AN121" authorId="0" shapeId="0" xr:uid="{00000000-0006-0000-0300-0000F90A0000}">
      <text>
        <r>
          <rPr>
            <sz val="10"/>
            <color rgb="FF000000"/>
            <rFont val="Arial"/>
            <scheme val="minor"/>
          </rPr>
          <t>Responder updated this value.</t>
        </r>
      </text>
    </comment>
    <comment ref="AO121" authorId="0" shapeId="0" xr:uid="{00000000-0006-0000-0300-0000FA0A0000}">
      <text>
        <r>
          <rPr>
            <sz val="10"/>
            <color rgb="FF000000"/>
            <rFont val="Arial"/>
            <scheme val="minor"/>
          </rPr>
          <t>Responder updated this value.</t>
        </r>
      </text>
    </comment>
    <comment ref="AP121" authorId="0" shapeId="0" xr:uid="{00000000-0006-0000-0300-0000FB0A0000}">
      <text>
        <r>
          <rPr>
            <sz val="10"/>
            <color rgb="FF000000"/>
            <rFont val="Arial"/>
            <scheme val="minor"/>
          </rPr>
          <t>Responder updated this value.</t>
        </r>
      </text>
    </comment>
    <comment ref="AQ121" authorId="0" shapeId="0" xr:uid="{00000000-0006-0000-0300-0000FC0A0000}">
      <text>
        <r>
          <rPr>
            <sz val="10"/>
            <color rgb="FF000000"/>
            <rFont val="Arial"/>
            <scheme val="minor"/>
          </rPr>
          <t>Responder updated this value.</t>
        </r>
      </text>
    </comment>
    <comment ref="AR121" authorId="0" shapeId="0" xr:uid="{00000000-0006-0000-0300-0000FD0A0000}">
      <text>
        <r>
          <rPr>
            <sz val="10"/>
            <color rgb="FF000000"/>
            <rFont val="Arial"/>
            <scheme val="minor"/>
          </rPr>
          <t>Responder updated this value.</t>
        </r>
      </text>
    </comment>
    <comment ref="AU121" authorId="0" shapeId="0" xr:uid="{00000000-0006-0000-0300-0000FE0A0000}">
      <text>
        <r>
          <rPr>
            <sz val="10"/>
            <color rgb="FF000000"/>
            <rFont val="Arial"/>
            <scheme val="minor"/>
          </rPr>
          <t>Responder updated this value.</t>
        </r>
      </text>
    </comment>
    <comment ref="D122" authorId="0" shapeId="0" xr:uid="{00000000-0006-0000-0300-0000FF0A0000}">
      <text>
        <r>
          <rPr>
            <sz val="10"/>
            <color rgb="FF000000"/>
            <rFont val="Arial"/>
            <scheme val="minor"/>
          </rPr>
          <t>Responder updated this value.</t>
        </r>
      </text>
    </comment>
    <comment ref="H122" authorId="0" shapeId="0" xr:uid="{00000000-0006-0000-0300-0000000B0000}">
      <text>
        <r>
          <rPr>
            <sz val="10"/>
            <color rgb="FF000000"/>
            <rFont val="Arial"/>
            <scheme val="minor"/>
          </rPr>
          <t>Responder updated this value.</t>
        </r>
      </text>
    </comment>
    <comment ref="J122" authorId="0" shapeId="0" xr:uid="{00000000-0006-0000-0300-0000010B0000}">
      <text>
        <r>
          <rPr>
            <sz val="10"/>
            <color rgb="FF000000"/>
            <rFont val="Arial"/>
            <scheme val="minor"/>
          </rPr>
          <t>Responder updated this value.</t>
        </r>
      </text>
    </comment>
    <comment ref="N122" authorId="0" shapeId="0" xr:uid="{00000000-0006-0000-0300-0000020B0000}">
      <text>
        <r>
          <rPr>
            <sz val="10"/>
            <color rgb="FF000000"/>
            <rFont val="Arial"/>
            <scheme val="minor"/>
          </rPr>
          <t>Responder updated this value.</t>
        </r>
      </text>
    </comment>
    <comment ref="P122" authorId="0" shapeId="0" xr:uid="{00000000-0006-0000-0300-0000030B0000}">
      <text>
        <r>
          <rPr>
            <sz val="10"/>
            <color rgb="FF000000"/>
            <rFont val="Arial"/>
            <scheme val="minor"/>
          </rPr>
          <t>Responder updated this value.</t>
        </r>
      </text>
    </comment>
    <comment ref="S122" authorId="0" shapeId="0" xr:uid="{00000000-0006-0000-0300-0000040B0000}">
      <text>
        <r>
          <rPr>
            <sz val="10"/>
            <color rgb="FF000000"/>
            <rFont val="Arial"/>
            <scheme val="minor"/>
          </rPr>
          <t>Responder updated this value.</t>
        </r>
      </text>
    </comment>
    <comment ref="AC122" authorId="0" shapeId="0" xr:uid="{00000000-0006-0000-0300-0000050B0000}">
      <text>
        <r>
          <rPr>
            <sz val="10"/>
            <color rgb="FF000000"/>
            <rFont val="Arial"/>
            <scheme val="minor"/>
          </rPr>
          <t>Responder updated this value.</t>
        </r>
      </text>
    </comment>
    <comment ref="AD122" authorId="0" shapeId="0" xr:uid="{00000000-0006-0000-0300-0000060B0000}">
      <text>
        <r>
          <rPr>
            <sz val="10"/>
            <color rgb="FF000000"/>
            <rFont val="Arial"/>
            <scheme val="minor"/>
          </rPr>
          <t>Responder updated this value.</t>
        </r>
      </text>
    </comment>
    <comment ref="AE122" authorId="0" shapeId="0" xr:uid="{00000000-0006-0000-0300-0000070B0000}">
      <text>
        <r>
          <rPr>
            <sz val="10"/>
            <color rgb="FF000000"/>
            <rFont val="Arial"/>
            <scheme val="minor"/>
          </rPr>
          <t>Responder updated this value.</t>
        </r>
      </text>
    </comment>
    <comment ref="AK122" authorId="0" shapeId="0" xr:uid="{00000000-0006-0000-0300-0000080B0000}">
      <text>
        <r>
          <rPr>
            <sz val="10"/>
            <color rgb="FF000000"/>
            <rFont val="Arial"/>
            <scheme val="minor"/>
          </rPr>
          <t>Responder updated this value.</t>
        </r>
      </text>
    </comment>
    <comment ref="AL122" authorId="0" shapeId="0" xr:uid="{00000000-0006-0000-0300-0000090B0000}">
      <text>
        <r>
          <rPr>
            <sz val="10"/>
            <color rgb="FF000000"/>
            <rFont val="Arial"/>
            <scheme val="minor"/>
          </rPr>
          <t>Responder updated this value.</t>
        </r>
      </text>
    </comment>
    <comment ref="AM122" authorId="0" shapeId="0" xr:uid="{00000000-0006-0000-0300-00000A0B0000}">
      <text>
        <r>
          <rPr>
            <sz val="10"/>
            <color rgb="FF000000"/>
            <rFont val="Arial"/>
            <scheme val="minor"/>
          </rPr>
          <t>Responder updated this value.</t>
        </r>
      </text>
    </comment>
    <comment ref="AN122" authorId="0" shapeId="0" xr:uid="{00000000-0006-0000-0300-00000B0B0000}">
      <text>
        <r>
          <rPr>
            <sz val="10"/>
            <color rgb="FF000000"/>
            <rFont val="Arial"/>
            <scheme val="minor"/>
          </rPr>
          <t>Responder updated this value.</t>
        </r>
      </text>
    </comment>
    <comment ref="AO122" authorId="0" shapeId="0" xr:uid="{00000000-0006-0000-0300-00000C0B0000}">
      <text>
        <r>
          <rPr>
            <sz val="10"/>
            <color rgb="FF000000"/>
            <rFont val="Arial"/>
            <scheme val="minor"/>
          </rPr>
          <t>Responder updated this value.</t>
        </r>
      </text>
    </comment>
    <comment ref="AP122" authorId="0" shapeId="0" xr:uid="{00000000-0006-0000-0300-00000D0B0000}">
      <text>
        <r>
          <rPr>
            <sz val="10"/>
            <color rgb="FF000000"/>
            <rFont val="Arial"/>
            <scheme val="minor"/>
          </rPr>
          <t>Responder updated this value.</t>
        </r>
      </text>
    </comment>
    <comment ref="AU122" authorId="0" shapeId="0" xr:uid="{00000000-0006-0000-0300-00000E0B0000}">
      <text>
        <r>
          <rPr>
            <sz val="10"/>
            <color rgb="FF000000"/>
            <rFont val="Arial"/>
            <scheme val="minor"/>
          </rPr>
          <t>Responder updated this value.</t>
        </r>
      </text>
    </comment>
    <comment ref="D123" authorId="0" shapeId="0" xr:uid="{00000000-0006-0000-0300-00000F0B0000}">
      <text>
        <r>
          <rPr>
            <sz val="10"/>
            <color rgb="FF000000"/>
            <rFont val="Arial"/>
            <scheme val="minor"/>
          </rPr>
          <t>Responder updated this value.</t>
        </r>
      </text>
    </comment>
    <comment ref="H123" authorId="0" shapeId="0" xr:uid="{00000000-0006-0000-0300-0000100B0000}">
      <text>
        <r>
          <rPr>
            <sz val="10"/>
            <color rgb="FF000000"/>
            <rFont val="Arial"/>
            <scheme val="minor"/>
          </rPr>
          <t>Responder updated this value.</t>
        </r>
      </text>
    </comment>
    <comment ref="M123" authorId="0" shapeId="0" xr:uid="{00000000-0006-0000-0300-0000110B0000}">
      <text>
        <r>
          <rPr>
            <sz val="10"/>
            <color rgb="FF000000"/>
            <rFont val="Arial"/>
            <scheme val="minor"/>
          </rPr>
          <t>Responder updated this value.</t>
        </r>
      </text>
    </comment>
    <comment ref="N123" authorId="0" shapeId="0" xr:uid="{00000000-0006-0000-0300-0000120B0000}">
      <text>
        <r>
          <rPr>
            <sz val="10"/>
            <color rgb="FF000000"/>
            <rFont val="Arial"/>
            <scheme val="minor"/>
          </rPr>
          <t>Responder updated this value.</t>
        </r>
      </text>
    </comment>
    <comment ref="P123" authorId="0" shapeId="0" xr:uid="{00000000-0006-0000-0300-0000130B0000}">
      <text>
        <r>
          <rPr>
            <sz val="10"/>
            <color rgb="FF000000"/>
            <rFont val="Arial"/>
            <scheme val="minor"/>
          </rPr>
          <t>Responder updated this value.</t>
        </r>
      </text>
    </comment>
    <comment ref="S123" authorId="0" shapeId="0" xr:uid="{00000000-0006-0000-0300-0000140B0000}">
      <text>
        <r>
          <rPr>
            <sz val="10"/>
            <color rgb="FF000000"/>
            <rFont val="Arial"/>
            <scheme val="minor"/>
          </rPr>
          <t>Responder updated this value.</t>
        </r>
      </text>
    </comment>
    <comment ref="AC123" authorId="0" shapeId="0" xr:uid="{00000000-0006-0000-0300-0000150B0000}">
      <text>
        <r>
          <rPr>
            <sz val="10"/>
            <color rgb="FF000000"/>
            <rFont val="Arial"/>
            <scheme val="minor"/>
          </rPr>
          <t>Responder updated this value.</t>
        </r>
      </text>
    </comment>
    <comment ref="AD123" authorId="0" shapeId="0" xr:uid="{00000000-0006-0000-0300-0000160B0000}">
      <text>
        <r>
          <rPr>
            <sz val="10"/>
            <color rgb="FF000000"/>
            <rFont val="Arial"/>
            <scheme val="minor"/>
          </rPr>
          <t>Responder updated this value.</t>
        </r>
      </text>
    </comment>
    <comment ref="AE123" authorId="0" shapeId="0" xr:uid="{00000000-0006-0000-0300-0000170B0000}">
      <text>
        <r>
          <rPr>
            <sz val="10"/>
            <color rgb="FF000000"/>
            <rFont val="Arial"/>
            <scheme val="minor"/>
          </rPr>
          <t>Responder updated this value.</t>
        </r>
      </text>
    </comment>
    <comment ref="AK123" authorId="0" shapeId="0" xr:uid="{00000000-0006-0000-0300-0000180B0000}">
      <text>
        <r>
          <rPr>
            <sz val="10"/>
            <color rgb="FF000000"/>
            <rFont val="Arial"/>
            <scheme val="minor"/>
          </rPr>
          <t>Responder updated this value.</t>
        </r>
      </text>
    </comment>
    <comment ref="AL123" authorId="0" shapeId="0" xr:uid="{00000000-0006-0000-0300-0000190B0000}">
      <text>
        <r>
          <rPr>
            <sz val="10"/>
            <color rgb="FF000000"/>
            <rFont val="Arial"/>
            <scheme val="minor"/>
          </rPr>
          <t>Responder updated this value.</t>
        </r>
      </text>
    </comment>
    <comment ref="AM123" authorId="0" shapeId="0" xr:uid="{00000000-0006-0000-0300-00001A0B0000}">
      <text>
        <r>
          <rPr>
            <sz val="10"/>
            <color rgb="FF000000"/>
            <rFont val="Arial"/>
            <scheme val="minor"/>
          </rPr>
          <t>Responder updated this value.</t>
        </r>
      </text>
    </comment>
    <comment ref="AN123" authorId="0" shapeId="0" xr:uid="{00000000-0006-0000-0300-00001B0B0000}">
      <text>
        <r>
          <rPr>
            <sz val="10"/>
            <color rgb="FF000000"/>
            <rFont val="Arial"/>
            <scheme val="minor"/>
          </rPr>
          <t>Responder updated this value.</t>
        </r>
      </text>
    </comment>
    <comment ref="AO123" authorId="0" shapeId="0" xr:uid="{00000000-0006-0000-0300-00001C0B0000}">
      <text>
        <r>
          <rPr>
            <sz val="10"/>
            <color rgb="FF000000"/>
            <rFont val="Arial"/>
            <scheme val="minor"/>
          </rPr>
          <t>Responder updated this value.</t>
        </r>
      </text>
    </comment>
    <comment ref="AP123" authorId="0" shapeId="0" xr:uid="{00000000-0006-0000-0300-00001D0B0000}">
      <text>
        <r>
          <rPr>
            <sz val="10"/>
            <color rgb="FF000000"/>
            <rFont val="Arial"/>
            <scheme val="minor"/>
          </rPr>
          <t>Responder updated this value.</t>
        </r>
      </text>
    </comment>
    <comment ref="AQ123" authorId="0" shapeId="0" xr:uid="{00000000-0006-0000-0300-00001E0B0000}">
      <text>
        <r>
          <rPr>
            <sz val="10"/>
            <color rgb="FF000000"/>
            <rFont val="Arial"/>
            <scheme val="minor"/>
          </rPr>
          <t>Responder updated this value.</t>
        </r>
      </text>
    </comment>
    <comment ref="AU123" authorId="0" shapeId="0" xr:uid="{00000000-0006-0000-0300-00001F0B0000}">
      <text>
        <r>
          <rPr>
            <sz val="10"/>
            <color rgb="FF000000"/>
            <rFont val="Arial"/>
            <scheme val="minor"/>
          </rPr>
          <t>Responder updated this value.</t>
        </r>
      </text>
    </comment>
    <comment ref="D124" authorId="0" shapeId="0" xr:uid="{00000000-0006-0000-0300-0000200B0000}">
      <text>
        <r>
          <rPr>
            <sz val="10"/>
            <color rgb="FF000000"/>
            <rFont val="Arial"/>
            <scheme val="minor"/>
          </rPr>
          <t>Responder updated this value.</t>
        </r>
      </text>
    </comment>
    <comment ref="F124" authorId="0" shapeId="0" xr:uid="{00000000-0006-0000-0300-0000210B0000}">
      <text>
        <r>
          <rPr>
            <sz val="10"/>
            <color rgb="FF000000"/>
            <rFont val="Arial"/>
            <scheme val="minor"/>
          </rPr>
          <t>Responder updated this value.</t>
        </r>
      </text>
    </comment>
    <comment ref="L124" authorId="0" shapeId="0" xr:uid="{00000000-0006-0000-0300-0000220B0000}">
      <text>
        <r>
          <rPr>
            <sz val="10"/>
            <color rgb="FF000000"/>
            <rFont val="Arial"/>
            <scheme val="minor"/>
          </rPr>
          <t>Responder updated this value.</t>
        </r>
      </text>
    </comment>
    <comment ref="N124" authorId="0" shapeId="0" xr:uid="{00000000-0006-0000-0300-0000230B0000}">
      <text>
        <r>
          <rPr>
            <sz val="10"/>
            <color rgb="FF000000"/>
            <rFont val="Arial"/>
            <scheme val="minor"/>
          </rPr>
          <t>Responder updated this value.</t>
        </r>
      </text>
    </comment>
    <comment ref="O124" authorId="0" shapeId="0" xr:uid="{00000000-0006-0000-0300-0000240B0000}">
      <text>
        <r>
          <rPr>
            <sz val="10"/>
            <color rgb="FF000000"/>
            <rFont val="Arial"/>
            <scheme val="minor"/>
          </rPr>
          <t>Responder updated this value.</t>
        </r>
      </text>
    </comment>
    <comment ref="P124" authorId="0" shapeId="0" xr:uid="{00000000-0006-0000-0300-0000250B0000}">
      <text>
        <r>
          <rPr>
            <sz val="10"/>
            <color rgb="FF000000"/>
            <rFont val="Arial"/>
            <scheme val="minor"/>
          </rPr>
          <t>Responder updated this value.</t>
        </r>
      </text>
    </comment>
    <comment ref="Q124" authorId="0" shapeId="0" xr:uid="{00000000-0006-0000-0300-0000260B0000}">
      <text>
        <r>
          <rPr>
            <sz val="10"/>
            <color rgb="FF000000"/>
            <rFont val="Arial"/>
            <scheme val="minor"/>
          </rPr>
          <t>Responder updated this value.</t>
        </r>
      </text>
    </comment>
    <comment ref="S124" authorId="0" shapeId="0" xr:uid="{00000000-0006-0000-0300-0000270B0000}">
      <text>
        <r>
          <rPr>
            <sz val="10"/>
            <color rgb="FF000000"/>
            <rFont val="Arial"/>
            <scheme val="minor"/>
          </rPr>
          <t>Responder updated this value.</t>
        </r>
      </text>
    </comment>
    <comment ref="T124" authorId="0" shapeId="0" xr:uid="{00000000-0006-0000-0300-0000280B0000}">
      <text>
        <r>
          <rPr>
            <sz val="10"/>
            <color rgb="FF000000"/>
            <rFont val="Arial"/>
            <scheme val="minor"/>
          </rPr>
          <t>Responder updated this value.</t>
        </r>
      </text>
    </comment>
    <comment ref="U124" authorId="0" shapeId="0" xr:uid="{00000000-0006-0000-0300-0000290B0000}">
      <text>
        <r>
          <rPr>
            <sz val="10"/>
            <color rgb="FF000000"/>
            <rFont val="Arial"/>
            <scheme val="minor"/>
          </rPr>
          <t>Responder updated this value.</t>
        </r>
      </text>
    </comment>
    <comment ref="V124" authorId="0" shapeId="0" xr:uid="{00000000-0006-0000-0300-00002A0B0000}">
      <text>
        <r>
          <rPr>
            <sz val="10"/>
            <color rgb="FF000000"/>
            <rFont val="Arial"/>
            <scheme val="minor"/>
          </rPr>
          <t>Responder updated this value.</t>
        </r>
      </text>
    </comment>
    <comment ref="W124" authorId="0" shapeId="0" xr:uid="{00000000-0006-0000-0300-00002B0B0000}">
      <text>
        <r>
          <rPr>
            <sz val="10"/>
            <color rgb="FF000000"/>
            <rFont val="Arial"/>
            <scheme val="minor"/>
          </rPr>
          <t>Responder updated this value.</t>
        </r>
      </text>
    </comment>
    <comment ref="X124" authorId="0" shapeId="0" xr:uid="{00000000-0006-0000-0300-00002C0B0000}">
      <text>
        <r>
          <rPr>
            <sz val="10"/>
            <color rgb="FF000000"/>
            <rFont val="Arial"/>
            <scheme val="minor"/>
          </rPr>
          <t>Responder updated this value.</t>
        </r>
      </text>
    </comment>
    <comment ref="Z124" authorId="0" shapeId="0" xr:uid="{00000000-0006-0000-0300-00002D0B0000}">
      <text>
        <r>
          <rPr>
            <sz val="10"/>
            <color rgb="FF000000"/>
            <rFont val="Arial"/>
            <scheme val="minor"/>
          </rPr>
          <t>Responder updated this value.</t>
        </r>
      </text>
    </comment>
    <comment ref="AC124" authorId="0" shapeId="0" xr:uid="{00000000-0006-0000-0300-00002E0B0000}">
      <text>
        <r>
          <rPr>
            <sz val="10"/>
            <color rgb="FF000000"/>
            <rFont val="Arial"/>
            <scheme val="minor"/>
          </rPr>
          <t>Responder updated this value.</t>
        </r>
      </text>
    </comment>
    <comment ref="AD124" authorId="0" shapeId="0" xr:uid="{00000000-0006-0000-0300-00002F0B0000}">
      <text>
        <r>
          <rPr>
            <sz val="10"/>
            <color rgb="FF000000"/>
            <rFont val="Arial"/>
            <scheme val="minor"/>
          </rPr>
          <t>Responder updated this value.</t>
        </r>
      </text>
    </comment>
    <comment ref="AE124" authorId="0" shapeId="0" xr:uid="{00000000-0006-0000-0300-0000300B0000}">
      <text>
        <r>
          <rPr>
            <sz val="10"/>
            <color rgb="FF000000"/>
            <rFont val="Arial"/>
            <scheme val="minor"/>
          </rPr>
          <t>Responder updated this value.</t>
        </r>
      </text>
    </comment>
    <comment ref="AF124" authorId="0" shapeId="0" xr:uid="{00000000-0006-0000-0300-0000310B0000}">
      <text>
        <r>
          <rPr>
            <sz val="10"/>
            <color rgb="FF000000"/>
            <rFont val="Arial"/>
            <scheme val="minor"/>
          </rPr>
          <t>Responder updated this value.</t>
        </r>
      </text>
    </comment>
    <comment ref="AG124" authorId="0" shapeId="0" xr:uid="{00000000-0006-0000-0300-0000320B0000}">
      <text>
        <r>
          <rPr>
            <sz val="10"/>
            <color rgb="FF000000"/>
            <rFont val="Arial"/>
            <scheme val="minor"/>
          </rPr>
          <t>Responder updated this value.</t>
        </r>
      </text>
    </comment>
    <comment ref="AH124" authorId="0" shapeId="0" xr:uid="{00000000-0006-0000-0300-0000330B0000}">
      <text>
        <r>
          <rPr>
            <sz val="10"/>
            <color rgb="FF000000"/>
            <rFont val="Arial"/>
            <scheme val="minor"/>
          </rPr>
          <t>Responder updated this value.</t>
        </r>
      </text>
    </comment>
    <comment ref="AK124" authorId="0" shapeId="0" xr:uid="{00000000-0006-0000-0300-0000340B0000}">
      <text>
        <r>
          <rPr>
            <sz val="10"/>
            <color rgb="FF000000"/>
            <rFont val="Arial"/>
            <scheme val="minor"/>
          </rPr>
          <t>Responder updated this value.</t>
        </r>
      </text>
    </comment>
    <comment ref="AL124" authorId="0" shapeId="0" xr:uid="{00000000-0006-0000-0300-0000350B0000}">
      <text>
        <r>
          <rPr>
            <sz val="10"/>
            <color rgb="FF000000"/>
            <rFont val="Arial"/>
            <scheme val="minor"/>
          </rPr>
          <t>Responder updated this value.</t>
        </r>
      </text>
    </comment>
    <comment ref="AM124" authorId="0" shapeId="0" xr:uid="{00000000-0006-0000-0300-0000360B0000}">
      <text>
        <r>
          <rPr>
            <sz val="10"/>
            <color rgb="FF000000"/>
            <rFont val="Arial"/>
            <scheme val="minor"/>
          </rPr>
          <t>Responder updated this value.</t>
        </r>
      </text>
    </comment>
    <comment ref="AN124" authorId="0" shapeId="0" xr:uid="{00000000-0006-0000-0300-0000370B0000}">
      <text>
        <r>
          <rPr>
            <sz val="10"/>
            <color rgb="FF000000"/>
            <rFont val="Arial"/>
            <scheme val="minor"/>
          </rPr>
          <t>Responder updated this value.</t>
        </r>
      </text>
    </comment>
    <comment ref="AO124" authorId="0" shapeId="0" xr:uid="{00000000-0006-0000-0300-0000380B0000}">
      <text>
        <r>
          <rPr>
            <sz val="10"/>
            <color rgb="FF000000"/>
            <rFont val="Arial"/>
            <scheme val="minor"/>
          </rPr>
          <t>Responder updated this value.</t>
        </r>
      </text>
    </comment>
    <comment ref="AP124" authorId="0" shapeId="0" xr:uid="{00000000-0006-0000-0300-0000390B0000}">
      <text>
        <r>
          <rPr>
            <sz val="10"/>
            <color rgb="FF000000"/>
            <rFont val="Arial"/>
            <scheme val="minor"/>
          </rPr>
          <t>Responder updated this value.</t>
        </r>
      </text>
    </comment>
    <comment ref="AQ124" authorId="0" shapeId="0" xr:uid="{00000000-0006-0000-0300-00003A0B0000}">
      <text>
        <r>
          <rPr>
            <sz val="10"/>
            <color rgb="FF000000"/>
            <rFont val="Arial"/>
            <scheme val="minor"/>
          </rPr>
          <t>Responder updated this value.</t>
        </r>
      </text>
    </comment>
    <comment ref="AR124" authorId="0" shapeId="0" xr:uid="{00000000-0006-0000-0300-00003B0B0000}">
      <text>
        <r>
          <rPr>
            <sz val="10"/>
            <color rgb="FF000000"/>
            <rFont val="Arial"/>
            <scheme val="minor"/>
          </rPr>
          <t>Responder updated this value.</t>
        </r>
      </text>
    </comment>
    <comment ref="AU124" authorId="0" shapeId="0" xr:uid="{00000000-0006-0000-0300-00003C0B0000}">
      <text>
        <r>
          <rPr>
            <sz val="10"/>
            <color rgb="FF000000"/>
            <rFont val="Arial"/>
            <scheme val="minor"/>
          </rPr>
          <t>Responder updated this value.</t>
        </r>
      </text>
    </comment>
    <comment ref="D125" authorId="0" shapeId="0" xr:uid="{00000000-0006-0000-0300-00003D0B0000}">
      <text>
        <r>
          <rPr>
            <sz val="10"/>
            <color rgb="FF000000"/>
            <rFont val="Arial"/>
            <scheme val="minor"/>
          </rPr>
          <t>Responder updated this value.</t>
        </r>
      </text>
    </comment>
    <comment ref="N125" authorId="0" shapeId="0" xr:uid="{00000000-0006-0000-0300-00003E0B0000}">
      <text>
        <r>
          <rPr>
            <sz val="10"/>
            <color rgb="FF000000"/>
            <rFont val="Arial"/>
            <scheme val="minor"/>
          </rPr>
          <t>Responder updated this value.</t>
        </r>
      </text>
    </comment>
    <comment ref="O125" authorId="0" shapeId="0" xr:uid="{00000000-0006-0000-0300-00003F0B0000}">
      <text>
        <r>
          <rPr>
            <sz val="10"/>
            <color rgb="FF000000"/>
            <rFont val="Arial"/>
            <scheme val="minor"/>
          </rPr>
          <t>Responder updated this value.</t>
        </r>
      </text>
    </comment>
    <comment ref="P125" authorId="0" shapeId="0" xr:uid="{00000000-0006-0000-0300-0000400B0000}">
      <text>
        <r>
          <rPr>
            <sz val="10"/>
            <color rgb="FF000000"/>
            <rFont val="Arial"/>
            <scheme val="minor"/>
          </rPr>
          <t>Responder updated this value.</t>
        </r>
      </text>
    </comment>
    <comment ref="Q125" authorId="0" shapeId="0" xr:uid="{00000000-0006-0000-0300-0000410B0000}">
      <text>
        <r>
          <rPr>
            <sz val="10"/>
            <color rgb="FF000000"/>
            <rFont val="Arial"/>
            <scheme val="minor"/>
          </rPr>
          <t>Responder updated this value.</t>
        </r>
      </text>
    </comment>
    <comment ref="S125" authorId="0" shapeId="0" xr:uid="{00000000-0006-0000-0300-0000420B0000}">
      <text>
        <r>
          <rPr>
            <sz val="10"/>
            <color rgb="FF000000"/>
            <rFont val="Arial"/>
            <scheme val="minor"/>
          </rPr>
          <t>Responder updated this value.</t>
        </r>
      </text>
    </comment>
    <comment ref="T125" authorId="0" shapeId="0" xr:uid="{00000000-0006-0000-0300-0000430B0000}">
      <text>
        <r>
          <rPr>
            <sz val="10"/>
            <color rgb="FF000000"/>
            <rFont val="Arial"/>
            <scheme val="minor"/>
          </rPr>
          <t>Responder updated this value.</t>
        </r>
      </text>
    </comment>
    <comment ref="U125" authorId="0" shapeId="0" xr:uid="{00000000-0006-0000-0300-0000440B0000}">
      <text>
        <r>
          <rPr>
            <sz val="10"/>
            <color rgb="FF000000"/>
            <rFont val="Arial"/>
            <scheme val="minor"/>
          </rPr>
          <t>Responder updated this value.</t>
        </r>
      </text>
    </comment>
    <comment ref="V125" authorId="0" shapeId="0" xr:uid="{00000000-0006-0000-0300-0000450B0000}">
      <text>
        <r>
          <rPr>
            <sz val="10"/>
            <color rgb="FF000000"/>
            <rFont val="Arial"/>
            <scheme val="minor"/>
          </rPr>
          <t>Responder updated this value.</t>
        </r>
      </text>
    </comment>
    <comment ref="W125" authorId="0" shapeId="0" xr:uid="{00000000-0006-0000-0300-0000460B0000}">
      <text>
        <r>
          <rPr>
            <sz val="10"/>
            <color rgb="FF000000"/>
            <rFont val="Arial"/>
            <scheme val="minor"/>
          </rPr>
          <t>Responder updated this value.</t>
        </r>
      </text>
    </comment>
    <comment ref="X125" authorId="0" shapeId="0" xr:uid="{00000000-0006-0000-0300-0000470B0000}">
      <text>
        <r>
          <rPr>
            <sz val="10"/>
            <color rgb="FF000000"/>
            <rFont val="Arial"/>
            <scheme val="minor"/>
          </rPr>
          <t>Responder updated this value.</t>
        </r>
      </text>
    </comment>
    <comment ref="Z125" authorId="0" shapeId="0" xr:uid="{00000000-0006-0000-0300-0000480B0000}">
      <text>
        <r>
          <rPr>
            <sz val="10"/>
            <color rgb="FF000000"/>
            <rFont val="Arial"/>
            <scheme val="minor"/>
          </rPr>
          <t>Responder updated this value.</t>
        </r>
      </text>
    </comment>
    <comment ref="AC125" authorId="0" shapeId="0" xr:uid="{00000000-0006-0000-0300-0000490B0000}">
      <text>
        <r>
          <rPr>
            <sz val="10"/>
            <color rgb="FF000000"/>
            <rFont val="Arial"/>
            <scheme val="minor"/>
          </rPr>
          <t>Responder updated this value.</t>
        </r>
      </text>
    </comment>
    <comment ref="AD125" authorId="0" shapeId="0" xr:uid="{00000000-0006-0000-0300-00004A0B0000}">
      <text>
        <r>
          <rPr>
            <sz val="10"/>
            <color rgb="FF000000"/>
            <rFont val="Arial"/>
            <scheme val="minor"/>
          </rPr>
          <t>Responder updated this value.</t>
        </r>
      </text>
    </comment>
    <comment ref="AE125" authorId="0" shapeId="0" xr:uid="{00000000-0006-0000-0300-00004B0B0000}">
      <text>
        <r>
          <rPr>
            <sz val="10"/>
            <color rgb="FF000000"/>
            <rFont val="Arial"/>
            <scheme val="minor"/>
          </rPr>
          <t>Responder updated this value.</t>
        </r>
      </text>
    </comment>
    <comment ref="AF125" authorId="0" shapeId="0" xr:uid="{00000000-0006-0000-0300-00004C0B0000}">
      <text>
        <r>
          <rPr>
            <sz val="10"/>
            <color rgb="FF000000"/>
            <rFont val="Arial"/>
            <scheme val="minor"/>
          </rPr>
          <t>Responder updated this value.</t>
        </r>
      </text>
    </comment>
    <comment ref="AG125" authorId="0" shapeId="0" xr:uid="{00000000-0006-0000-0300-00004D0B0000}">
      <text>
        <r>
          <rPr>
            <sz val="10"/>
            <color rgb="FF000000"/>
            <rFont val="Arial"/>
            <scheme val="minor"/>
          </rPr>
          <t>Responder updated this value.</t>
        </r>
      </text>
    </comment>
    <comment ref="AH125" authorId="0" shapeId="0" xr:uid="{00000000-0006-0000-0300-00004E0B0000}">
      <text>
        <r>
          <rPr>
            <sz val="10"/>
            <color rgb="FF000000"/>
            <rFont val="Arial"/>
            <scheme val="minor"/>
          </rPr>
          <t>Responder updated this value.</t>
        </r>
      </text>
    </comment>
    <comment ref="AK125" authorId="0" shapeId="0" xr:uid="{00000000-0006-0000-0300-00004F0B0000}">
      <text>
        <r>
          <rPr>
            <sz val="10"/>
            <color rgb="FF000000"/>
            <rFont val="Arial"/>
            <scheme val="minor"/>
          </rPr>
          <t>Responder updated this value.</t>
        </r>
      </text>
    </comment>
    <comment ref="AL125" authorId="0" shapeId="0" xr:uid="{00000000-0006-0000-0300-0000500B0000}">
      <text>
        <r>
          <rPr>
            <sz val="10"/>
            <color rgb="FF000000"/>
            <rFont val="Arial"/>
            <scheme val="minor"/>
          </rPr>
          <t>Responder updated this value.</t>
        </r>
      </text>
    </comment>
    <comment ref="AM125" authorId="0" shapeId="0" xr:uid="{00000000-0006-0000-0300-0000510B0000}">
      <text>
        <r>
          <rPr>
            <sz val="10"/>
            <color rgb="FF000000"/>
            <rFont val="Arial"/>
            <scheme val="minor"/>
          </rPr>
          <t>Responder updated this value.</t>
        </r>
      </text>
    </comment>
    <comment ref="AN125" authorId="0" shapeId="0" xr:uid="{00000000-0006-0000-0300-0000520B0000}">
      <text>
        <r>
          <rPr>
            <sz val="10"/>
            <color rgb="FF000000"/>
            <rFont val="Arial"/>
            <scheme val="minor"/>
          </rPr>
          <t>Responder updated this value.</t>
        </r>
      </text>
    </comment>
    <comment ref="AO125" authorId="0" shapeId="0" xr:uid="{00000000-0006-0000-0300-0000530B0000}">
      <text>
        <r>
          <rPr>
            <sz val="10"/>
            <color rgb="FF000000"/>
            <rFont val="Arial"/>
            <scheme val="minor"/>
          </rPr>
          <t>Responder updated this value.</t>
        </r>
      </text>
    </comment>
    <comment ref="AP125" authorId="0" shapeId="0" xr:uid="{00000000-0006-0000-0300-0000540B0000}">
      <text>
        <r>
          <rPr>
            <sz val="10"/>
            <color rgb="FF000000"/>
            <rFont val="Arial"/>
            <scheme val="minor"/>
          </rPr>
          <t>Responder updated this value.</t>
        </r>
      </text>
    </comment>
    <comment ref="AQ125" authorId="0" shapeId="0" xr:uid="{00000000-0006-0000-0300-0000550B0000}">
      <text>
        <r>
          <rPr>
            <sz val="10"/>
            <color rgb="FF000000"/>
            <rFont val="Arial"/>
            <scheme val="minor"/>
          </rPr>
          <t>Responder updated this value.</t>
        </r>
      </text>
    </comment>
    <comment ref="AR125" authorId="0" shapeId="0" xr:uid="{00000000-0006-0000-0300-0000560B0000}">
      <text>
        <r>
          <rPr>
            <sz val="10"/>
            <color rgb="FF000000"/>
            <rFont val="Arial"/>
            <scheme val="minor"/>
          </rPr>
          <t>Responder updated this value.</t>
        </r>
      </text>
    </comment>
    <comment ref="AU125" authorId="0" shapeId="0" xr:uid="{00000000-0006-0000-0300-0000570B0000}">
      <text>
        <r>
          <rPr>
            <sz val="10"/>
            <color rgb="FF000000"/>
            <rFont val="Arial"/>
            <scheme val="minor"/>
          </rPr>
          <t>Responder updated this value.</t>
        </r>
      </text>
    </comment>
    <comment ref="D126" authorId="0" shapeId="0" xr:uid="{00000000-0006-0000-0300-0000580B0000}">
      <text>
        <r>
          <rPr>
            <sz val="10"/>
            <color rgb="FF000000"/>
            <rFont val="Arial"/>
            <scheme val="minor"/>
          </rPr>
          <t>Responder updated this value.</t>
        </r>
      </text>
    </comment>
    <comment ref="F126" authorId="0" shapeId="0" xr:uid="{00000000-0006-0000-0300-0000590B0000}">
      <text>
        <r>
          <rPr>
            <sz val="10"/>
            <color rgb="FF000000"/>
            <rFont val="Arial"/>
            <scheme val="minor"/>
          </rPr>
          <t>Responder updated this value.</t>
        </r>
      </text>
    </comment>
    <comment ref="M126" authorId="0" shapeId="0" xr:uid="{00000000-0006-0000-0300-00005A0B0000}">
      <text>
        <r>
          <rPr>
            <sz val="10"/>
            <color rgb="FF000000"/>
            <rFont val="Arial"/>
            <scheme val="minor"/>
          </rPr>
          <t>Responder updated this value.</t>
        </r>
      </text>
    </comment>
    <comment ref="N126" authorId="0" shapeId="0" xr:uid="{00000000-0006-0000-0300-00005B0B0000}">
      <text>
        <r>
          <rPr>
            <sz val="10"/>
            <color rgb="FF000000"/>
            <rFont val="Arial"/>
            <scheme val="minor"/>
          </rPr>
          <t>Responder updated this value.</t>
        </r>
      </text>
    </comment>
    <comment ref="O126" authorId="0" shapeId="0" xr:uid="{00000000-0006-0000-0300-00005C0B0000}">
      <text>
        <r>
          <rPr>
            <sz val="10"/>
            <color rgb="FF000000"/>
            <rFont val="Arial"/>
            <scheme val="minor"/>
          </rPr>
          <t>Responder updated this value.</t>
        </r>
      </text>
    </comment>
    <comment ref="P126" authorId="0" shapeId="0" xr:uid="{00000000-0006-0000-0300-00005D0B0000}">
      <text>
        <r>
          <rPr>
            <sz val="10"/>
            <color rgb="FF000000"/>
            <rFont val="Arial"/>
            <scheme val="minor"/>
          </rPr>
          <t>Responder updated this value.</t>
        </r>
      </text>
    </comment>
    <comment ref="Q126" authorId="0" shapeId="0" xr:uid="{00000000-0006-0000-0300-00005E0B0000}">
      <text>
        <r>
          <rPr>
            <sz val="10"/>
            <color rgb="FF000000"/>
            <rFont val="Arial"/>
            <scheme val="minor"/>
          </rPr>
          <t>Responder updated this value.</t>
        </r>
      </text>
    </comment>
    <comment ref="S126" authorId="0" shapeId="0" xr:uid="{00000000-0006-0000-0300-00005F0B0000}">
      <text>
        <r>
          <rPr>
            <sz val="10"/>
            <color rgb="FF000000"/>
            <rFont val="Arial"/>
            <scheme val="minor"/>
          </rPr>
          <t>Responder updated this value.</t>
        </r>
      </text>
    </comment>
    <comment ref="T126" authorId="0" shapeId="0" xr:uid="{00000000-0006-0000-0300-0000600B0000}">
      <text>
        <r>
          <rPr>
            <sz val="10"/>
            <color rgb="FF000000"/>
            <rFont val="Arial"/>
            <scheme val="minor"/>
          </rPr>
          <t>Responder updated this value.</t>
        </r>
      </text>
    </comment>
    <comment ref="U126" authorId="0" shapeId="0" xr:uid="{00000000-0006-0000-0300-0000610B0000}">
      <text>
        <r>
          <rPr>
            <sz val="10"/>
            <color rgb="FF000000"/>
            <rFont val="Arial"/>
            <scheme val="minor"/>
          </rPr>
          <t>Responder updated this value.</t>
        </r>
      </text>
    </comment>
    <comment ref="V126" authorId="0" shapeId="0" xr:uid="{00000000-0006-0000-0300-0000620B0000}">
      <text>
        <r>
          <rPr>
            <sz val="10"/>
            <color rgb="FF000000"/>
            <rFont val="Arial"/>
            <scheme val="minor"/>
          </rPr>
          <t>Responder updated this value.</t>
        </r>
      </text>
    </comment>
    <comment ref="W126" authorId="0" shapeId="0" xr:uid="{00000000-0006-0000-0300-0000630B0000}">
      <text>
        <r>
          <rPr>
            <sz val="10"/>
            <color rgb="FF000000"/>
            <rFont val="Arial"/>
            <scheme val="minor"/>
          </rPr>
          <t>Responder updated this value.</t>
        </r>
      </text>
    </comment>
    <comment ref="X126" authorId="0" shapeId="0" xr:uid="{00000000-0006-0000-0300-0000640B0000}">
      <text>
        <r>
          <rPr>
            <sz val="10"/>
            <color rgb="FF000000"/>
            <rFont val="Arial"/>
            <scheme val="minor"/>
          </rPr>
          <t>Responder updated this value.</t>
        </r>
      </text>
    </comment>
    <comment ref="Z126" authorId="0" shapeId="0" xr:uid="{00000000-0006-0000-0300-0000650B0000}">
      <text>
        <r>
          <rPr>
            <sz val="10"/>
            <color rgb="FF000000"/>
            <rFont val="Arial"/>
            <scheme val="minor"/>
          </rPr>
          <t>Responder updated this value.</t>
        </r>
      </text>
    </comment>
    <comment ref="AC126" authorId="0" shapeId="0" xr:uid="{00000000-0006-0000-0300-0000660B0000}">
      <text>
        <r>
          <rPr>
            <sz val="10"/>
            <color rgb="FF000000"/>
            <rFont val="Arial"/>
            <scheme val="minor"/>
          </rPr>
          <t>Responder updated this value.</t>
        </r>
      </text>
    </comment>
    <comment ref="AD126" authorId="0" shapeId="0" xr:uid="{00000000-0006-0000-0300-0000670B0000}">
      <text>
        <r>
          <rPr>
            <sz val="10"/>
            <color rgb="FF000000"/>
            <rFont val="Arial"/>
            <scheme val="minor"/>
          </rPr>
          <t>Responder updated this value.</t>
        </r>
      </text>
    </comment>
    <comment ref="AE126" authorId="0" shapeId="0" xr:uid="{00000000-0006-0000-0300-0000680B0000}">
      <text>
        <r>
          <rPr>
            <sz val="10"/>
            <color rgb="FF000000"/>
            <rFont val="Arial"/>
            <scheme val="minor"/>
          </rPr>
          <t>Responder updated this value.</t>
        </r>
      </text>
    </comment>
    <comment ref="AF126" authorId="0" shapeId="0" xr:uid="{00000000-0006-0000-0300-0000690B0000}">
      <text>
        <r>
          <rPr>
            <sz val="10"/>
            <color rgb="FF000000"/>
            <rFont val="Arial"/>
            <scheme val="minor"/>
          </rPr>
          <t>Responder updated this value.</t>
        </r>
      </text>
    </comment>
    <comment ref="AG126" authorId="0" shapeId="0" xr:uid="{00000000-0006-0000-0300-00006A0B0000}">
      <text>
        <r>
          <rPr>
            <sz val="10"/>
            <color rgb="FF000000"/>
            <rFont val="Arial"/>
            <scheme val="minor"/>
          </rPr>
          <t>Responder updated this value.</t>
        </r>
      </text>
    </comment>
    <comment ref="AH126" authorId="0" shapeId="0" xr:uid="{00000000-0006-0000-0300-00006B0B0000}">
      <text>
        <r>
          <rPr>
            <sz val="10"/>
            <color rgb="FF000000"/>
            <rFont val="Arial"/>
            <scheme val="minor"/>
          </rPr>
          <t>Responder updated this value.</t>
        </r>
      </text>
    </comment>
    <comment ref="AK126" authorId="0" shapeId="0" xr:uid="{00000000-0006-0000-0300-00006C0B0000}">
      <text>
        <r>
          <rPr>
            <sz val="10"/>
            <color rgb="FF000000"/>
            <rFont val="Arial"/>
            <scheme val="minor"/>
          </rPr>
          <t>Responder updated this value.</t>
        </r>
      </text>
    </comment>
    <comment ref="AL126" authorId="0" shapeId="0" xr:uid="{00000000-0006-0000-0300-00006D0B0000}">
      <text>
        <r>
          <rPr>
            <sz val="10"/>
            <color rgb="FF000000"/>
            <rFont val="Arial"/>
            <scheme val="minor"/>
          </rPr>
          <t>Responder updated this value.</t>
        </r>
      </text>
    </comment>
    <comment ref="AM126" authorId="0" shapeId="0" xr:uid="{00000000-0006-0000-0300-00006E0B0000}">
      <text>
        <r>
          <rPr>
            <sz val="10"/>
            <color rgb="FF000000"/>
            <rFont val="Arial"/>
            <scheme val="minor"/>
          </rPr>
          <t>Responder updated this value.</t>
        </r>
      </text>
    </comment>
    <comment ref="AN126" authorId="0" shapeId="0" xr:uid="{00000000-0006-0000-0300-00006F0B0000}">
      <text>
        <r>
          <rPr>
            <sz val="10"/>
            <color rgb="FF000000"/>
            <rFont val="Arial"/>
            <scheme val="minor"/>
          </rPr>
          <t>Responder updated this value.</t>
        </r>
      </text>
    </comment>
    <comment ref="AO126" authorId="0" shapeId="0" xr:uid="{00000000-0006-0000-0300-0000700B0000}">
      <text>
        <r>
          <rPr>
            <sz val="10"/>
            <color rgb="FF000000"/>
            <rFont val="Arial"/>
            <scheme val="minor"/>
          </rPr>
          <t>Responder updated this value.</t>
        </r>
      </text>
    </comment>
    <comment ref="AP126" authorId="0" shapeId="0" xr:uid="{00000000-0006-0000-0300-0000710B0000}">
      <text>
        <r>
          <rPr>
            <sz val="10"/>
            <color rgb="FF000000"/>
            <rFont val="Arial"/>
            <scheme val="minor"/>
          </rPr>
          <t>Responder updated this value.</t>
        </r>
      </text>
    </comment>
    <comment ref="AQ126" authorId="0" shapeId="0" xr:uid="{00000000-0006-0000-0300-0000720B0000}">
      <text>
        <r>
          <rPr>
            <sz val="10"/>
            <color rgb="FF000000"/>
            <rFont val="Arial"/>
            <scheme val="minor"/>
          </rPr>
          <t>Responder updated this value.</t>
        </r>
      </text>
    </comment>
    <comment ref="AR126" authorId="0" shapeId="0" xr:uid="{00000000-0006-0000-0300-0000730B0000}">
      <text>
        <r>
          <rPr>
            <sz val="10"/>
            <color rgb="FF000000"/>
            <rFont val="Arial"/>
            <scheme val="minor"/>
          </rPr>
          <t>Responder updated this value.</t>
        </r>
      </text>
    </comment>
    <comment ref="D127" authorId="0" shapeId="0" xr:uid="{00000000-0006-0000-0300-0000740B0000}">
      <text>
        <r>
          <rPr>
            <sz val="10"/>
            <color rgb="FF000000"/>
            <rFont val="Arial"/>
            <scheme val="minor"/>
          </rPr>
          <t>Responder updated this value.</t>
        </r>
      </text>
    </comment>
    <comment ref="N127" authorId="0" shapeId="0" xr:uid="{00000000-0006-0000-0300-0000750B0000}">
      <text>
        <r>
          <rPr>
            <sz val="10"/>
            <color rgb="FF000000"/>
            <rFont val="Arial"/>
            <scheme val="minor"/>
          </rPr>
          <t>Responder updated this value.</t>
        </r>
      </text>
    </comment>
    <comment ref="O127" authorId="0" shapeId="0" xr:uid="{00000000-0006-0000-0300-0000760B0000}">
      <text>
        <r>
          <rPr>
            <sz val="10"/>
            <color rgb="FF000000"/>
            <rFont val="Arial"/>
            <scheme val="minor"/>
          </rPr>
          <t>Responder updated this value.</t>
        </r>
      </text>
    </comment>
    <comment ref="P127" authorId="0" shapeId="0" xr:uid="{00000000-0006-0000-0300-0000770B0000}">
      <text>
        <r>
          <rPr>
            <sz val="10"/>
            <color rgb="FF000000"/>
            <rFont val="Arial"/>
            <scheme val="minor"/>
          </rPr>
          <t>Responder updated this value.</t>
        </r>
      </text>
    </comment>
    <comment ref="Q127" authorId="0" shapeId="0" xr:uid="{00000000-0006-0000-0300-0000780B0000}">
      <text>
        <r>
          <rPr>
            <sz val="10"/>
            <color rgb="FF000000"/>
            <rFont val="Arial"/>
            <scheme val="minor"/>
          </rPr>
          <t>Responder updated this value.</t>
        </r>
      </text>
    </comment>
    <comment ref="S127" authorId="0" shapeId="0" xr:uid="{00000000-0006-0000-0300-0000790B0000}">
      <text>
        <r>
          <rPr>
            <sz val="10"/>
            <color rgb="FF000000"/>
            <rFont val="Arial"/>
            <scheme val="minor"/>
          </rPr>
          <t>Responder updated this value.</t>
        </r>
      </text>
    </comment>
    <comment ref="T127" authorId="0" shapeId="0" xr:uid="{00000000-0006-0000-0300-00007A0B0000}">
      <text>
        <r>
          <rPr>
            <sz val="10"/>
            <color rgb="FF000000"/>
            <rFont val="Arial"/>
            <scheme val="minor"/>
          </rPr>
          <t>Responder updated this value.</t>
        </r>
      </text>
    </comment>
    <comment ref="U127" authorId="0" shapeId="0" xr:uid="{00000000-0006-0000-0300-00007B0B0000}">
      <text>
        <r>
          <rPr>
            <sz val="10"/>
            <color rgb="FF000000"/>
            <rFont val="Arial"/>
            <scheme val="minor"/>
          </rPr>
          <t>Responder updated this value.</t>
        </r>
      </text>
    </comment>
    <comment ref="V127" authorId="0" shapeId="0" xr:uid="{00000000-0006-0000-0300-00007C0B0000}">
      <text>
        <r>
          <rPr>
            <sz val="10"/>
            <color rgb="FF000000"/>
            <rFont val="Arial"/>
            <scheme val="minor"/>
          </rPr>
          <t>Responder updated this value.</t>
        </r>
      </text>
    </comment>
    <comment ref="W127" authorId="0" shapeId="0" xr:uid="{00000000-0006-0000-0300-00007D0B0000}">
      <text>
        <r>
          <rPr>
            <sz val="10"/>
            <color rgb="FF000000"/>
            <rFont val="Arial"/>
            <scheme val="minor"/>
          </rPr>
          <t>Responder updated this value.</t>
        </r>
      </text>
    </comment>
    <comment ref="X127" authorId="0" shapeId="0" xr:uid="{00000000-0006-0000-0300-00007E0B0000}">
      <text>
        <r>
          <rPr>
            <sz val="10"/>
            <color rgb="FF000000"/>
            <rFont val="Arial"/>
            <scheme val="minor"/>
          </rPr>
          <t>Responder updated this value.</t>
        </r>
      </text>
    </comment>
    <comment ref="Z127" authorId="0" shapeId="0" xr:uid="{00000000-0006-0000-0300-00007F0B0000}">
      <text>
        <r>
          <rPr>
            <sz val="10"/>
            <color rgb="FF000000"/>
            <rFont val="Arial"/>
            <scheme val="minor"/>
          </rPr>
          <t>Responder updated this value.</t>
        </r>
      </text>
    </comment>
    <comment ref="AC127" authorId="0" shapeId="0" xr:uid="{00000000-0006-0000-0300-0000800B0000}">
      <text>
        <r>
          <rPr>
            <sz val="10"/>
            <color rgb="FF000000"/>
            <rFont val="Arial"/>
            <scheme val="minor"/>
          </rPr>
          <t>Responder updated this value.</t>
        </r>
      </text>
    </comment>
    <comment ref="AD127" authorId="0" shapeId="0" xr:uid="{00000000-0006-0000-0300-0000810B0000}">
      <text>
        <r>
          <rPr>
            <sz val="10"/>
            <color rgb="FF000000"/>
            <rFont val="Arial"/>
            <scheme val="minor"/>
          </rPr>
          <t>Responder updated this value.</t>
        </r>
      </text>
    </comment>
    <comment ref="AE127" authorId="0" shapeId="0" xr:uid="{00000000-0006-0000-0300-0000820B0000}">
      <text>
        <r>
          <rPr>
            <sz val="10"/>
            <color rgb="FF000000"/>
            <rFont val="Arial"/>
            <scheme val="minor"/>
          </rPr>
          <t>Responder updated this value.</t>
        </r>
      </text>
    </comment>
    <comment ref="AK127" authorId="0" shapeId="0" xr:uid="{00000000-0006-0000-0300-0000830B0000}">
      <text>
        <r>
          <rPr>
            <sz val="10"/>
            <color rgb="FF000000"/>
            <rFont val="Arial"/>
            <scheme val="minor"/>
          </rPr>
          <t>Responder updated this value.</t>
        </r>
      </text>
    </comment>
    <comment ref="AL127" authorId="0" shapeId="0" xr:uid="{00000000-0006-0000-0300-0000840B0000}">
      <text>
        <r>
          <rPr>
            <sz val="10"/>
            <color rgb="FF000000"/>
            <rFont val="Arial"/>
            <scheme val="minor"/>
          </rPr>
          <t>Responder updated this value.</t>
        </r>
      </text>
    </comment>
    <comment ref="AM127" authorId="0" shapeId="0" xr:uid="{00000000-0006-0000-0300-0000850B0000}">
      <text>
        <r>
          <rPr>
            <sz val="10"/>
            <color rgb="FF000000"/>
            <rFont val="Arial"/>
            <scheme val="minor"/>
          </rPr>
          <t>Responder updated this value.</t>
        </r>
      </text>
    </comment>
    <comment ref="AN127" authorId="0" shapeId="0" xr:uid="{00000000-0006-0000-0300-0000860B0000}">
      <text>
        <r>
          <rPr>
            <sz val="10"/>
            <color rgb="FF000000"/>
            <rFont val="Arial"/>
            <scheme val="minor"/>
          </rPr>
          <t>Responder updated this value.</t>
        </r>
      </text>
    </comment>
    <comment ref="AO127" authorId="0" shapeId="0" xr:uid="{00000000-0006-0000-0300-0000870B0000}">
      <text>
        <r>
          <rPr>
            <sz val="10"/>
            <color rgb="FF000000"/>
            <rFont val="Arial"/>
            <scheme val="minor"/>
          </rPr>
          <t>Responder updated this value.</t>
        </r>
      </text>
    </comment>
    <comment ref="AP127" authorId="0" shapeId="0" xr:uid="{00000000-0006-0000-0300-0000880B0000}">
      <text>
        <r>
          <rPr>
            <sz val="10"/>
            <color rgb="FF000000"/>
            <rFont val="Arial"/>
            <scheme val="minor"/>
          </rPr>
          <t>Responder updated this value.</t>
        </r>
      </text>
    </comment>
    <comment ref="AQ127" authorId="0" shapeId="0" xr:uid="{00000000-0006-0000-0300-0000890B0000}">
      <text>
        <r>
          <rPr>
            <sz val="10"/>
            <color rgb="FF000000"/>
            <rFont val="Arial"/>
            <scheme val="minor"/>
          </rPr>
          <t>Responder updated this value.</t>
        </r>
      </text>
    </comment>
    <comment ref="AR127" authorId="0" shapeId="0" xr:uid="{00000000-0006-0000-0300-00008A0B0000}">
      <text>
        <r>
          <rPr>
            <sz val="10"/>
            <color rgb="FF000000"/>
            <rFont val="Arial"/>
            <scheme val="minor"/>
          </rPr>
          <t>Responder updated this value.</t>
        </r>
      </text>
    </comment>
    <comment ref="AS127" authorId="0" shapeId="0" xr:uid="{00000000-0006-0000-0300-00008B0B0000}">
      <text>
        <r>
          <rPr>
            <sz val="10"/>
            <color rgb="FF000000"/>
            <rFont val="Arial"/>
            <scheme val="minor"/>
          </rPr>
          <t>Responder updated this value.</t>
        </r>
      </text>
    </comment>
    <comment ref="AT127" authorId="0" shapeId="0" xr:uid="{00000000-0006-0000-0300-00008C0B0000}">
      <text>
        <r>
          <rPr>
            <sz val="10"/>
            <color rgb="FF000000"/>
            <rFont val="Arial"/>
            <scheme val="minor"/>
          </rPr>
          <t>Responder updated this value.</t>
        </r>
      </text>
    </comment>
    <comment ref="AU127" authorId="0" shapeId="0" xr:uid="{00000000-0006-0000-0300-00008D0B0000}">
      <text>
        <r>
          <rPr>
            <sz val="10"/>
            <color rgb="FF000000"/>
            <rFont val="Arial"/>
            <scheme val="minor"/>
          </rPr>
          <t>Responder updated this value.</t>
        </r>
      </text>
    </comment>
    <comment ref="D128" authorId="0" shapeId="0" xr:uid="{00000000-0006-0000-0300-00008E0B0000}">
      <text>
        <r>
          <rPr>
            <sz val="10"/>
            <color rgb="FF000000"/>
            <rFont val="Arial"/>
            <scheme val="minor"/>
          </rPr>
          <t>Responder updated this value.</t>
        </r>
      </text>
    </comment>
    <comment ref="L128" authorId="0" shapeId="0" xr:uid="{00000000-0006-0000-0300-00008F0B0000}">
      <text>
        <r>
          <rPr>
            <sz val="10"/>
            <color rgb="FF000000"/>
            <rFont val="Arial"/>
            <scheme val="minor"/>
          </rPr>
          <t>Responder updated this value.</t>
        </r>
      </text>
    </comment>
    <comment ref="M128" authorId="0" shapeId="0" xr:uid="{00000000-0006-0000-0300-0000900B0000}">
      <text>
        <r>
          <rPr>
            <sz val="10"/>
            <color rgb="FF000000"/>
            <rFont val="Arial"/>
            <scheme val="minor"/>
          </rPr>
          <t>Responder updated this value.</t>
        </r>
      </text>
    </comment>
    <comment ref="N128" authorId="0" shapeId="0" xr:uid="{00000000-0006-0000-0300-0000910B0000}">
      <text>
        <r>
          <rPr>
            <sz val="10"/>
            <color rgb="FF000000"/>
            <rFont val="Arial"/>
            <scheme val="minor"/>
          </rPr>
          <t>Responder updated this value.</t>
        </r>
      </text>
    </comment>
    <comment ref="O128" authorId="0" shapeId="0" xr:uid="{00000000-0006-0000-0300-0000920B0000}">
      <text>
        <r>
          <rPr>
            <sz val="10"/>
            <color rgb="FF000000"/>
            <rFont val="Arial"/>
            <scheme val="minor"/>
          </rPr>
          <t>Responder updated this value.</t>
        </r>
      </text>
    </comment>
    <comment ref="P128" authorId="0" shapeId="0" xr:uid="{00000000-0006-0000-0300-0000930B0000}">
      <text>
        <r>
          <rPr>
            <sz val="10"/>
            <color rgb="FF000000"/>
            <rFont val="Arial"/>
            <scheme val="minor"/>
          </rPr>
          <t>Responder updated this value.</t>
        </r>
      </text>
    </comment>
    <comment ref="Q128" authorId="0" shapeId="0" xr:uid="{00000000-0006-0000-0300-0000940B0000}">
      <text>
        <r>
          <rPr>
            <sz val="10"/>
            <color rgb="FF000000"/>
            <rFont val="Arial"/>
            <scheme val="minor"/>
          </rPr>
          <t>Responder updated this value.</t>
        </r>
      </text>
    </comment>
    <comment ref="S128" authorId="0" shapeId="0" xr:uid="{00000000-0006-0000-0300-0000950B0000}">
      <text>
        <r>
          <rPr>
            <sz val="10"/>
            <color rgb="FF000000"/>
            <rFont val="Arial"/>
            <scheme val="minor"/>
          </rPr>
          <t>Responder updated this value.</t>
        </r>
      </text>
    </comment>
    <comment ref="T128" authorId="0" shapeId="0" xr:uid="{00000000-0006-0000-0300-0000960B0000}">
      <text>
        <r>
          <rPr>
            <sz val="10"/>
            <color rgb="FF000000"/>
            <rFont val="Arial"/>
            <scheme val="minor"/>
          </rPr>
          <t>Responder updated this value.</t>
        </r>
      </text>
    </comment>
    <comment ref="U128" authorId="0" shapeId="0" xr:uid="{00000000-0006-0000-0300-0000970B0000}">
      <text>
        <r>
          <rPr>
            <sz val="10"/>
            <color rgb="FF000000"/>
            <rFont val="Arial"/>
            <scheme val="minor"/>
          </rPr>
          <t>Responder updated this value.</t>
        </r>
      </text>
    </comment>
    <comment ref="V128" authorId="0" shapeId="0" xr:uid="{00000000-0006-0000-0300-0000980B0000}">
      <text>
        <r>
          <rPr>
            <sz val="10"/>
            <color rgb="FF000000"/>
            <rFont val="Arial"/>
            <scheme val="minor"/>
          </rPr>
          <t>Responder updated this value.</t>
        </r>
      </text>
    </comment>
    <comment ref="W128" authorId="0" shapeId="0" xr:uid="{00000000-0006-0000-0300-0000990B0000}">
      <text>
        <r>
          <rPr>
            <sz val="10"/>
            <color rgb="FF000000"/>
            <rFont val="Arial"/>
            <scheme val="minor"/>
          </rPr>
          <t>Responder updated this value.</t>
        </r>
      </text>
    </comment>
    <comment ref="X128" authorId="0" shapeId="0" xr:uid="{00000000-0006-0000-0300-00009A0B0000}">
      <text>
        <r>
          <rPr>
            <sz val="10"/>
            <color rgb="FF000000"/>
            <rFont val="Arial"/>
            <scheme val="minor"/>
          </rPr>
          <t>Responder updated this value.</t>
        </r>
      </text>
    </comment>
    <comment ref="Z128" authorId="0" shapeId="0" xr:uid="{00000000-0006-0000-0300-00009B0B0000}">
      <text>
        <r>
          <rPr>
            <sz val="10"/>
            <color rgb="FF000000"/>
            <rFont val="Arial"/>
            <scheme val="minor"/>
          </rPr>
          <t>Responder updated this value.</t>
        </r>
      </text>
    </comment>
    <comment ref="AC128" authorId="0" shapeId="0" xr:uid="{00000000-0006-0000-0300-00009C0B0000}">
      <text>
        <r>
          <rPr>
            <sz val="10"/>
            <color rgb="FF000000"/>
            <rFont val="Arial"/>
            <scheme val="minor"/>
          </rPr>
          <t>Responder updated this value.</t>
        </r>
      </text>
    </comment>
    <comment ref="AD128" authorId="0" shapeId="0" xr:uid="{00000000-0006-0000-0300-00009D0B0000}">
      <text>
        <r>
          <rPr>
            <sz val="10"/>
            <color rgb="FF000000"/>
            <rFont val="Arial"/>
            <scheme val="minor"/>
          </rPr>
          <t>Responder updated this value.</t>
        </r>
      </text>
    </comment>
    <comment ref="AE128" authorId="0" shapeId="0" xr:uid="{00000000-0006-0000-0300-00009E0B0000}">
      <text>
        <r>
          <rPr>
            <sz val="10"/>
            <color rgb="FF000000"/>
            <rFont val="Arial"/>
            <scheme val="minor"/>
          </rPr>
          <t>Responder updated this value.</t>
        </r>
      </text>
    </comment>
    <comment ref="AF128" authorId="0" shapeId="0" xr:uid="{00000000-0006-0000-0300-00009F0B0000}">
      <text>
        <r>
          <rPr>
            <sz val="10"/>
            <color rgb="FF000000"/>
            <rFont val="Arial"/>
            <scheme val="minor"/>
          </rPr>
          <t>Responder updated this value.</t>
        </r>
      </text>
    </comment>
    <comment ref="AG128" authorId="0" shapeId="0" xr:uid="{00000000-0006-0000-0300-0000A00B0000}">
      <text>
        <r>
          <rPr>
            <sz val="10"/>
            <color rgb="FF000000"/>
            <rFont val="Arial"/>
            <scheme val="minor"/>
          </rPr>
          <t>Responder updated this value.</t>
        </r>
      </text>
    </comment>
    <comment ref="AH128" authorId="0" shapeId="0" xr:uid="{00000000-0006-0000-0300-0000A10B0000}">
      <text>
        <r>
          <rPr>
            <sz val="10"/>
            <color rgb="FF000000"/>
            <rFont val="Arial"/>
            <scheme val="minor"/>
          </rPr>
          <t>Responder updated this value.</t>
        </r>
      </text>
    </comment>
    <comment ref="AK128" authorId="0" shapeId="0" xr:uid="{00000000-0006-0000-0300-0000A20B0000}">
      <text>
        <r>
          <rPr>
            <sz val="10"/>
            <color rgb="FF000000"/>
            <rFont val="Arial"/>
            <scheme val="minor"/>
          </rPr>
          <t>Responder updated this value.</t>
        </r>
      </text>
    </comment>
    <comment ref="AL128" authorId="0" shapeId="0" xr:uid="{00000000-0006-0000-0300-0000A30B0000}">
      <text>
        <r>
          <rPr>
            <sz val="10"/>
            <color rgb="FF000000"/>
            <rFont val="Arial"/>
            <scheme val="minor"/>
          </rPr>
          <t>Responder updated this value.</t>
        </r>
      </text>
    </comment>
    <comment ref="AM128" authorId="0" shapeId="0" xr:uid="{00000000-0006-0000-0300-0000A40B0000}">
      <text>
        <r>
          <rPr>
            <sz val="10"/>
            <color rgb="FF000000"/>
            <rFont val="Arial"/>
            <scheme val="minor"/>
          </rPr>
          <t>Responder updated this value.</t>
        </r>
      </text>
    </comment>
    <comment ref="AN128" authorId="0" shapeId="0" xr:uid="{00000000-0006-0000-0300-0000A50B0000}">
      <text>
        <r>
          <rPr>
            <sz val="10"/>
            <color rgb="FF000000"/>
            <rFont val="Arial"/>
            <scheme val="minor"/>
          </rPr>
          <t>Responder updated this value.</t>
        </r>
      </text>
    </comment>
    <comment ref="AO128" authorId="0" shapeId="0" xr:uid="{00000000-0006-0000-0300-0000A60B0000}">
      <text>
        <r>
          <rPr>
            <sz val="10"/>
            <color rgb="FF000000"/>
            <rFont val="Arial"/>
            <scheme val="minor"/>
          </rPr>
          <t>Responder updated this value.</t>
        </r>
      </text>
    </comment>
    <comment ref="AP128" authorId="0" shapeId="0" xr:uid="{00000000-0006-0000-0300-0000A70B0000}">
      <text>
        <r>
          <rPr>
            <sz val="10"/>
            <color rgb="FF000000"/>
            <rFont val="Arial"/>
            <scheme val="minor"/>
          </rPr>
          <t>Responder updated this value.</t>
        </r>
      </text>
    </comment>
    <comment ref="AQ128" authorId="0" shapeId="0" xr:uid="{00000000-0006-0000-0300-0000A80B0000}">
      <text>
        <r>
          <rPr>
            <sz val="10"/>
            <color rgb="FF000000"/>
            <rFont val="Arial"/>
            <scheme val="minor"/>
          </rPr>
          <t>Responder updated this value.</t>
        </r>
      </text>
    </comment>
    <comment ref="AR128" authorId="0" shapeId="0" xr:uid="{00000000-0006-0000-0300-0000A90B0000}">
      <text>
        <r>
          <rPr>
            <sz val="10"/>
            <color rgb="FF000000"/>
            <rFont val="Arial"/>
            <scheme val="minor"/>
          </rPr>
          <t>Responder updated this value.</t>
        </r>
      </text>
    </comment>
    <comment ref="AU128" authorId="0" shapeId="0" xr:uid="{00000000-0006-0000-0300-0000AA0B0000}">
      <text>
        <r>
          <rPr>
            <sz val="10"/>
            <color rgb="FF000000"/>
            <rFont val="Arial"/>
            <scheme val="minor"/>
          </rPr>
          <t>Responder updated this value.</t>
        </r>
      </text>
    </comment>
    <comment ref="D129" authorId="0" shapeId="0" xr:uid="{00000000-0006-0000-0300-0000AB0B0000}">
      <text>
        <r>
          <rPr>
            <sz val="10"/>
            <color rgb="FF000000"/>
            <rFont val="Arial"/>
            <scheme val="minor"/>
          </rPr>
          <t>Responder updated this value.</t>
        </r>
      </text>
    </comment>
    <comment ref="L129" authorId="0" shapeId="0" xr:uid="{00000000-0006-0000-0300-0000AC0B0000}">
      <text>
        <r>
          <rPr>
            <sz val="10"/>
            <color rgb="FF000000"/>
            <rFont val="Arial"/>
            <scheme val="minor"/>
          </rPr>
          <t>Responder updated this value.</t>
        </r>
      </text>
    </comment>
    <comment ref="M129" authorId="0" shapeId="0" xr:uid="{00000000-0006-0000-0300-0000AD0B0000}">
      <text>
        <r>
          <rPr>
            <sz val="10"/>
            <color rgb="FF000000"/>
            <rFont val="Arial"/>
            <scheme val="minor"/>
          </rPr>
          <t>Responder updated this value.</t>
        </r>
      </text>
    </comment>
    <comment ref="N129" authorId="0" shapeId="0" xr:uid="{00000000-0006-0000-0300-0000AE0B0000}">
      <text>
        <r>
          <rPr>
            <sz val="10"/>
            <color rgb="FF000000"/>
            <rFont val="Arial"/>
            <scheme val="minor"/>
          </rPr>
          <t>Responder updated this value.</t>
        </r>
      </text>
    </comment>
    <comment ref="O129" authorId="0" shapeId="0" xr:uid="{00000000-0006-0000-0300-0000AF0B0000}">
      <text>
        <r>
          <rPr>
            <sz val="10"/>
            <color rgb="FF000000"/>
            <rFont val="Arial"/>
            <scheme val="minor"/>
          </rPr>
          <t>Responder updated this value.</t>
        </r>
      </text>
    </comment>
    <comment ref="P129" authorId="0" shapeId="0" xr:uid="{00000000-0006-0000-0300-0000B00B0000}">
      <text>
        <r>
          <rPr>
            <sz val="10"/>
            <color rgb="FF000000"/>
            <rFont val="Arial"/>
            <scheme val="minor"/>
          </rPr>
          <t>Responder updated this value.</t>
        </r>
      </text>
    </comment>
    <comment ref="Q129" authorId="0" shapeId="0" xr:uid="{00000000-0006-0000-0300-0000B10B0000}">
      <text>
        <r>
          <rPr>
            <sz val="10"/>
            <color rgb="FF000000"/>
            <rFont val="Arial"/>
            <scheme val="minor"/>
          </rPr>
          <t>Responder updated this value.</t>
        </r>
      </text>
    </comment>
    <comment ref="S129" authorId="0" shapeId="0" xr:uid="{00000000-0006-0000-0300-0000B20B0000}">
      <text>
        <r>
          <rPr>
            <sz val="10"/>
            <color rgb="FF000000"/>
            <rFont val="Arial"/>
            <scheme val="minor"/>
          </rPr>
          <t>Responder updated this value.</t>
        </r>
      </text>
    </comment>
    <comment ref="U129" authorId="0" shapeId="0" xr:uid="{00000000-0006-0000-0300-0000B30B0000}">
      <text>
        <r>
          <rPr>
            <sz val="10"/>
            <color rgb="FF000000"/>
            <rFont val="Arial"/>
            <scheme val="minor"/>
          </rPr>
          <t>Responder updated this value.</t>
        </r>
      </text>
    </comment>
    <comment ref="W129" authorId="0" shapeId="0" xr:uid="{00000000-0006-0000-0300-0000B40B0000}">
      <text>
        <r>
          <rPr>
            <sz val="10"/>
            <color rgb="FF000000"/>
            <rFont val="Arial"/>
            <scheme val="minor"/>
          </rPr>
          <t>Responder updated this value.</t>
        </r>
      </text>
    </comment>
    <comment ref="X129" authorId="0" shapeId="0" xr:uid="{00000000-0006-0000-0300-0000B50B0000}">
      <text>
        <r>
          <rPr>
            <sz val="10"/>
            <color rgb="FF000000"/>
            <rFont val="Arial"/>
            <scheme val="minor"/>
          </rPr>
          <t>Responder updated this value.</t>
        </r>
      </text>
    </comment>
    <comment ref="Y129" authorId="0" shapeId="0" xr:uid="{00000000-0006-0000-0300-0000B60B0000}">
      <text>
        <r>
          <rPr>
            <sz val="10"/>
            <color rgb="FF000000"/>
            <rFont val="Arial"/>
            <scheme val="minor"/>
          </rPr>
          <t>Responder updated this value.</t>
        </r>
      </text>
    </comment>
    <comment ref="Z129" authorId="0" shapeId="0" xr:uid="{00000000-0006-0000-0300-0000B70B0000}">
      <text>
        <r>
          <rPr>
            <sz val="10"/>
            <color rgb="FF000000"/>
            <rFont val="Arial"/>
            <scheme val="minor"/>
          </rPr>
          <t>Responder updated this value.</t>
        </r>
      </text>
    </comment>
    <comment ref="AC129" authorId="0" shapeId="0" xr:uid="{00000000-0006-0000-0300-0000B80B0000}">
      <text>
        <r>
          <rPr>
            <sz val="10"/>
            <color rgb="FF000000"/>
            <rFont val="Arial"/>
            <scheme val="minor"/>
          </rPr>
          <t>Responder updated this value.</t>
        </r>
      </text>
    </comment>
    <comment ref="AD129" authorId="0" shapeId="0" xr:uid="{00000000-0006-0000-0300-0000B90B0000}">
      <text>
        <r>
          <rPr>
            <sz val="10"/>
            <color rgb="FF000000"/>
            <rFont val="Arial"/>
            <scheme val="minor"/>
          </rPr>
          <t>Responder updated this value.</t>
        </r>
      </text>
    </comment>
    <comment ref="AE129" authorId="0" shapeId="0" xr:uid="{00000000-0006-0000-0300-0000BA0B0000}">
      <text>
        <r>
          <rPr>
            <sz val="10"/>
            <color rgb="FF000000"/>
            <rFont val="Arial"/>
            <scheme val="minor"/>
          </rPr>
          <t>Responder updated this value.</t>
        </r>
      </text>
    </comment>
    <comment ref="AH129" authorId="0" shapeId="0" xr:uid="{00000000-0006-0000-0300-0000BB0B0000}">
      <text>
        <r>
          <rPr>
            <sz val="10"/>
            <color rgb="FF000000"/>
            <rFont val="Arial"/>
            <scheme val="minor"/>
          </rPr>
          <t>Responder updated this value.</t>
        </r>
      </text>
    </comment>
    <comment ref="AI129" authorId="0" shapeId="0" xr:uid="{00000000-0006-0000-0300-0000BC0B0000}">
      <text>
        <r>
          <rPr>
            <sz val="10"/>
            <color rgb="FF000000"/>
            <rFont val="Arial"/>
            <scheme val="minor"/>
          </rPr>
          <t>Responder updated this value.</t>
        </r>
      </text>
    </comment>
    <comment ref="AK129" authorId="0" shapeId="0" xr:uid="{00000000-0006-0000-0300-0000BD0B0000}">
      <text>
        <r>
          <rPr>
            <sz val="10"/>
            <color rgb="FF000000"/>
            <rFont val="Arial"/>
            <scheme val="minor"/>
          </rPr>
          <t>Responder updated this value.</t>
        </r>
      </text>
    </comment>
    <comment ref="AL129" authorId="0" shapeId="0" xr:uid="{00000000-0006-0000-0300-0000BE0B0000}">
      <text>
        <r>
          <rPr>
            <sz val="10"/>
            <color rgb="FF000000"/>
            <rFont val="Arial"/>
            <scheme val="minor"/>
          </rPr>
          <t>Responder updated this value.</t>
        </r>
      </text>
    </comment>
    <comment ref="AM129" authorId="0" shapeId="0" xr:uid="{00000000-0006-0000-0300-0000BF0B0000}">
      <text>
        <r>
          <rPr>
            <sz val="10"/>
            <color rgb="FF000000"/>
            <rFont val="Arial"/>
            <scheme val="minor"/>
          </rPr>
          <t>Responder updated this value.</t>
        </r>
      </text>
    </comment>
    <comment ref="AN129" authorId="0" shapeId="0" xr:uid="{00000000-0006-0000-0300-0000C00B0000}">
      <text>
        <r>
          <rPr>
            <sz val="10"/>
            <color rgb="FF000000"/>
            <rFont val="Arial"/>
            <scheme val="minor"/>
          </rPr>
          <t>Responder updated this value.</t>
        </r>
      </text>
    </comment>
    <comment ref="AO129" authorId="0" shapeId="0" xr:uid="{00000000-0006-0000-0300-0000C10B0000}">
      <text>
        <r>
          <rPr>
            <sz val="10"/>
            <color rgb="FF000000"/>
            <rFont val="Arial"/>
            <scheme val="minor"/>
          </rPr>
          <t>Responder updated this value.</t>
        </r>
      </text>
    </comment>
    <comment ref="AP129" authorId="0" shapeId="0" xr:uid="{00000000-0006-0000-0300-0000C20B0000}">
      <text>
        <r>
          <rPr>
            <sz val="10"/>
            <color rgb="FF000000"/>
            <rFont val="Arial"/>
            <scheme val="minor"/>
          </rPr>
          <t>Responder updated this value.</t>
        </r>
      </text>
    </comment>
    <comment ref="AQ129" authorId="0" shapeId="0" xr:uid="{00000000-0006-0000-0300-0000C30B0000}">
      <text>
        <r>
          <rPr>
            <sz val="10"/>
            <color rgb="FF000000"/>
            <rFont val="Arial"/>
            <scheme val="minor"/>
          </rPr>
          <t>Responder updated this value.</t>
        </r>
      </text>
    </comment>
    <comment ref="AR129" authorId="0" shapeId="0" xr:uid="{00000000-0006-0000-0300-0000C40B0000}">
      <text>
        <r>
          <rPr>
            <sz val="10"/>
            <color rgb="FF000000"/>
            <rFont val="Arial"/>
            <scheme val="minor"/>
          </rPr>
          <t>Responder updated this value.</t>
        </r>
      </text>
    </comment>
    <comment ref="AS129" authorId="0" shapeId="0" xr:uid="{00000000-0006-0000-0300-0000C50B0000}">
      <text>
        <r>
          <rPr>
            <sz val="10"/>
            <color rgb="FF000000"/>
            <rFont val="Arial"/>
            <scheme val="minor"/>
          </rPr>
          <t>Responder updated this value.</t>
        </r>
      </text>
    </comment>
    <comment ref="AU129" authorId="0" shapeId="0" xr:uid="{00000000-0006-0000-0300-0000C60B0000}">
      <text>
        <r>
          <rPr>
            <sz val="10"/>
            <color rgb="FF000000"/>
            <rFont val="Arial"/>
            <scheme val="minor"/>
          </rPr>
          <t>Responder updated this value.</t>
        </r>
      </text>
    </comment>
    <comment ref="D130" authorId="0" shapeId="0" xr:uid="{00000000-0006-0000-0300-0000C70B0000}">
      <text>
        <r>
          <rPr>
            <sz val="10"/>
            <color rgb="FF000000"/>
            <rFont val="Arial"/>
            <scheme val="minor"/>
          </rPr>
          <t>Responder updated this value.</t>
        </r>
      </text>
    </comment>
    <comment ref="N130" authorId="0" shapeId="0" xr:uid="{00000000-0006-0000-0300-0000C80B0000}">
      <text>
        <r>
          <rPr>
            <sz val="10"/>
            <color rgb="FF000000"/>
            <rFont val="Arial"/>
            <scheme val="minor"/>
          </rPr>
          <t>Responder updated this value.</t>
        </r>
      </text>
    </comment>
    <comment ref="O130" authorId="0" shapeId="0" xr:uid="{00000000-0006-0000-0300-0000C90B0000}">
      <text>
        <r>
          <rPr>
            <sz val="10"/>
            <color rgb="FF000000"/>
            <rFont val="Arial"/>
            <scheme val="minor"/>
          </rPr>
          <t>Responder updated this value.</t>
        </r>
      </text>
    </comment>
    <comment ref="P130" authorId="0" shapeId="0" xr:uid="{00000000-0006-0000-0300-0000CA0B0000}">
      <text>
        <r>
          <rPr>
            <sz val="10"/>
            <color rgb="FF000000"/>
            <rFont val="Arial"/>
            <scheme val="minor"/>
          </rPr>
          <t>Responder updated this value.</t>
        </r>
      </text>
    </comment>
    <comment ref="Q130" authorId="0" shapeId="0" xr:uid="{00000000-0006-0000-0300-0000CB0B0000}">
      <text>
        <r>
          <rPr>
            <sz val="10"/>
            <color rgb="FF000000"/>
            <rFont val="Arial"/>
            <scheme val="minor"/>
          </rPr>
          <t>Responder updated this value.</t>
        </r>
      </text>
    </comment>
    <comment ref="S130" authorId="0" shapeId="0" xr:uid="{00000000-0006-0000-0300-0000CC0B0000}">
      <text>
        <r>
          <rPr>
            <sz val="10"/>
            <color rgb="FF000000"/>
            <rFont val="Arial"/>
            <scheme val="minor"/>
          </rPr>
          <t>Responder updated this value.</t>
        </r>
      </text>
    </comment>
    <comment ref="U130" authorId="0" shapeId="0" xr:uid="{00000000-0006-0000-0300-0000CD0B0000}">
      <text>
        <r>
          <rPr>
            <sz val="10"/>
            <color rgb="FF000000"/>
            <rFont val="Arial"/>
            <scheme val="minor"/>
          </rPr>
          <t>Responder updated this value.</t>
        </r>
      </text>
    </comment>
    <comment ref="X130" authorId="0" shapeId="0" xr:uid="{00000000-0006-0000-0300-0000CE0B0000}">
      <text>
        <r>
          <rPr>
            <sz val="10"/>
            <color rgb="FF000000"/>
            <rFont val="Arial"/>
            <scheme val="minor"/>
          </rPr>
          <t>Responder updated this value.</t>
        </r>
      </text>
    </comment>
    <comment ref="Y130" authorId="0" shapeId="0" xr:uid="{00000000-0006-0000-0300-0000CF0B0000}">
      <text>
        <r>
          <rPr>
            <sz val="10"/>
            <color rgb="FF000000"/>
            <rFont val="Arial"/>
            <scheme val="minor"/>
          </rPr>
          <t>Responder updated this value.</t>
        </r>
      </text>
    </comment>
    <comment ref="Z130" authorId="0" shapeId="0" xr:uid="{00000000-0006-0000-0300-0000D00B0000}">
      <text>
        <r>
          <rPr>
            <sz val="10"/>
            <color rgb="FF000000"/>
            <rFont val="Arial"/>
            <scheme val="minor"/>
          </rPr>
          <t>Responder updated this value.</t>
        </r>
      </text>
    </comment>
    <comment ref="AC130" authorId="0" shapeId="0" xr:uid="{00000000-0006-0000-0300-0000D10B0000}">
      <text>
        <r>
          <rPr>
            <sz val="10"/>
            <color rgb="FF000000"/>
            <rFont val="Arial"/>
            <scheme val="minor"/>
          </rPr>
          <t>Responder updated this value.</t>
        </r>
      </text>
    </comment>
    <comment ref="AD130" authorId="0" shapeId="0" xr:uid="{00000000-0006-0000-0300-0000D20B0000}">
      <text>
        <r>
          <rPr>
            <sz val="10"/>
            <color rgb="FF000000"/>
            <rFont val="Arial"/>
            <scheme val="minor"/>
          </rPr>
          <t>Responder updated this value.</t>
        </r>
      </text>
    </comment>
    <comment ref="AE130" authorId="0" shapeId="0" xr:uid="{00000000-0006-0000-0300-0000D30B0000}">
      <text>
        <r>
          <rPr>
            <sz val="10"/>
            <color rgb="FF000000"/>
            <rFont val="Arial"/>
            <scheme val="minor"/>
          </rPr>
          <t>Responder updated this value.</t>
        </r>
      </text>
    </comment>
    <comment ref="AK130" authorId="0" shapeId="0" xr:uid="{00000000-0006-0000-0300-0000D40B0000}">
      <text>
        <r>
          <rPr>
            <sz val="10"/>
            <color rgb="FF000000"/>
            <rFont val="Arial"/>
            <scheme val="minor"/>
          </rPr>
          <t>Responder updated this value.</t>
        </r>
      </text>
    </comment>
    <comment ref="AL130" authorId="0" shapeId="0" xr:uid="{00000000-0006-0000-0300-0000D50B0000}">
      <text>
        <r>
          <rPr>
            <sz val="10"/>
            <color rgb="FF000000"/>
            <rFont val="Arial"/>
            <scheme val="minor"/>
          </rPr>
          <t>Responder updated this value.</t>
        </r>
      </text>
    </comment>
    <comment ref="AM130" authorId="0" shapeId="0" xr:uid="{00000000-0006-0000-0300-0000D60B0000}">
      <text>
        <r>
          <rPr>
            <sz val="10"/>
            <color rgb="FF000000"/>
            <rFont val="Arial"/>
            <scheme val="minor"/>
          </rPr>
          <t>Responder updated this value.</t>
        </r>
      </text>
    </comment>
    <comment ref="AN130" authorId="0" shapeId="0" xr:uid="{00000000-0006-0000-0300-0000D70B0000}">
      <text>
        <r>
          <rPr>
            <sz val="10"/>
            <color rgb="FF000000"/>
            <rFont val="Arial"/>
            <scheme val="minor"/>
          </rPr>
          <t>Responder updated this value.</t>
        </r>
      </text>
    </comment>
    <comment ref="AO130" authorId="0" shapeId="0" xr:uid="{00000000-0006-0000-0300-0000D80B0000}">
      <text>
        <r>
          <rPr>
            <sz val="10"/>
            <color rgb="FF000000"/>
            <rFont val="Arial"/>
            <scheme val="minor"/>
          </rPr>
          <t>Responder updated this value.</t>
        </r>
      </text>
    </comment>
    <comment ref="AP130" authorId="0" shapeId="0" xr:uid="{00000000-0006-0000-0300-0000D90B0000}">
      <text>
        <r>
          <rPr>
            <sz val="10"/>
            <color rgb="FF000000"/>
            <rFont val="Arial"/>
            <scheme val="minor"/>
          </rPr>
          <t>Responder updated this value.</t>
        </r>
      </text>
    </comment>
    <comment ref="AQ130" authorId="0" shapeId="0" xr:uid="{00000000-0006-0000-0300-0000DA0B0000}">
      <text>
        <r>
          <rPr>
            <sz val="10"/>
            <color rgb="FF000000"/>
            <rFont val="Arial"/>
            <scheme val="minor"/>
          </rPr>
          <t>Responder updated this value.</t>
        </r>
      </text>
    </comment>
    <comment ref="AR130" authorId="0" shapeId="0" xr:uid="{00000000-0006-0000-0300-0000DB0B0000}">
      <text>
        <r>
          <rPr>
            <sz val="10"/>
            <color rgb="FF000000"/>
            <rFont val="Arial"/>
            <scheme val="minor"/>
          </rPr>
          <t>Responder updated this value.</t>
        </r>
      </text>
    </comment>
    <comment ref="D131" authorId="0" shapeId="0" xr:uid="{00000000-0006-0000-0300-0000DC0B0000}">
      <text>
        <r>
          <rPr>
            <sz val="10"/>
            <color rgb="FF000000"/>
            <rFont val="Arial"/>
            <scheme val="minor"/>
          </rPr>
          <t>Responder updated this value.</t>
        </r>
      </text>
    </comment>
    <comment ref="M131" authorId="0" shapeId="0" xr:uid="{00000000-0006-0000-0300-0000DD0B0000}">
      <text>
        <r>
          <rPr>
            <sz val="10"/>
            <color rgb="FF000000"/>
            <rFont val="Arial"/>
            <scheme val="minor"/>
          </rPr>
          <t>Responder updated this value.</t>
        </r>
      </text>
    </comment>
    <comment ref="N131" authorId="0" shapeId="0" xr:uid="{00000000-0006-0000-0300-0000DE0B0000}">
      <text>
        <r>
          <rPr>
            <sz val="10"/>
            <color rgb="FF000000"/>
            <rFont val="Arial"/>
            <scheme val="minor"/>
          </rPr>
          <t>Responder updated this value.</t>
        </r>
      </text>
    </comment>
    <comment ref="O131" authorId="0" shapeId="0" xr:uid="{00000000-0006-0000-0300-0000DF0B0000}">
      <text>
        <r>
          <rPr>
            <sz val="10"/>
            <color rgb="FF000000"/>
            <rFont val="Arial"/>
            <scheme val="minor"/>
          </rPr>
          <t>Responder updated this value.</t>
        </r>
      </text>
    </comment>
    <comment ref="P131" authorId="0" shapeId="0" xr:uid="{00000000-0006-0000-0300-0000E00B0000}">
      <text>
        <r>
          <rPr>
            <sz val="10"/>
            <color rgb="FF000000"/>
            <rFont val="Arial"/>
            <scheme val="minor"/>
          </rPr>
          <t>Responder updated this value.</t>
        </r>
      </text>
    </comment>
    <comment ref="Q131" authorId="0" shapeId="0" xr:uid="{00000000-0006-0000-0300-0000E10B0000}">
      <text>
        <r>
          <rPr>
            <sz val="10"/>
            <color rgb="FF000000"/>
            <rFont val="Arial"/>
            <scheme val="minor"/>
          </rPr>
          <t>Responder updated this value.</t>
        </r>
      </text>
    </comment>
    <comment ref="S131" authorId="0" shapeId="0" xr:uid="{00000000-0006-0000-0300-0000E20B0000}">
      <text>
        <r>
          <rPr>
            <sz val="10"/>
            <color rgb="FF000000"/>
            <rFont val="Arial"/>
            <scheme val="minor"/>
          </rPr>
          <t>Responder updated this value.</t>
        </r>
      </text>
    </comment>
    <comment ref="U131" authorId="0" shapeId="0" xr:uid="{00000000-0006-0000-0300-0000E30B0000}">
      <text>
        <r>
          <rPr>
            <sz val="10"/>
            <color rgb="FF000000"/>
            <rFont val="Arial"/>
            <scheme val="minor"/>
          </rPr>
          <t>Responder updated this value.</t>
        </r>
      </text>
    </comment>
    <comment ref="W131" authorId="0" shapeId="0" xr:uid="{00000000-0006-0000-0300-0000E40B0000}">
      <text>
        <r>
          <rPr>
            <sz val="10"/>
            <color rgb="FF000000"/>
            <rFont val="Arial"/>
            <scheme val="minor"/>
          </rPr>
          <t>Responder updated this value.</t>
        </r>
      </text>
    </comment>
    <comment ref="Y131" authorId="0" shapeId="0" xr:uid="{00000000-0006-0000-0300-0000E50B0000}">
      <text>
        <r>
          <rPr>
            <sz val="10"/>
            <color rgb="FF000000"/>
            <rFont val="Arial"/>
            <scheme val="minor"/>
          </rPr>
          <t>Responder updated this value.</t>
        </r>
      </text>
    </comment>
    <comment ref="Z131" authorId="0" shapeId="0" xr:uid="{00000000-0006-0000-0300-0000E60B0000}">
      <text>
        <r>
          <rPr>
            <sz val="10"/>
            <color rgb="FF000000"/>
            <rFont val="Arial"/>
            <scheme val="minor"/>
          </rPr>
          <t>Responder updated this value.</t>
        </r>
      </text>
    </comment>
    <comment ref="AC131" authorId="0" shapeId="0" xr:uid="{00000000-0006-0000-0300-0000E70B0000}">
      <text>
        <r>
          <rPr>
            <sz val="10"/>
            <color rgb="FF000000"/>
            <rFont val="Arial"/>
            <scheme val="minor"/>
          </rPr>
          <t>Responder updated this value.</t>
        </r>
      </text>
    </comment>
    <comment ref="AD131" authorId="0" shapeId="0" xr:uid="{00000000-0006-0000-0300-0000E80B0000}">
      <text>
        <r>
          <rPr>
            <sz val="10"/>
            <color rgb="FF000000"/>
            <rFont val="Arial"/>
            <scheme val="minor"/>
          </rPr>
          <t>Responder updated this value.</t>
        </r>
      </text>
    </comment>
    <comment ref="AE131" authorId="0" shapeId="0" xr:uid="{00000000-0006-0000-0300-0000E90B0000}">
      <text>
        <r>
          <rPr>
            <sz val="10"/>
            <color rgb="FF000000"/>
            <rFont val="Arial"/>
            <scheme val="minor"/>
          </rPr>
          <t>Responder updated this value.</t>
        </r>
      </text>
    </comment>
    <comment ref="D132" authorId="0" shapeId="0" xr:uid="{00000000-0006-0000-0300-0000EA0B0000}">
      <text>
        <r>
          <rPr>
            <sz val="10"/>
            <color rgb="FF000000"/>
            <rFont val="Arial"/>
            <scheme val="minor"/>
          </rPr>
          <t>Responder updated this value.</t>
        </r>
      </text>
    </comment>
    <comment ref="M132" authorId="0" shapeId="0" xr:uid="{00000000-0006-0000-0300-0000EB0B0000}">
      <text>
        <r>
          <rPr>
            <sz val="10"/>
            <color rgb="FF000000"/>
            <rFont val="Arial"/>
            <scheme val="minor"/>
          </rPr>
          <t>Responder updated this value.</t>
        </r>
      </text>
    </comment>
    <comment ref="N132" authorId="0" shapeId="0" xr:uid="{00000000-0006-0000-0300-0000EC0B0000}">
      <text>
        <r>
          <rPr>
            <sz val="10"/>
            <color rgb="FF000000"/>
            <rFont val="Arial"/>
            <scheme val="minor"/>
          </rPr>
          <t>Responder updated this value.</t>
        </r>
      </text>
    </comment>
    <comment ref="O132" authorId="0" shapeId="0" xr:uid="{00000000-0006-0000-0300-0000ED0B0000}">
      <text>
        <r>
          <rPr>
            <sz val="10"/>
            <color rgb="FF000000"/>
            <rFont val="Arial"/>
            <scheme val="minor"/>
          </rPr>
          <t>Responder updated this value.</t>
        </r>
      </text>
    </comment>
    <comment ref="P132" authorId="0" shapeId="0" xr:uid="{00000000-0006-0000-0300-0000EE0B0000}">
      <text>
        <r>
          <rPr>
            <sz val="10"/>
            <color rgb="FF000000"/>
            <rFont val="Arial"/>
            <scheme val="minor"/>
          </rPr>
          <t>Responder updated this value.</t>
        </r>
      </text>
    </comment>
    <comment ref="Q132" authorId="0" shapeId="0" xr:uid="{00000000-0006-0000-0300-0000EF0B0000}">
      <text>
        <r>
          <rPr>
            <sz val="10"/>
            <color rgb="FF000000"/>
            <rFont val="Arial"/>
            <scheme val="minor"/>
          </rPr>
          <t>Responder updated this value.</t>
        </r>
      </text>
    </comment>
    <comment ref="R132" authorId="0" shapeId="0" xr:uid="{00000000-0006-0000-0300-0000F00B0000}">
      <text>
        <r>
          <rPr>
            <sz val="10"/>
            <color rgb="FF000000"/>
            <rFont val="Arial"/>
            <scheme val="minor"/>
          </rPr>
          <t>Responder updated this value.</t>
        </r>
      </text>
    </comment>
    <comment ref="T132" authorId="0" shapeId="0" xr:uid="{00000000-0006-0000-0300-0000F10B0000}">
      <text>
        <r>
          <rPr>
            <sz val="10"/>
            <color rgb="FF000000"/>
            <rFont val="Arial"/>
            <scheme val="minor"/>
          </rPr>
          <t>Responder updated this value.</t>
        </r>
      </text>
    </comment>
    <comment ref="U132" authorId="0" shapeId="0" xr:uid="{00000000-0006-0000-0300-0000F20B0000}">
      <text>
        <r>
          <rPr>
            <sz val="10"/>
            <color rgb="FF000000"/>
            <rFont val="Arial"/>
            <scheme val="minor"/>
          </rPr>
          <t>Responder updated this value.</t>
        </r>
      </text>
    </comment>
    <comment ref="V132" authorId="0" shapeId="0" xr:uid="{00000000-0006-0000-0300-0000F30B0000}">
      <text>
        <r>
          <rPr>
            <sz val="10"/>
            <color rgb="FF000000"/>
            <rFont val="Arial"/>
            <scheme val="minor"/>
          </rPr>
          <t>Responder updated this value.</t>
        </r>
      </text>
    </comment>
    <comment ref="W132" authorId="0" shapeId="0" xr:uid="{00000000-0006-0000-0300-0000F40B0000}">
      <text>
        <r>
          <rPr>
            <sz val="10"/>
            <color rgb="FF000000"/>
            <rFont val="Arial"/>
            <scheme val="minor"/>
          </rPr>
          <t>Responder updated this value.</t>
        </r>
      </text>
    </comment>
    <comment ref="X132" authorId="0" shapeId="0" xr:uid="{00000000-0006-0000-0300-0000F50B0000}">
      <text>
        <r>
          <rPr>
            <sz val="10"/>
            <color rgb="FF000000"/>
            <rFont val="Arial"/>
            <scheme val="minor"/>
          </rPr>
          <t>Responder updated this value.</t>
        </r>
      </text>
    </comment>
    <comment ref="Y132" authorId="0" shapeId="0" xr:uid="{00000000-0006-0000-0300-0000F60B0000}">
      <text>
        <r>
          <rPr>
            <sz val="10"/>
            <color rgb="FF000000"/>
            <rFont val="Arial"/>
            <scheme val="minor"/>
          </rPr>
          <t>Responder updated this value.</t>
        </r>
      </text>
    </comment>
    <comment ref="Z132" authorId="0" shapeId="0" xr:uid="{00000000-0006-0000-0300-0000F70B0000}">
      <text>
        <r>
          <rPr>
            <sz val="10"/>
            <color rgb="FF000000"/>
            <rFont val="Arial"/>
            <scheme val="minor"/>
          </rPr>
          <t>Responder updated this value.</t>
        </r>
      </text>
    </comment>
    <comment ref="AC132" authorId="0" shapeId="0" xr:uid="{00000000-0006-0000-0300-0000F80B0000}">
      <text>
        <r>
          <rPr>
            <sz val="10"/>
            <color rgb="FF000000"/>
            <rFont val="Arial"/>
            <scheme val="minor"/>
          </rPr>
          <t>Responder updated this value.</t>
        </r>
      </text>
    </comment>
    <comment ref="AD132" authorId="0" shapeId="0" xr:uid="{00000000-0006-0000-0300-0000F90B0000}">
      <text>
        <r>
          <rPr>
            <sz val="10"/>
            <color rgb="FF000000"/>
            <rFont val="Arial"/>
            <scheme val="minor"/>
          </rPr>
          <t>Responder updated this value.</t>
        </r>
      </text>
    </comment>
    <comment ref="AE132" authorId="0" shapeId="0" xr:uid="{00000000-0006-0000-0300-0000FA0B0000}">
      <text>
        <r>
          <rPr>
            <sz val="10"/>
            <color rgb="FF000000"/>
            <rFont val="Arial"/>
            <scheme val="minor"/>
          </rPr>
          <t>Responder updated this value.</t>
        </r>
      </text>
    </comment>
    <comment ref="AK132" authorId="0" shapeId="0" xr:uid="{00000000-0006-0000-0300-0000FB0B0000}">
      <text>
        <r>
          <rPr>
            <sz val="10"/>
            <color rgb="FF000000"/>
            <rFont val="Arial"/>
            <scheme val="minor"/>
          </rPr>
          <t>Responder updated this value.</t>
        </r>
      </text>
    </comment>
    <comment ref="AL132" authorId="0" shapeId="0" xr:uid="{00000000-0006-0000-0300-0000FC0B0000}">
      <text>
        <r>
          <rPr>
            <sz val="10"/>
            <color rgb="FF000000"/>
            <rFont val="Arial"/>
            <scheme val="minor"/>
          </rPr>
          <t>Responder updated this value.</t>
        </r>
      </text>
    </comment>
    <comment ref="AM132" authorId="0" shapeId="0" xr:uid="{00000000-0006-0000-0300-0000FD0B0000}">
      <text>
        <r>
          <rPr>
            <sz val="10"/>
            <color rgb="FF000000"/>
            <rFont val="Arial"/>
            <scheme val="minor"/>
          </rPr>
          <t>Responder updated this value.</t>
        </r>
      </text>
    </comment>
    <comment ref="AN132" authorId="0" shapeId="0" xr:uid="{00000000-0006-0000-0300-0000FE0B0000}">
      <text>
        <r>
          <rPr>
            <sz val="10"/>
            <color rgb="FF000000"/>
            <rFont val="Arial"/>
            <scheme val="minor"/>
          </rPr>
          <t>Responder updated this value.</t>
        </r>
      </text>
    </comment>
    <comment ref="AO132" authorId="0" shapeId="0" xr:uid="{00000000-0006-0000-0300-0000FF0B0000}">
      <text>
        <r>
          <rPr>
            <sz val="10"/>
            <color rgb="FF000000"/>
            <rFont val="Arial"/>
            <scheme val="minor"/>
          </rPr>
          <t>Responder updated this value.</t>
        </r>
      </text>
    </comment>
    <comment ref="AP132" authorId="0" shapeId="0" xr:uid="{00000000-0006-0000-0300-0000000C0000}">
      <text>
        <r>
          <rPr>
            <sz val="10"/>
            <color rgb="FF000000"/>
            <rFont val="Arial"/>
            <scheme val="minor"/>
          </rPr>
          <t>Responder updated this value.</t>
        </r>
      </text>
    </comment>
    <comment ref="AR132" authorId="0" shapeId="0" xr:uid="{00000000-0006-0000-0300-0000010C0000}">
      <text>
        <r>
          <rPr>
            <sz val="10"/>
            <color rgb="FF000000"/>
            <rFont val="Arial"/>
            <scheme val="minor"/>
          </rPr>
          <t>Responder updated this value.</t>
        </r>
      </text>
    </comment>
    <comment ref="D133" authorId="0" shapeId="0" xr:uid="{00000000-0006-0000-0300-0000020C0000}">
      <text>
        <r>
          <rPr>
            <sz val="10"/>
            <color rgb="FF000000"/>
            <rFont val="Arial"/>
            <scheme val="minor"/>
          </rPr>
          <t>Responder updated this value.</t>
        </r>
      </text>
    </comment>
    <comment ref="L133" authorId="0" shapeId="0" xr:uid="{00000000-0006-0000-0300-0000030C0000}">
      <text>
        <r>
          <rPr>
            <sz val="10"/>
            <color rgb="FF000000"/>
            <rFont val="Arial"/>
            <scheme val="minor"/>
          </rPr>
          <t>Responder updated this value.</t>
        </r>
      </text>
    </comment>
    <comment ref="N133" authorId="0" shapeId="0" xr:uid="{00000000-0006-0000-0300-0000040C0000}">
      <text>
        <r>
          <rPr>
            <sz val="10"/>
            <color rgb="FF000000"/>
            <rFont val="Arial"/>
            <scheme val="minor"/>
          </rPr>
          <t>Responder updated this value.</t>
        </r>
      </text>
    </comment>
    <comment ref="O133" authorId="0" shapeId="0" xr:uid="{00000000-0006-0000-0300-0000050C0000}">
      <text>
        <r>
          <rPr>
            <sz val="10"/>
            <color rgb="FF000000"/>
            <rFont val="Arial"/>
            <scheme val="minor"/>
          </rPr>
          <t>Responder updated this value.</t>
        </r>
      </text>
    </comment>
    <comment ref="P133" authorId="0" shapeId="0" xr:uid="{00000000-0006-0000-0300-0000060C0000}">
      <text>
        <r>
          <rPr>
            <sz val="10"/>
            <color rgb="FF000000"/>
            <rFont val="Arial"/>
            <scheme val="minor"/>
          </rPr>
          <t>Responder updated this value.</t>
        </r>
      </text>
    </comment>
    <comment ref="Q133" authorId="0" shapeId="0" xr:uid="{00000000-0006-0000-0300-0000070C0000}">
      <text>
        <r>
          <rPr>
            <sz val="10"/>
            <color rgb="FF000000"/>
            <rFont val="Arial"/>
            <scheme val="minor"/>
          </rPr>
          <t>Responder updated this value.</t>
        </r>
      </text>
    </comment>
    <comment ref="R133" authorId="0" shapeId="0" xr:uid="{00000000-0006-0000-0300-0000080C0000}">
      <text>
        <r>
          <rPr>
            <sz val="10"/>
            <color rgb="FF000000"/>
            <rFont val="Arial"/>
            <scheme val="minor"/>
          </rPr>
          <t>Responder updated this value.</t>
        </r>
      </text>
    </comment>
    <comment ref="S133" authorId="0" shapeId="0" xr:uid="{00000000-0006-0000-0300-0000090C0000}">
      <text>
        <r>
          <rPr>
            <sz val="10"/>
            <color rgb="FF000000"/>
            <rFont val="Arial"/>
            <scheme val="minor"/>
          </rPr>
          <t>Responder updated this value.</t>
        </r>
      </text>
    </comment>
    <comment ref="U133" authorId="0" shapeId="0" xr:uid="{00000000-0006-0000-0300-00000A0C0000}">
      <text>
        <r>
          <rPr>
            <sz val="10"/>
            <color rgb="FF000000"/>
            <rFont val="Arial"/>
            <scheme val="minor"/>
          </rPr>
          <t>Responder updated this value.</t>
        </r>
      </text>
    </comment>
    <comment ref="W133" authorId="0" shapeId="0" xr:uid="{00000000-0006-0000-0300-00000B0C0000}">
      <text>
        <r>
          <rPr>
            <sz val="10"/>
            <color rgb="FF000000"/>
            <rFont val="Arial"/>
            <scheme val="minor"/>
          </rPr>
          <t>Responder updated this value.</t>
        </r>
      </text>
    </comment>
    <comment ref="Y133" authorId="0" shapeId="0" xr:uid="{00000000-0006-0000-0300-00000C0C0000}">
      <text>
        <r>
          <rPr>
            <sz val="10"/>
            <color rgb="FF000000"/>
            <rFont val="Arial"/>
            <scheme val="minor"/>
          </rPr>
          <t>Responder updated this value.</t>
        </r>
      </text>
    </comment>
    <comment ref="Z133" authorId="0" shapeId="0" xr:uid="{00000000-0006-0000-0300-00000D0C0000}">
      <text>
        <r>
          <rPr>
            <sz val="10"/>
            <color rgb="FF000000"/>
            <rFont val="Arial"/>
            <scheme val="minor"/>
          </rPr>
          <t>Responder updated this value.</t>
        </r>
      </text>
    </comment>
    <comment ref="AC133" authorId="0" shapeId="0" xr:uid="{00000000-0006-0000-0300-00000E0C0000}">
      <text>
        <r>
          <rPr>
            <sz val="10"/>
            <color rgb="FF000000"/>
            <rFont val="Arial"/>
            <scheme val="minor"/>
          </rPr>
          <t>Responder updated this value.</t>
        </r>
      </text>
    </comment>
    <comment ref="AD133" authorId="0" shapeId="0" xr:uid="{00000000-0006-0000-0300-00000F0C0000}">
      <text>
        <r>
          <rPr>
            <sz val="10"/>
            <color rgb="FF000000"/>
            <rFont val="Arial"/>
            <scheme val="minor"/>
          </rPr>
          <t>Responder updated this value.</t>
        </r>
      </text>
    </comment>
    <comment ref="AE133" authorId="0" shapeId="0" xr:uid="{00000000-0006-0000-0300-0000100C0000}">
      <text>
        <r>
          <rPr>
            <sz val="10"/>
            <color rgb="FF000000"/>
            <rFont val="Arial"/>
            <scheme val="minor"/>
          </rPr>
          <t>Responder updated this value.</t>
        </r>
      </text>
    </comment>
    <comment ref="AF133" authorId="0" shapeId="0" xr:uid="{00000000-0006-0000-0300-0000110C0000}">
      <text>
        <r>
          <rPr>
            <sz val="10"/>
            <color rgb="FF000000"/>
            <rFont val="Arial"/>
            <scheme val="minor"/>
          </rPr>
          <t>Responder updated this value.</t>
        </r>
      </text>
    </comment>
    <comment ref="AG133" authorId="0" shapeId="0" xr:uid="{00000000-0006-0000-0300-0000120C0000}">
      <text>
        <r>
          <rPr>
            <sz val="10"/>
            <color rgb="FF000000"/>
            <rFont val="Arial"/>
            <scheme val="minor"/>
          </rPr>
          <t>Responder updated this value.</t>
        </r>
      </text>
    </comment>
    <comment ref="AH133" authorId="0" shapeId="0" xr:uid="{00000000-0006-0000-0300-0000130C0000}">
      <text>
        <r>
          <rPr>
            <sz val="10"/>
            <color rgb="FF000000"/>
            <rFont val="Arial"/>
            <scheme val="minor"/>
          </rPr>
          <t>Responder updated this value.</t>
        </r>
      </text>
    </comment>
    <comment ref="AK133" authorId="0" shapeId="0" xr:uid="{00000000-0006-0000-0300-0000140C0000}">
      <text>
        <r>
          <rPr>
            <sz val="10"/>
            <color rgb="FF000000"/>
            <rFont val="Arial"/>
            <scheme val="minor"/>
          </rPr>
          <t>Responder updated this value.</t>
        </r>
      </text>
    </comment>
    <comment ref="AL133" authorId="0" shapeId="0" xr:uid="{00000000-0006-0000-0300-0000150C0000}">
      <text>
        <r>
          <rPr>
            <sz val="10"/>
            <color rgb="FF000000"/>
            <rFont val="Arial"/>
            <scheme val="minor"/>
          </rPr>
          <t>Responder updated this value.</t>
        </r>
      </text>
    </comment>
    <comment ref="AM133" authorId="0" shapeId="0" xr:uid="{00000000-0006-0000-0300-0000160C0000}">
      <text>
        <r>
          <rPr>
            <sz val="10"/>
            <color rgb="FF000000"/>
            <rFont val="Arial"/>
            <scheme val="minor"/>
          </rPr>
          <t>Responder updated this value.</t>
        </r>
      </text>
    </comment>
    <comment ref="AN133" authorId="0" shapeId="0" xr:uid="{00000000-0006-0000-0300-0000170C0000}">
      <text>
        <r>
          <rPr>
            <sz val="10"/>
            <color rgb="FF000000"/>
            <rFont val="Arial"/>
            <scheme val="minor"/>
          </rPr>
          <t>Responder updated this value.</t>
        </r>
      </text>
    </comment>
    <comment ref="AO133" authorId="0" shapeId="0" xr:uid="{00000000-0006-0000-0300-0000180C0000}">
      <text>
        <r>
          <rPr>
            <sz val="10"/>
            <color rgb="FF000000"/>
            <rFont val="Arial"/>
            <scheme val="minor"/>
          </rPr>
          <t>Responder updated this value.</t>
        </r>
      </text>
    </comment>
    <comment ref="AP133" authorId="0" shapeId="0" xr:uid="{00000000-0006-0000-0300-0000190C0000}">
      <text>
        <r>
          <rPr>
            <sz val="10"/>
            <color rgb="FF000000"/>
            <rFont val="Arial"/>
            <scheme val="minor"/>
          </rPr>
          <t>Responder updated this value.</t>
        </r>
      </text>
    </comment>
    <comment ref="AQ133" authorId="0" shapeId="0" xr:uid="{00000000-0006-0000-0300-00001A0C0000}">
      <text>
        <r>
          <rPr>
            <sz val="10"/>
            <color rgb="FF000000"/>
            <rFont val="Arial"/>
            <scheme val="minor"/>
          </rPr>
          <t>Responder updated this value.</t>
        </r>
      </text>
    </comment>
    <comment ref="AR133" authorId="0" shapeId="0" xr:uid="{00000000-0006-0000-0300-00001B0C0000}">
      <text>
        <r>
          <rPr>
            <sz val="10"/>
            <color rgb="FF000000"/>
            <rFont val="Arial"/>
            <scheme val="minor"/>
          </rPr>
          <t>Responder updated this value.</t>
        </r>
      </text>
    </comment>
    <comment ref="D134" authorId="0" shapeId="0" xr:uid="{00000000-0006-0000-0300-00001C0C0000}">
      <text>
        <r>
          <rPr>
            <sz val="10"/>
            <color rgb="FF000000"/>
            <rFont val="Arial"/>
            <scheme val="minor"/>
          </rPr>
          <t>Responder updated this value.</t>
        </r>
      </text>
    </comment>
    <comment ref="L134" authorId="0" shapeId="0" xr:uid="{00000000-0006-0000-0300-00001D0C0000}">
      <text>
        <r>
          <rPr>
            <sz val="10"/>
            <color rgb="FF000000"/>
            <rFont val="Arial"/>
            <scheme val="minor"/>
          </rPr>
          <t>Responder updated this value.</t>
        </r>
      </text>
    </comment>
    <comment ref="M134" authorId="0" shapeId="0" xr:uid="{00000000-0006-0000-0300-00001E0C0000}">
      <text>
        <r>
          <rPr>
            <sz val="10"/>
            <color rgb="FF000000"/>
            <rFont val="Arial"/>
            <scheme val="minor"/>
          </rPr>
          <t>Responder updated this value.</t>
        </r>
      </text>
    </comment>
    <comment ref="N134" authorId="0" shapeId="0" xr:uid="{00000000-0006-0000-0300-00001F0C0000}">
      <text>
        <r>
          <rPr>
            <sz val="10"/>
            <color rgb="FF000000"/>
            <rFont val="Arial"/>
            <scheme val="minor"/>
          </rPr>
          <t>Responder updated this value.</t>
        </r>
      </text>
    </comment>
    <comment ref="O134" authorId="0" shapeId="0" xr:uid="{00000000-0006-0000-0300-0000200C0000}">
      <text>
        <r>
          <rPr>
            <sz val="10"/>
            <color rgb="FF000000"/>
            <rFont val="Arial"/>
            <scheme val="minor"/>
          </rPr>
          <t>Responder updated this value.</t>
        </r>
      </text>
    </comment>
    <comment ref="P134" authorId="0" shapeId="0" xr:uid="{00000000-0006-0000-0300-0000210C0000}">
      <text>
        <r>
          <rPr>
            <sz val="10"/>
            <color rgb="FF000000"/>
            <rFont val="Arial"/>
            <scheme val="minor"/>
          </rPr>
          <t>Responder updated this value.</t>
        </r>
      </text>
    </comment>
    <comment ref="Q134" authorId="0" shapeId="0" xr:uid="{00000000-0006-0000-0300-0000220C0000}">
      <text>
        <r>
          <rPr>
            <sz val="10"/>
            <color rgb="FF000000"/>
            <rFont val="Arial"/>
            <scheme val="minor"/>
          </rPr>
          <t>Responder updated this value.</t>
        </r>
      </text>
    </comment>
    <comment ref="S134" authorId="0" shapeId="0" xr:uid="{00000000-0006-0000-0300-0000230C0000}">
      <text>
        <r>
          <rPr>
            <sz val="10"/>
            <color rgb="FF000000"/>
            <rFont val="Arial"/>
            <scheme val="minor"/>
          </rPr>
          <t>Responder updated this value.</t>
        </r>
      </text>
    </comment>
    <comment ref="T134" authorId="0" shapeId="0" xr:uid="{00000000-0006-0000-0300-0000240C0000}">
      <text>
        <r>
          <rPr>
            <sz val="10"/>
            <color rgb="FF000000"/>
            <rFont val="Arial"/>
            <scheme val="minor"/>
          </rPr>
          <t>Responder updated this value.</t>
        </r>
      </text>
    </comment>
    <comment ref="U134" authorId="0" shapeId="0" xr:uid="{00000000-0006-0000-0300-0000250C0000}">
      <text>
        <r>
          <rPr>
            <sz val="10"/>
            <color rgb="FF000000"/>
            <rFont val="Arial"/>
            <scheme val="minor"/>
          </rPr>
          <t>Responder updated this value.</t>
        </r>
      </text>
    </comment>
    <comment ref="W134" authorId="0" shapeId="0" xr:uid="{00000000-0006-0000-0300-0000260C0000}">
      <text>
        <r>
          <rPr>
            <sz val="10"/>
            <color rgb="FF000000"/>
            <rFont val="Arial"/>
            <scheme val="minor"/>
          </rPr>
          <t>Responder updated this value.</t>
        </r>
      </text>
    </comment>
    <comment ref="X134" authorId="0" shapeId="0" xr:uid="{00000000-0006-0000-0300-0000270C0000}">
      <text>
        <r>
          <rPr>
            <sz val="10"/>
            <color rgb="FF000000"/>
            <rFont val="Arial"/>
            <scheme val="minor"/>
          </rPr>
          <t>Responder updated this value.</t>
        </r>
      </text>
    </comment>
    <comment ref="Y134" authorId="0" shapeId="0" xr:uid="{00000000-0006-0000-0300-0000280C0000}">
      <text>
        <r>
          <rPr>
            <sz val="10"/>
            <color rgb="FF000000"/>
            <rFont val="Arial"/>
            <scheme val="minor"/>
          </rPr>
          <t>Responder updated this value.</t>
        </r>
      </text>
    </comment>
    <comment ref="Z134" authorId="0" shapeId="0" xr:uid="{00000000-0006-0000-0300-0000290C0000}">
      <text>
        <r>
          <rPr>
            <sz val="10"/>
            <color rgb="FF000000"/>
            <rFont val="Arial"/>
            <scheme val="minor"/>
          </rPr>
          <t>Responder updated this value.</t>
        </r>
      </text>
    </comment>
    <comment ref="AK134" authorId="0" shapeId="0" xr:uid="{00000000-0006-0000-0300-00002A0C0000}">
      <text>
        <r>
          <rPr>
            <sz val="10"/>
            <color rgb="FF000000"/>
            <rFont val="Arial"/>
            <scheme val="minor"/>
          </rPr>
          <t>Responder updated this value.</t>
        </r>
      </text>
    </comment>
    <comment ref="AL134" authorId="0" shapeId="0" xr:uid="{00000000-0006-0000-0300-00002B0C0000}">
      <text>
        <r>
          <rPr>
            <sz val="10"/>
            <color rgb="FF000000"/>
            <rFont val="Arial"/>
            <scheme val="minor"/>
          </rPr>
          <t>Responder updated this value.</t>
        </r>
      </text>
    </comment>
    <comment ref="AM134" authorId="0" shapeId="0" xr:uid="{00000000-0006-0000-0300-00002C0C0000}">
      <text>
        <r>
          <rPr>
            <sz val="10"/>
            <color rgb="FF000000"/>
            <rFont val="Arial"/>
            <scheme val="minor"/>
          </rPr>
          <t>Responder updated this value.</t>
        </r>
      </text>
    </comment>
    <comment ref="AN134" authorId="0" shapeId="0" xr:uid="{00000000-0006-0000-0300-00002D0C0000}">
      <text>
        <r>
          <rPr>
            <sz val="10"/>
            <color rgb="FF000000"/>
            <rFont val="Arial"/>
            <scheme val="minor"/>
          </rPr>
          <t>Responder updated this value.</t>
        </r>
      </text>
    </comment>
    <comment ref="AO134" authorId="0" shapeId="0" xr:uid="{00000000-0006-0000-0300-00002E0C0000}">
      <text>
        <r>
          <rPr>
            <sz val="10"/>
            <color rgb="FF000000"/>
            <rFont val="Arial"/>
            <scheme val="minor"/>
          </rPr>
          <t>Responder updated this value.</t>
        </r>
      </text>
    </comment>
    <comment ref="AP134" authorId="0" shapeId="0" xr:uid="{00000000-0006-0000-0300-00002F0C0000}">
      <text>
        <r>
          <rPr>
            <sz val="10"/>
            <color rgb="FF000000"/>
            <rFont val="Arial"/>
            <scheme val="minor"/>
          </rPr>
          <t>Responder updated this value.</t>
        </r>
      </text>
    </comment>
    <comment ref="AQ134" authorId="0" shapeId="0" xr:uid="{00000000-0006-0000-0300-0000300C0000}">
      <text>
        <r>
          <rPr>
            <sz val="10"/>
            <color rgb="FF000000"/>
            <rFont val="Arial"/>
            <scheme val="minor"/>
          </rPr>
          <t>Responder updated this value.</t>
        </r>
      </text>
    </comment>
    <comment ref="AR134" authorId="0" shapeId="0" xr:uid="{00000000-0006-0000-0300-0000310C0000}">
      <text>
        <r>
          <rPr>
            <sz val="10"/>
            <color rgb="FF000000"/>
            <rFont val="Arial"/>
            <scheme val="minor"/>
          </rPr>
          <t>Responder updated this value.</t>
        </r>
      </text>
    </comment>
    <comment ref="D135" authorId="0" shapeId="0" xr:uid="{00000000-0006-0000-0300-0000320C0000}">
      <text>
        <r>
          <rPr>
            <sz val="10"/>
            <color rgb="FF000000"/>
            <rFont val="Arial"/>
            <scheme val="minor"/>
          </rPr>
          <t>Responder updated this value.</t>
        </r>
      </text>
    </comment>
    <comment ref="L135" authorId="0" shapeId="0" xr:uid="{00000000-0006-0000-0300-0000330C0000}">
      <text>
        <r>
          <rPr>
            <sz val="10"/>
            <color rgb="FF000000"/>
            <rFont val="Arial"/>
            <scheme val="minor"/>
          </rPr>
          <t>Responder updated this value.</t>
        </r>
      </text>
    </comment>
    <comment ref="M135" authorId="0" shapeId="0" xr:uid="{00000000-0006-0000-0300-0000340C0000}">
      <text>
        <r>
          <rPr>
            <sz val="10"/>
            <color rgb="FF000000"/>
            <rFont val="Arial"/>
            <scheme val="minor"/>
          </rPr>
          <t>Responder updated this value.</t>
        </r>
      </text>
    </comment>
    <comment ref="N135" authorId="0" shapeId="0" xr:uid="{00000000-0006-0000-0300-0000350C0000}">
      <text>
        <r>
          <rPr>
            <sz val="10"/>
            <color rgb="FF000000"/>
            <rFont val="Arial"/>
            <scheme val="minor"/>
          </rPr>
          <t>Responder updated this value.</t>
        </r>
      </text>
    </comment>
    <comment ref="O135" authorId="0" shapeId="0" xr:uid="{00000000-0006-0000-0300-0000360C0000}">
      <text>
        <r>
          <rPr>
            <sz val="10"/>
            <color rgb="FF000000"/>
            <rFont val="Arial"/>
            <scheme val="minor"/>
          </rPr>
          <t>Responder updated this value.</t>
        </r>
      </text>
    </comment>
    <comment ref="P135" authorId="0" shapeId="0" xr:uid="{00000000-0006-0000-0300-0000370C0000}">
      <text>
        <r>
          <rPr>
            <sz val="10"/>
            <color rgb="FF000000"/>
            <rFont val="Arial"/>
            <scheme val="minor"/>
          </rPr>
          <t>Responder updated this value.</t>
        </r>
      </text>
    </comment>
    <comment ref="Q135" authorId="0" shapeId="0" xr:uid="{00000000-0006-0000-0300-0000380C0000}">
      <text>
        <r>
          <rPr>
            <sz val="10"/>
            <color rgb="FF000000"/>
            <rFont val="Arial"/>
            <scheme val="minor"/>
          </rPr>
          <t>Responder updated this value.</t>
        </r>
      </text>
    </comment>
    <comment ref="S135" authorId="0" shapeId="0" xr:uid="{00000000-0006-0000-0300-0000390C0000}">
      <text>
        <r>
          <rPr>
            <sz val="10"/>
            <color rgb="FF000000"/>
            <rFont val="Arial"/>
            <scheme val="minor"/>
          </rPr>
          <t>Responder updated this value.</t>
        </r>
      </text>
    </comment>
    <comment ref="U135" authorId="0" shapeId="0" xr:uid="{00000000-0006-0000-0300-00003A0C0000}">
      <text>
        <r>
          <rPr>
            <sz val="10"/>
            <color rgb="FF000000"/>
            <rFont val="Arial"/>
            <scheme val="minor"/>
          </rPr>
          <t>Responder updated this value.</t>
        </r>
      </text>
    </comment>
    <comment ref="W135" authorId="0" shapeId="0" xr:uid="{00000000-0006-0000-0300-00003B0C0000}">
      <text>
        <r>
          <rPr>
            <sz val="10"/>
            <color rgb="FF000000"/>
            <rFont val="Arial"/>
            <scheme val="minor"/>
          </rPr>
          <t>Responder updated this value.</t>
        </r>
      </text>
    </comment>
    <comment ref="X135" authorId="0" shapeId="0" xr:uid="{00000000-0006-0000-0300-00003C0C0000}">
      <text>
        <r>
          <rPr>
            <sz val="10"/>
            <color rgb="FF000000"/>
            <rFont val="Arial"/>
            <scheme val="minor"/>
          </rPr>
          <t>Responder updated this value.</t>
        </r>
      </text>
    </comment>
    <comment ref="Y135" authorId="0" shapeId="0" xr:uid="{00000000-0006-0000-0300-00003D0C0000}">
      <text>
        <r>
          <rPr>
            <sz val="10"/>
            <color rgb="FF000000"/>
            <rFont val="Arial"/>
            <scheme val="minor"/>
          </rPr>
          <t>Responder updated this value.</t>
        </r>
      </text>
    </comment>
    <comment ref="Z135" authorId="0" shapeId="0" xr:uid="{00000000-0006-0000-0300-00003E0C0000}">
      <text>
        <r>
          <rPr>
            <sz val="10"/>
            <color rgb="FF000000"/>
            <rFont val="Arial"/>
            <scheme val="minor"/>
          </rPr>
          <t>Responder updated this value.</t>
        </r>
      </text>
    </comment>
    <comment ref="AC135" authorId="0" shapeId="0" xr:uid="{00000000-0006-0000-0300-00003F0C0000}">
      <text>
        <r>
          <rPr>
            <sz val="10"/>
            <color rgb="FF000000"/>
            <rFont val="Arial"/>
            <scheme val="minor"/>
          </rPr>
          <t>Responder updated this value.</t>
        </r>
      </text>
    </comment>
    <comment ref="AD135" authorId="0" shapeId="0" xr:uid="{00000000-0006-0000-0300-0000400C0000}">
      <text>
        <r>
          <rPr>
            <sz val="10"/>
            <color rgb="FF000000"/>
            <rFont val="Arial"/>
            <scheme val="minor"/>
          </rPr>
          <t>Responder updated this value.</t>
        </r>
      </text>
    </comment>
    <comment ref="AE135" authorId="0" shapeId="0" xr:uid="{00000000-0006-0000-0300-0000410C0000}">
      <text>
        <r>
          <rPr>
            <sz val="10"/>
            <color rgb="FF000000"/>
            <rFont val="Arial"/>
            <scheme val="minor"/>
          </rPr>
          <t>Responder updated this value.</t>
        </r>
      </text>
    </comment>
    <comment ref="AF135" authorId="0" shapeId="0" xr:uid="{00000000-0006-0000-0300-0000420C0000}">
      <text>
        <r>
          <rPr>
            <sz val="10"/>
            <color rgb="FF000000"/>
            <rFont val="Arial"/>
            <scheme val="minor"/>
          </rPr>
          <t>Responder updated this value.</t>
        </r>
      </text>
    </comment>
    <comment ref="AG135" authorId="0" shapeId="0" xr:uid="{00000000-0006-0000-0300-0000430C0000}">
      <text>
        <r>
          <rPr>
            <sz val="10"/>
            <color rgb="FF000000"/>
            <rFont val="Arial"/>
            <scheme val="minor"/>
          </rPr>
          <t>Responder updated this value.</t>
        </r>
      </text>
    </comment>
    <comment ref="AH135" authorId="0" shapeId="0" xr:uid="{00000000-0006-0000-0300-0000440C0000}">
      <text>
        <r>
          <rPr>
            <sz val="10"/>
            <color rgb="FF000000"/>
            <rFont val="Arial"/>
            <scheme val="minor"/>
          </rPr>
          <t>Responder updated this value.</t>
        </r>
      </text>
    </comment>
    <comment ref="AK135" authorId="0" shapeId="0" xr:uid="{00000000-0006-0000-0300-0000450C0000}">
      <text>
        <r>
          <rPr>
            <sz val="10"/>
            <color rgb="FF000000"/>
            <rFont val="Arial"/>
            <scheme val="minor"/>
          </rPr>
          <t>Responder updated this value.</t>
        </r>
      </text>
    </comment>
    <comment ref="AL135" authorId="0" shapeId="0" xr:uid="{00000000-0006-0000-0300-0000460C0000}">
      <text>
        <r>
          <rPr>
            <sz val="10"/>
            <color rgb="FF000000"/>
            <rFont val="Arial"/>
            <scheme val="minor"/>
          </rPr>
          <t>Responder updated this value.</t>
        </r>
      </text>
    </comment>
    <comment ref="AM135" authorId="0" shapeId="0" xr:uid="{00000000-0006-0000-0300-0000470C0000}">
      <text>
        <r>
          <rPr>
            <sz val="10"/>
            <color rgb="FF000000"/>
            <rFont val="Arial"/>
            <scheme val="minor"/>
          </rPr>
          <t>Responder updated this value.</t>
        </r>
      </text>
    </comment>
    <comment ref="AN135" authorId="0" shapeId="0" xr:uid="{00000000-0006-0000-0300-0000480C0000}">
      <text>
        <r>
          <rPr>
            <sz val="10"/>
            <color rgb="FF000000"/>
            <rFont val="Arial"/>
            <scheme val="minor"/>
          </rPr>
          <t>Responder updated this value.</t>
        </r>
      </text>
    </comment>
    <comment ref="AO135" authorId="0" shapeId="0" xr:uid="{00000000-0006-0000-0300-0000490C0000}">
      <text>
        <r>
          <rPr>
            <sz val="10"/>
            <color rgb="FF000000"/>
            <rFont val="Arial"/>
            <scheme val="minor"/>
          </rPr>
          <t>Responder updated this value.</t>
        </r>
      </text>
    </comment>
    <comment ref="AP135" authorId="0" shapeId="0" xr:uid="{00000000-0006-0000-0300-00004A0C0000}">
      <text>
        <r>
          <rPr>
            <sz val="10"/>
            <color rgb="FF000000"/>
            <rFont val="Arial"/>
            <scheme val="minor"/>
          </rPr>
          <t>Responder updated this value.</t>
        </r>
      </text>
    </comment>
    <comment ref="AQ135" authorId="0" shapeId="0" xr:uid="{00000000-0006-0000-0300-00004B0C0000}">
      <text>
        <r>
          <rPr>
            <sz val="10"/>
            <color rgb="FF000000"/>
            <rFont val="Arial"/>
            <scheme val="minor"/>
          </rPr>
          <t>Responder updated this value.</t>
        </r>
      </text>
    </comment>
    <comment ref="AR135" authorId="0" shapeId="0" xr:uid="{00000000-0006-0000-0300-00004C0C0000}">
      <text>
        <r>
          <rPr>
            <sz val="10"/>
            <color rgb="FF000000"/>
            <rFont val="Arial"/>
            <scheme val="minor"/>
          </rPr>
          <t>Responder updated this value.</t>
        </r>
      </text>
    </comment>
    <comment ref="D136" authorId="0" shapeId="0" xr:uid="{00000000-0006-0000-0300-00004D0C0000}">
      <text>
        <r>
          <rPr>
            <sz val="10"/>
            <color rgb="FF000000"/>
            <rFont val="Arial"/>
            <scheme val="minor"/>
          </rPr>
          <t>Responder updated this value.</t>
        </r>
      </text>
    </comment>
    <comment ref="L136" authorId="0" shapeId="0" xr:uid="{00000000-0006-0000-0300-00004E0C0000}">
      <text>
        <r>
          <rPr>
            <sz val="10"/>
            <color rgb="FF000000"/>
            <rFont val="Arial"/>
            <scheme val="minor"/>
          </rPr>
          <t>Responder updated this value.</t>
        </r>
      </text>
    </comment>
    <comment ref="M136" authorId="0" shapeId="0" xr:uid="{00000000-0006-0000-0300-00004F0C0000}">
      <text>
        <r>
          <rPr>
            <sz val="10"/>
            <color rgb="FF000000"/>
            <rFont val="Arial"/>
            <scheme val="minor"/>
          </rPr>
          <t>Responder updated this value.</t>
        </r>
      </text>
    </comment>
    <comment ref="N136" authorId="0" shapeId="0" xr:uid="{00000000-0006-0000-0300-0000500C0000}">
      <text>
        <r>
          <rPr>
            <sz val="10"/>
            <color rgb="FF000000"/>
            <rFont val="Arial"/>
            <scheme val="minor"/>
          </rPr>
          <t>Responder updated this value.</t>
        </r>
      </text>
    </comment>
    <comment ref="O136" authorId="0" shapeId="0" xr:uid="{00000000-0006-0000-0300-0000510C0000}">
      <text>
        <r>
          <rPr>
            <sz val="10"/>
            <color rgb="FF000000"/>
            <rFont val="Arial"/>
            <scheme val="minor"/>
          </rPr>
          <t>Responder updated this value.</t>
        </r>
      </text>
    </comment>
    <comment ref="P136" authorId="0" shapeId="0" xr:uid="{00000000-0006-0000-0300-0000520C0000}">
      <text>
        <r>
          <rPr>
            <sz val="10"/>
            <color rgb="FF000000"/>
            <rFont val="Arial"/>
            <scheme val="minor"/>
          </rPr>
          <t>Responder updated this value.</t>
        </r>
      </text>
    </comment>
    <comment ref="Q136" authorId="0" shapeId="0" xr:uid="{00000000-0006-0000-0300-0000530C0000}">
      <text>
        <r>
          <rPr>
            <sz val="10"/>
            <color rgb="FF000000"/>
            <rFont val="Arial"/>
            <scheme val="minor"/>
          </rPr>
          <t>Responder updated this value.</t>
        </r>
      </text>
    </comment>
    <comment ref="S136" authorId="0" shapeId="0" xr:uid="{00000000-0006-0000-0300-0000540C0000}">
      <text>
        <r>
          <rPr>
            <sz val="10"/>
            <color rgb="FF000000"/>
            <rFont val="Arial"/>
            <scheme val="minor"/>
          </rPr>
          <t>Responder updated this value.</t>
        </r>
      </text>
    </comment>
    <comment ref="U136" authorId="0" shapeId="0" xr:uid="{00000000-0006-0000-0300-0000550C0000}">
      <text>
        <r>
          <rPr>
            <sz val="10"/>
            <color rgb="FF000000"/>
            <rFont val="Arial"/>
            <scheme val="minor"/>
          </rPr>
          <t>Responder updated this value.</t>
        </r>
      </text>
    </comment>
    <comment ref="W136" authorId="0" shapeId="0" xr:uid="{00000000-0006-0000-0300-0000560C0000}">
      <text>
        <r>
          <rPr>
            <sz val="10"/>
            <color rgb="FF000000"/>
            <rFont val="Arial"/>
            <scheme val="minor"/>
          </rPr>
          <t>Responder updated this value.</t>
        </r>
      </text>
    </comment>
    <comment ref="X136" authorId="0" shapeId="0" xr:uid="{00000000-0006-0000-0300-0000570C0000}">
      <text>
        <r>
          <rPr>
            <sz val="10"/>
            <color rgb="FF000000"/>
            <rFont val="Arial"/>
            <scheme val="minor"/>
          </rPr>
          <t>Responder updated this value.</t>
        </r>
      </text>
    </comment>
    <comment ref="Y136" authorId="0" shapeId="0" xr:uid="{00000000-0006-0000-0300-0000580C0000}">
      <text>
        <r>
          <rPr>
            <sz val="10"/>
            <color rgb="FF000000"/>
            <rFont val="Arial"/>
            <scheme val="minor"/>
          </rPr>
          <t>Responder updated this value.</t>
        </r>
      </text>
    </comment>
    <comment ref="Z136" authorId="0" shapeId="0" xr:uid="{00000000-0006-0000-0300-0000590C0000}">
      <text>
        <r>
          <rPr>
            <sz val="10"/>
            <color rgb="FF000000"/>
            <rFont val="Arial"/>
            <scheme val="minor"/>
          </rPr>
          <t>Responder updated this value.</t>
        </r>
      </text>
    </comment>
    <comment ref="AC136" authorId="0" shapeId="0" xr:uid="{00000000-0006-0000-0300-00005A0C0000}">
      <text>
        <r>
          <rPr>
            <sz val="10"/>
            <color rgb="FF000000"/>
            <rFont val="Arial"/>
            <scheme val="minor"/>
          </rPr>
          <t>Responder updated this value.</t>
        </r>
      </text>
    </comment>
    <comment ref="AD136" authorId="0" shapeId="0" xr:uid="{00000000-0006-0000-0300-00005B0C0000}">
      <text>
        <r>
          <rPr>
            <sz val="10"/>
            <color rgb="FF000000"/>
            <rFont val="Arial"/>
            <scheme val="minor"/>
          </rPr>
          <t>Responder updated this value.</t>
        </r>
      </text>
    </comment>
    <comment ref="AE136" authorId="0" shapeId="0" xr:uid="{00000000-0006-0000-0300-00005C0C0000}">
      <text>
        <r>
          <rPr>
            <sz val="10"/>
            <color rgb="FF000000"/>
            <rFont val="Arial"/>
            <scheme val="minor"/>
          </rPr>
          <t>Responder updated this value.</t>
        </r>
      </text>
    </comment>
    <comment ref="AF136" authorId="0" shapeId="0" xr:uid="{00000000-0006-0000-0300-00005D0C0000}">
      <text>
        <r>
          <rPr>
            <sz val="10"/>
            <color rgb="FF000000"/>
            <rFont val="Arial"/>
            <scheme val="minor"/>
          </rPr>
          <t>Responder updated this value.</t>
        </r>
      </text>
    </comment>
    <comment ref="AG136" authorId="0" shapeId="0" xr:uid="{00000000-0006-0000-0300-00005E0C0000}">
      <text>
        <r>
          <rPr>
            <sz val="10"/>
            <color rgb="FF000000"/>
            <rFont val="Arial"/>
            <scheme val="minor"/>
          </rPr>
          <t>Responder updated this value.</t>
        </r>
      </text>
    </comment>
    <comment ref="AH136" authorId="0" shapeId="0" xr:uid="{00000000-0006-0000-0300-00005F0C0000}">
      <text>
        <r>
          <rPr>
            <sz val="10"/>
            <color rgb="FF000000"/>
            <rFont val="Arial"/>
            <scheme val="minor"/>
          </rPr>
          <t>Responder updated this value.</t>
        </r>
      </text>
    </comment>
    <comment ref="AK136" authorId="0" shapeId="0" xr:uid="{00000000-0006-0000-0300-0000600C0000}">
      <text>
        <r>
          <rPr>
            <sz val="10"/>
            <color rgb="FF000000"/>
            <rFont val="Arial"/>
            <scheme val="minor"/>
          </rPr>
          <t>Responder updated this value.</t>
        </r>
      </text>
    </comment>
    <comment ref="AL136" authorId="0" shapeId="0" xr:uid="{00000000-0006-0000-0300-0000610C0000}">
      <text>
        <r>
          <rPr>
            <sz val="10"/>
            <color rgb="FF000000"/>
            <rFont val="Arial"/>
            <scheme val="minor"/>
          </rPr>
          <t>Responder updated this value.</t>
        </r>
      </text>
    </comment>
    <comment ref="AM136" authorId="0" shapeId="0" xr:uid="{00000000-0006-0000-0300-0000620C0000}">
      <text>
        <r>
          <rPr>
            <sz val="10"/>
            <color rgb="FF000000"/>
            <rFont val="Arial"/>
            <scheme val="minor"/>
          </rPr>
          <t>Responder updated this value.</t>
        </r>
      </text>
    </comment>
    <comment ref="AN136" authorId="0" shapeId="0" xr:uid="{00000000-0006-0000-0300-0000630C0000}">
      <text>
        <r>
          <rPr>
            <sz val="10"/>
            <color rgb="FF000000"/>
            <rFont val="Arial"/>
            <scheme val="minor"/>
          </rPr>
          <t>Responder updated this value.</t>
        </r>
      </text>
    </comment>
    <comment ref="AO136" authorId="0" shapeId="0" xr:uid="{00000000-0006-0000-0300-0000640C0000}">
      <text>
        <r>
          <rPr>
            <sz val="10"/>
            <color rgb="FF000000"/>
            <rFont val="Arial"/>
            <scheme val="minor"/>
          </rPr>
          <t>Responder updated this value.</t>
        </r>
      </text>
    </comment>
    <comment ref="AP136" authorId="0" shapeId="0" xr:uid="{00000000-0006-0000-0300-0000650C0000}">
      <text>
        <r>
          <rPr>
            <sz val="10"/>
            <color rgb="FF000000"/>
            <rFont val="Arial"/>
            <scheme val="minor"/>
          </rPr>
          <t>Responder updated this value.</t>
        </r>
      </text>
    </comment>
    <comment ref="AQ136" authorId="0" shapeId="0" xr:uid="{00000000-0006-0000-0300-0000660C0000}">
      <text>
        <r>
          <rPr>
            <sz val="10"/>
            <color rgb="FF000000"/>
            <rFont val="Arial"/>
            <scheme val="minor"/>
          </rPr>
          <t>Responder updated this value.</t>
        </r>
      </text>
    </comment>
    <comment ref="AR136" authorId="0" shapeId="0" xr:uid="{00000000-0006-0000-0300-0000670C0000}">
      <text>
        <r>
          <rPr>
            <sz val="10"/>
            <color rgb="FF000000"/>
            <rFont val="Arial"/>
            <scheme val="minor"/>
          </rPr>
          <t>Responder updated this value.</t>
        </r>
      </text>
    </comment>
    <comment ref="D137" authorId="0" shapeId="0" xr:uid="{00000000-0006-0000-0300-0000680C0000}">
      <text>
        <r>
          <rPr>
            <sz val="10"/>
            <color rgb="FF000000"/>
            <rFont val="Arial"/>
            <scheme val="minor"/>
          </rPr>
          <t>Responder updated this value.</t>
        </r>
      </text>
    </comment>
    <comment ref="L137" authorId="0" shapeId="0" xr:uid="{00000000-0006-0000-0300-0000690C0000}">
      <text>
        <r>
          <rPr>
            <sz val="10"/>
            <color rgb="FF000000"/>
            <rFont val="Arial"/>
            <scheme val="minor"/>
          </rPr>
          <t>Responder updated this value.</t>
        </r>
      </text>
    </comment>
    <comment ref="M137" authorId="0" shapeId="0" xr:uid="{00000000-0006-0000-0300-00006A0C0000}">
      <text>
        <r>
          <rPr>
            <sz val="10"/>
            <color rgb="FF000000"/>
            <rFont val="Arial"/>
            <scheme val="minor"/>
          </rPr>
          <t>Responder updated this value.</t>
        </r>
      </text>
    </comment>
    <comment ref="N137" authorId="0" shapeId="0" xr:uid="{00000000-0006-0000-0300-00006B0C0000}">
      <text>
        <r>
          <rPr>
            <sz val="10"/>
            <color rgb="FF000000"/>
            <rFont val="Arial"/>
            <scheme val="minor"/>
          </rPr>
          <t>Responder updated this value.</t>
        </r>
      </text>
    </comment>
    <comment ref="P137" authorId="0" shapeId="0" xr:uid="{00000000-0006-0000-0300-00006C0C0000}">
      <text>
        <r>
          <rPr>
            <sz val="10"/>
            <color rgb="FF000000"/>
            <rFont val="Arial"/>
            <scheme val="minor"/>
          </rPr>
          <t>Responder updated this value.</t>
        </r>
      </text>
    </comment>
    <comment ref="Q137" authorId="0" shapeId="0" xr:uid="{00000000-0006-0000-0300-00006D0C0000}">
      <text>
        <r>
          <rPr>
            <sz val="10"/>
            <color rgb="FF000000"/>
            <rFont val="Arial"/>
            <scheme val="minor"/>
          </rPr>
          <t>Responder updated this value.</t>
        </r>
      </text>
    </comment>
    <comment ref="S137" authorId="0" shapeId="0" xr:uid="{00000000-0006-0000-0300-00006E0C0000}">
      <text>
        <r>
          <rPr>
            <sz val="10"/>
            <color rgb="FF000000"/>
            <rFont val="Arial"/>
            <scheme val="minor"/>
          </rPr>
          <t>Responder updated this value.</t>
        </r>
      </text>
    </comment>
    <comment ref="T137" authorId="0" shapeId="0" xr:uid="{00000000-0006-0000-0300-00006F0C0000}">
      <text>
        <r>
          <rPr>
            <sz val="10"/>
            <color rgb="FF000000"/>
            <rFont val="Arial"/>
            <scheme val="minor"/>
          </rPr>
          <t>Responder updated this value.</t>
        </r>
      </text>
    </comment>
    <comment ref="U137" authorId="0" shapeId="0" xr:uid="{00000000-0006-0000-0300-0000700C0000}">
      <text>
        <r>
          <rPr>
            <sz val="10"/>
            <color rgb="FF000000"/>
            <rFont val="Arial"/>
            <scheme val="minor"/>
          </rPr>
          <t>Responder updated this value.</t>
        </r>
      </text>
    </comment>
    <comment ref="W137" authorId="0" shapeId="0" xr:uid="{00000000-0006-0000-0300-0000710C0000}">
      <text>
        <r>
          <rPr>
            <sz val="10"/>
            <color rgb="FF000000"/>
            <rFont val="Arial"/>
            <scheme val="minor"/>
          </rPr>
          <t>Responder updated this value.</t>
        </r>
      </text>
    </comment>
    <comment ref="X137" authorId="0" shapeId="0" xr:uid="{00000000-0006-0000-0300-0000720C0000}">
      <text>
        <r>
          <rPr>
            <sz val="10"/>
            <color rgb="FF000000"/>
            <rFont val="Arial"/>
            <scheme val="minor"/>
          </rPr>
          <t>Responder updated this value.</t>
        </r>
      </text>
    </comment>
    <comment ref="Y137" authorId="0" shapeId="0" xr:uid="{00000000-0006-0000-0300-0000730C0000}">
      <text>
        <r>
          <rPr>
            <sz val="10"/>
            <color rgb="FF000000"/>
            <rFont val="Arial"/>
            <scheme val="minor"/>
          </rPr>
          <t>Responder updated this value.</t>
        </r>
      </text>
    </comment>
    <comment ref="Z137" authorId="0" shapeId="0" xr:uid="{00000000-0006-0000-0300-0000740C0000}">
      <text>
        <r>
          <rPr>
            <sz val="10"/>
            <color rgb="FF000000"/>
            <rFont val="Arial"/>
            <scheme val="minor"/>
          </rPr>
          <t>Responder updated this value.</t>
        </r>
      </text>
    </comment>
    <comment ref="AC137" authorId="0" shapeId="0" xr:uid="{00000000-0006-0000-0300-0000750C0000}">
      <text>
        <r>
          <rPr>
            <sz val="10"/>
            <color rgb="FF000000"/>
            <rFont val="Arial"/>
            <scheme val="minor"/>
          </rPr>
          <t>Responder updated this value.</t>
        </r>
      </text>
    </comment>
    <comment ref="AD137" authorId="0" shapeId="0" xr:uid="{00000000-0006-0000-0300-0000760C0000}">
      <text>
        <r>
          <rPr>
            <sz val="10"/>
            <color rgb="FF000000"/>
            <rFont val="Arial"/>
            <scheme val="minor"/>
          </rPr>
          <t>Responder updated this value.</t>
        </r>
      </text>
    </comment>
    <comment ref="AE137" authorId="0" shapeId="0" xr:uid="{00000000-0006-0000-0300-0000770C0000}">
      <text>
        <r>
          <rPr>
            <sz val="10"/>
            <color rgb="FF000000"/>
            <rFont val="Arial"/>
            <scheme val="minor"/>
          </rPr>
          <t>Responder updated this value.</t>
        </r>
      </text>
    </comment>
    <comment ref="AF137" authorId="0" shapeId="0" xr:uid="{00000000-0006-0000-0300-0000780C0000}">
      <text>
        <r>
          <rPr>
            <sz val="10"/>
            <color rgb="FF000000"/>
            <rFont val="Arial"/>
            <scheme val="minor"/>
          </rPr>
          <t>Responder updated this value.</t>
        </r>
      </text>
    </comment>
    <comment ref="AG137" authorId="0" shapeId="0" xr:uid="{00000000-0006-0000-0300-0000790C0000}">
      <text>
        <r>
          <rPr>
            <sz val="10"/>
            <color rgb="FF000000"/>
            <rFont val="Arial"/>
            <scheme val="minor"/>
          </rPr>
          <t>Responder updated this value.</t>
        </r>
      </text>
    </comment>
    <comment ref="AH137" authorId="0" shapeId="0" xr:uid="{00000000-0006-0000-0300-00007A0C0000}">
      <text>
        <r>
          <rPr>
            <sz val="10"/>
            <color rgb="FF000000"/>
            <rFont val="Arial"/>
            <scheme val="minor"/>
          </rPr>
          <t>Responder updated this value.</t>
        </r>
      </text>
    </comment>
    <comment ref="AK137" authorId="0" shapeId="0" xr:uid="{00000000-0006-0000-0300-00007B0C0000}">
      <text>
        <r>
          <rPr>
            <sz val="10"/>
            <color rgb="FF000000"/>
            <rFont val="Arial"/>
            <scheme val="minor"/>
          </rPr>
          <t>Responder updated this value.</t>
        </r>
      </text>
    </comment>
    <comment ref="AL137" authorId="0" shapeId="0" xr:uid="{00000000-0006-0000-0300-00007C0C0000}">
      <text>
        <r>
          <rPr>
            <sz val="10"/>
            <color rgb="FF000000"/>
            <rFont val="Arial"/>
            <scheme val="minor"/>
          </rPr>
          <t>Responder updated this value.</t>
        </r>
      </text>
    </comment>
    <comment ref="AM137" authorId="0" shapeId="0" xr:uid="{00000000-0006-0000-0300-00007D0C0000}">
      <text>
        <r>
          <rPr>
            <sz val="10"/>
            <color rgb="FF000000"/>
            <rFont val="Arial"/>
            <scheme val="minor"/>
          </rPr>
          <t>Responder updated this value.</t>
        </r>
      </text>
    </comment>
    <comment ref="AN137" authorId="0" shapeId="0" xr:uid="{00000000-0006-0000-0300-00007E0C0000}">
      <text>
        <r>
          <rPr>
            <sz val="10"/>
            <color rgb="FF000000"/>
            <rFont val="Arial"/>
            <scheme val="minor"/>
          </rPr>
          <t>Responder updated this value.</t>
        </r>
      </text>
    </comment>
    <comment ref="AP137" authorId="0" shapeId="0" xr:uid="{00000000-0006-0000-0300-00007F0C0000}">
      <text>
        <r>
          <rPr>
            <sz val="10"/>
            <color rgb="FF000000"/>
            <rFont val="Arial"/>
            <scheme val="minor"/>
          </rPr>
          <t>Responder updated this value.</t>
        </r>
      </text>
    </comment>
    <comment ref="AQ137" authorId="0" shapeId="0" xr:uid="{00000000-0006-0000-0300-0000800C0000}">
      <text>
        <r>
          <rPr>
            <sz val="10"/>
            <color rgb="FF000000"/>
            <rFont val="Arial"/>
            <scheme val="minor"/>
          </rPr>
          <t>Responder updated this value.</t>
        </r>
      </text>
    </comment>
    <comment ref="AR137" authorId="0" shapeId="0" xr:uid="{00000000-0006-0000-0300-0000810C0000}">
      <text>
        <r>
          <rPr>
            <sz val="10"/>
            <color rgb="FF000000"/>
            <rFont val="Arial"/>
            <scheme val="minor"/>
          </rPr>
          <t>Responder updated this value.</t>
        </r>
      </text>
    </comment>
    <comment ref="D138" authorId="0" shapeId="0" xr:uid="{00000000-0006-0000-0300-0000820C0000}">
      <text>
        <r>
          <rPr>
            <sz val="10"/>
            <color rgb="FF000000"/>
            <rFont val="Arial"/>
            <scheme val="minor"/>
          </rPr>
          <t>Responder updated this value.</t>
        </r>
      </text>
    </comment>
    <comment ref="L138" authorId="0" shapeId="0" xr:uid="{00000000-0006-0000-0300-0000830C0000}">
      <text>
        <r>
          <rPr>
            <sz val="10"/>
            <color rgb="FF000000"/>
            <rFont val="Arial"/>
            <scheme val="minor"/>
          </rPr>
          <t>Responder updated this value.</t>
        </r>
      </text>
    </comment>
    <comment ref="M138" authorId="0" shapeId="0" xr:uid="{00000000-0006-0000-0300-0000840C0000}">
      <text>
        <r>
          <rPr>
            <sz val="10"/>
            <color rgb="FF000000"/>
            <rFont val="Arial"/>
            <scheme val="minor"/>
          </rPr>
          <t>Responder updated this value.</t>
        </r>
      </text>
    </comment>
    <comment ref="N138" authorId="0" shapeId="0" xr:uid="{00000000-0006-0000-0300-0000850C0000}">
      <text>
        <r>
          <rPr>
            <sz val="10"/>
            <color rgb="FF000000"/>
            <rFont val="Arial"/>
            <scheme val="minor"/>
          </rPr>
          <t>Responder updated this value.</t>
        </r>
      </text>
    </comment>
    <comment ref="O138" authorId="0" shapeId="0" xr:uid="{00000000-0006-0000-0300-0000860C0000}">
      <text>
        <r>
          <rPr>
            <sz val="10"/>
            <color rgb="FF000000"/>
            <rFont val="Arial"/>
            <scheme val="minor"/>
          </rPr>
          <t>Responder updated this value.</t>
        </r>
      </text>
    </comment>
    <comment ref="P138" authorId="0" shapeId="0" xr:uid="{00000000-0006-0000-0300-0000870C0000}">
      <text>
        <r>
          <rPr>
            <sz val="10"/>
            <color rgb="FF000000"/>
            <rFont val="Arial"/>
            <scheme val="minor"/>
          </rPr>
          <t>Responder updated this value.</t>
        </r>
      </text>
    </comment>
    <comment ref="Q138" authorId="0" shapeId="0" xr:uid="{00000000-0006-0000-0300-0000880C0000}">
      <text>
        <r>
          <rPr>
            <sz val="10"/>
            <color rgb="FF000000"/>
            <rFont val="Arial"/>
            <scheme val="minor"/>
          </rPr>
          <t>Responder updated this value.</t>
        </r>
      </text>
    </comment>
    <comment ref="S138" authorId="0" shapeId="0" xr:uid="{00000000-0006-0000-0300-0000890C0000}">
      <text>
        <r>
          <rPr>
            <sz val="10"/>
            <color rgb="FF000000"/>
            <rFont val="Arial"/>
            <scheme val="minor"/>
          </rPr>
          <t>Responder updated this value.</t>
        </r>
      </text>
    </comment>
    <comment ref="T138" authorId="0" shapeId="0" xr:uid="{00000000-0006-0000-0300-00008A0C0000}">
      <text>
        <r>
          <rPr>
            <sz val="10"/>
            <color rgb="FF000000"/>
            <rFont val="Arial"/>
            <scheme val="minor"/>
          </rPr>
          <t>Responder updated this value.</t>
        </r>
      </text>
    </comment>
    <comment ref="U138" authorId="0" shapeId="0" xr:uid="{00000000-0006-0000-0300-00008B0C0000}">
      <text>
        <r>
          <rPr>
            <sz val="10"/>
            <color rgb="FF000000"/>
            <rFont val="Arial"/>
            <scheme val="minor"/>
          </rPr>
          <t>Responder updated this value.</t>
        </r>
      </text>
    </comment>
    <comment ref="W138" authorId="0" shapeId="0" xr:uid="{00000000-0006-0000-0300-00008C0C0000}">
      <text>
        <r>
          <rPr>
            <sz val="10"/>
            <color rgb="FF000000"/>
            <rFont val="Arial"/>
            <scheme val="minor"/>
          </rPr>
          <t>Responder updated this value.</t>
        </r>
      </text>
    </comment>
    <comment ref="X138" authorId="0" shapeId="0" xr:uid="{00000000-0006-0000-0300-00008D0C0000}">
      <text>
        <r>
          <rPr>
            <sz val="10"/>
            <color rgb="FF000000"/>
            <rFont val="Arial"/>
            <scheme val="minor"/>
          </rPr>
          <t>Responder updated this value.</t>
        </r>
      </text>
    </comment>
    <comment ref="Y138" authorId="0" shapeId="0" xr:uid="{00000000-0006-0000-0300-00008E0C0000}">
      <text>
        <r>
          <rPr>
            <sz val="10"/>
            <color rgb="FF000000"/>
            <rFont val="Arial"/>
            <scheme val="minor"/>
          </rPr>
          <t>Responder updated this value.</t>
        </r>
      </text>
    </comment>
    <comment ref="Z138" authorId="0" shapeId="0" xr:uid="{00000000-0006-0000-0300-00008F0C0000}">
      <text>
        <r>
          <rPr>
            <sz val="10"/>
            <color rgb="FF000000"/>
            <rFont val="Arial"/>
            <scheme val="minor"/>
          </rPr>
          <t>Responder updated this value.</t>
        </r>
      </text>
    </comment>
    <comment ref="AC138" authorId="0" shapeId="0" xr:uid="{00000000-0006-0000-0300-0000900C0000}">
      <text>
        <r>
          <rPr>
            <sz val="10"/>
            <color rgb="FF000000"/>
            <rFont val="Arial"/>
            <scheme val="minor"/>
          </rPr>
          <t>Responder updated this value.</t>
        </r>
      </text>
    </comment>
    <comment ref="AD138" authorId="0" shapeId="0" xr:uid="{00000000-0006-0000-0300-0000910C0000}">
      <text>
        <r>
          <rPr>
            <sz val="10"/>
            <color rgb="FF000000"/>
            <rFont val="Arial"/>
            <scheme val="minor"/>
          </rPr>
          <t>Responder updated this value.</t>
        </r>
      </text>
    </comment>
    <comment ref="AE138" authorId="0" shapeId="0" xr:uid="{00000000-0006-0000-0300-0000920C0000}">
      <text>
        <r>
          <rPr>
            <sz val="10"/>
            <color rgb="FF000000"/>
            <rFont val="Arial"/>
            <scheme val="minor"/>
          </rPr>
          <t>Responder updated this value.</t>
        </r>
      </text>
    </comment>
    <comment ref="AF138" authorId="0" shapeId="0" xr:uid="{00000000-0006-0000-0300-0000930C0000}">
      <text>
        <r>
          <rPr>
            <sz val="10"/>
            <color rgb="FF000000"/>
            <rFont val="Arial"/>
            <scheme val="minor"/>
          </rPr>
          <t>Responder updated this value.</t>
        </r>
      </text>
    </comment>
    <comment ref="AG138" authorId="0" shapeId="0" xr:uid="{00000000-0006-0000-0300-0000940C0000}">
      <text>
        <r>
          <rPr>
            <sz val="10"/>
            <color rgb="FF000000"/>
            <rFont val="Arial"/>
            <scheme val="minor"/>
          </rPr>
          <t>Responder updated this value.</t>
        </r>
      </text>
    </comment>
    <comment ref="AH138" authorId="0" shapeId="0" xr:uid="{00000000-0006-0000-0300-0000950C0000}">
      <text>
        <r>
          <rPr>
            <sz val="10"/>
            <color rgb="FF000000"/>
            <rFont val="Arial"/>
            <scheme val="minor"/>
          </rPr>
          <t>Responder updated this value.</t>
        </r>
      </text>
    </comment>
    <comment ref="AK138" authorId="0" shapeId="0" xr:uid="{00000000-0006-0000-0300-0000960C0000}">
      <text>
        <r>
          <rPr>
            <sz val="10"/>
            <color rgb="FF000000"/>
            <rFont val="Arial"/>
            <scheme val="minor"/>
          </rPr>
          <t>Responder updated this value.</t>
        </r>
      </text>
    </comment>
    <comment ref="AL138" authorId="0" shapeId="0" xr:uid="{00000000-0006-0000-0300-0000970C0000}">
      <text>
        <r>
          <rPr>
            <sz val="10"/>
            <color rgb="FF000000"/>
            <rFont val="Arial"/>
            <scheme val="minor"/>
          </rPr>
          <t>Responder updated this value.</t>
        </r>
      </text>
    </comment>
    <comment ref="AM138" authorId="0" shapeId="0" xr:uid="{00000000-0006-0000-0300-0000980C0000}">
      <text>
        <r>
          <rPr>
            <sz val="10"/>
            <color rgb="FF000000"/>
            <rFont val="Arial"/>
            <scheme val="minor"/>
          </rPr>
          <t>Responder updated this value.</t>
        </r>
      </text>
    </comment>
    <comment ref="AN138" authorId="0" shapeId="0" xr:uid="{00000000-0006-0000-0300-0000990C0000}">
      <text>
        <r>
          <rPr>
            <sz val="10"/>
            <color rgb="FF000000"/>
            <rFont val="Arial"/>
            <scheme val="minor"/>
          </rPr>
          <t>Responder updated this value.</t>
        </r>
      </text>
    </comment>
    <comment ref="AO138" authorId="0" shapeId="0" xr:uid="{00000000-0006-0000-0300-00009A0C0000}">
      <text>
        <r>
          <rPr>
            <sz val="10"/>
            <color rgb="FF000000"/>
            <rFont val="Arial"/>
            <scheme val="minor"/>
          </rPr>
          <t>Responder updated this value.</t>
        </r>
      </text>
    </comment>
    <comment ref="AP138" authorId="0" shapeId="0" xr:uid="{00000000-0006-0000-0300-00009B0C0000}">
      <text>
        <r>
          <rPr>
            <sz val="10"/>
            <color rgb="FF000000"/>
            <rFont val="Arial"/>
            <scheme val="minor"/>
          </rPr>
          <t>Responder updated this value.</t>
        </r>
      </text>
    </comment>
    <comment ref="AQ138" authorId="0" shapeId="0" xr:uid="{00000000-0006-0000-0300-00009C0C0000}">
      <text>
        <r>
          <rPr>
            <sz val="10"/>
            <color rgb="FF000000"/>
            <rFont val="Arial"/>
            <scheme val="minor"/>
          </rPr>
          <t>Responder updated this value.</t>
        </r>
      </text>
    </comment>
    <comment ref="AR138" authorId="0" shapeId="0" xr:uid="{00000000-0006-0000-0300-00009D0C0000}">
      <text>
        <r>
          <rPr>
            <sz val="10"/>
            <color rgb="FF000000"/>
            <rFont val="Arial"/>
            <scheme val="minor"/>
          </rPr>
          <t>Responder updated this value.</t>
        </r>
      </text>
    </comment>
    <comment ref="D139" authorId="0" shapeId="0" xr:uid="{00000000-0006-0000-0300-00009E0C0000}">
      <text>
        <r>
          <rPr>
            <sz val="10"/>
            <color rgb="FF000000"/>
            <rFont val="Arial"/>
            <scheme val="minor"/>
          </rPr>
          <t>Responder updated this value.</t>
        </r>
      </text>
    </comment>
    <comment ref="M139" authorId="0" shapeId="0" xr:uid="{00000000-0006-0000-0300-00009F0C0000}">
      <text>
        <r>
          <rPr>
            <sz val="10"/>
            <color rgb="FF000000"/>
            <rFont val="Arial"/>
            <scheme val="minor"/>
          </rPr>
          <t>Responder updated this value.</t>
        </r>
      </text>
    </comment>
    <comment ref="N139" authorId="0" shapeId="0" xr:uid="{00000000-0006-0000-0300-0000A00C0000}">
      <text>
        <r>
          <rPr>
            <sz val="10"/>
            <color rgb="FF000000"/>
            <rFont val="Arial"/>
            <scheme val="minor"/>
          </rPr>
          <t>Responder updated this value.</t>
        </r>
      </text>
    </comment>
    <comment ref="O139" authorId="0" shapeId="0" xr:uid="{00000000-0006-0000-0300-0000A10C0000}">
      <text>
        <r>
          <rPr>
            <sz val="10"/>
            <color rgb="FF000000"/>
            <rFont val="Arial"/>
            <scheme val="minor"/>
          </rPr>
          <t>Responder updated this value.</t>
        </r>
      </text>
    </comment>
    <comment ref="P139" authorId="0" shapeId="0" xr:uid="{00000000-0006-0000-0300-0000A20C0000}">
      <text>
        <r>
          <rPr>
            <sz val="10"/>
            <color rgb="FF000000"/>
            <rFont val="Arial"/>
            <scheme val="minor"/>
          </rPr>
          <t>Responder updated this value.</t>
        </r>
      </text>
    </comment>
    <comment ref="Q139" authorId="0" shapeId="0" xr:uid="{00000000-0006-0000-0300-0000A30C0000}">
      <text>
        <r>
          <rPr>
            <sz val="10"/>
            <color rgb="FF000000"/>
            <rFont val="Arial"/>
            <scheme val="minor"/>
          </rPr>
          <t>Responder updated this value.</t>
        </r>
      </text>
    </comment>
    <comment ref="S139" authorId="0" shapeId="0" xr:uid="{00000000-0006-0000-0300-0000A40C0000}">
      <text>
        <r>
          <rPr>
            <sz val="10"/>
            <color rgb="FF000000"/>
            <rFont val="Arial"/>
            <scheme val="minor"/>
          </rPr>
          <t>Responder updated this value.</t>
        </r>
      </text>
    </comment>
    <comment ref="T139" authorId="0" shapeId="0" xr:uid="{00000000-0006-0000-0300-0000A50C0000}">
      <text>
        <r>
          <rPr>
            <sz val="10"/>
            <color rgb="FF000000"/>
            <rFont val="Arial"/>
            <scheme val="minor"/>
          </rPr>
          <t>Responder updated this value.</t>
        </r>
      </text>
    </comment>
    <comment ref="U139" authorId="0" shapeId="0" xr:uid="{00000000-0006-0000-0300-0000A60C0000}">
      <text>
        <r>
          <rPr>
            <sz val="10"/>
            <color rgb="FF000000"/>
            <rFont val="Arial"/>
            <scheme val="minor"/>
          </rPr>
          <t>Responder updated this value.</t>
        </r>
      </text>
    </comment>
    <comment ref="W139" authorId="0" shapeId="0" xr:uid="{00000000-0006-0000-0300-0000A70C0000}">
      <text>
        <r>
          <rPr>
            <sz val="10"/>
            <color rgb="FF000000"/>
            <rFont val="Arial"/>
            <scheme val="minor"/>
          </rPr>
          <t>Responder updated this value.</t>
        </r>
      </text>
    </comment>
    <comment ref="X139" authorId="0" shapeId="0" xr:uid="{00000000-0006-0000-0300-0000A80C0000}">
      <text>
        <r>
          <rPr>
            <sz val="10"/>
            <color rgb="FF000000"/>
            <rFont val="Arial"/>
            <scheme val="minor"/>
          </rPr>
          <t>Responder updated this value.</t>
        </r>
      </text>
    </comment>
    <comment ref="Y139" authorId="0" shapeId="0" xr:uid="{00000000-0006-0000-0300-0000A90C0000}">
      <text>
        <r>
          <rPr>
            <sz val="10"/>
            <color rgb="FF000000"/>
            <rFont val="Arial"/>
            <scheme val="minor"/>
          </rPr>
          <t>Responder updated this value.</t>
        </r>
      </text>
    </comment>
    <comment ref="Z139" authorId="0" shapeId="0" xr:uid="{00000000-0006-0000-0300-0000AA0C0000}">
      <text>
        <r>
          <rPr>
            <sz val="10"/>
            <color rgb="FF000000"/>
            <rFont val="Arial"/>
            <scheme val="minor"/>
          </rPr>
          <t>Responder updated this value.</t>
        </r>
      </text>
    </comment>
    <comment ref="AC139" authorId="0" shapeId="0" xr:uid="{00000000-0006-0000-0300-0000AB0C0000}">
      <text>
        <r>
          <rPr>
            <sz val="10"/>
            <color rgb="FF000000"/>
            <rFont val="Arial"/>
            <scheme val="minor"/>
          </rPr>
          <t>Responder updated this value.</t>
        </r>
      </text>
    </comment>
    <comment ref="AD139" authorId="0" shapeId="0" xr:uid="{00000000-0006-0000-0300-0000AC0C0000}">
      <text>
        <r>
          <rPr>
            <sz val="10"/>
            <color rgb="FF000000"/>
            <rFont val="Arial"/>
            <scheme val="minor"/>
          </rPr>
          <t>Responder updated this value.</t>
        </r>
      </text>
    </comment>
    <comment ref="AE139" authorId="0" shapeId="0" xr:uid="{00000000-0006-0000-0300-0000AD0C0000}">
      <text>
        <r>
          <rPr>
            <sz val="10"/>
            <color rgb="FF000000"/>
            <rFont val="Arial"/>
            <scheme val="minor"/>
          </rPr>
          <t>Responder updated this value.</t>
        </r>
      </text>
    </comment>
    <comment ref="AF139" authorId="0" shapeId="0" xr:uid="{00000000-0006-0000-0300-0000AE0C0000}">
      <text>
        <r>
          <rPr>
            <sz val="10"/>
            <color rgb="FF000000"/>
            <rFont val="Arial"/>
            <scheme val="minor"/>
          </rPr>
          <t>Responder updated this value.</t>
        </r>
      </text>
    </comment>
    <comment ref="AG139" authorId="0" shapeId="0" xr:uid="{00000000-0006-0000-0300-0000AF0C0000}">
      <text>
        <r>
          <rPr>
            <sz val="10"/>
            <color rgb="FF000000"/>
            <rFont val="Arial"/>
            <scheme val="minor"/>
          </rPr>
          <t>Responder updated this value.</t>
        </r>
      </text>
    </comment>
    <comment ref="AH139" authorId="0" shapeId="0" xr:uid="{00000000-0006-0000-0300-0000B00C0000}">
      <text>
        <r>
          <rPr>
            <sz val="10"/>
            <color rgb="FF000000"/>
            <rFont val="Arial"/>
            <scheme val="minor"/>
          </rPr>
          <t>Responder updated this value.</t>
        </r>
      </text>
    </comment>
    <comment ref="AK139" authorId="0" shapeId="0" xr:uid="{00000000-0006-0000-0300-0000B10C0000}">
      <text>
        <r>
          <rPr>
            <sz val="10"/>
            <color rgb="FF000000"/>
            <rFont val="Arial"/>
            <scheme val="minor"/>
          </rPr>
          <t>Responder updated this value.</t>
        </r>
      </text>
    </comment>
    <comment ref="AL139" authorId="0" shapeId="0" xr:uid="{00000000-0006-0000-0300-0000B20C0000}">
      <text>
        <r>
          <rPr>
            <sz val="10"/>
            <color rgb="FF000000"/>
            <rFont val="Arial"/>
            <scheme val="minor"/>
          </rPr>
          <t>Responder updated this value.</t>
        </r>
      </text>
    </comment>
    <comment ref="AM139" authorId="0" shapeId="0" xr:uid="{00000000-0006-0000-0300-0000B30C0000}">
      <text>
        <r>
          <rPr>
            <sz val="10"/>
            <color rgb="FF000000"/>
            <rFont val="Arial"/>
            <scheme val="minor"/>
          </rPr>
          <t>Responder updated this value.</t>
        </r>
      </text>
    </comment>
    <comment ref="AN139" authorId="0" shapeId="0" xr:uid="{00000000-0006-0000-0300-0000B40C0000}">
      <text>
        <r>
          <rPr>
            <sz val="10"/>
            <color rgb="FF000000"/>
            <rFont val="Arial"/>
            <scheme val="minor"/>
          </rPr>
          <t>Responder updated this value.</t>
        </r>
      </text>
    </comment>
    <comment ref="AO139" authorId="0" shapeId="0" xr:uid="{00000000-0006-0000-0300-0000B50C0000}">
      <text>
        <r>
          <rPr>
            <sz val="10"/>
            <color rgb="FF000000"/>
            <rFont val="Arial"/>
            <scheme val="minor"/>
          </rPr>
          <t>Responder updated this value.</t>
        </r>
      </text>
    </comment>
    <comment ref="AP139" authorId="0" shapeId="0" xr:uid="{00000000-0006-0000-0300-0000B60C0000}">
      <text>
        <r>
          <rPr>
            <sz val="10"/>
            <color rgb="FF000000"/>
            <rFont val="Arial"/>
            <scheme val="minor"/>
          </rPr>
          <t>Responder updated this value.</t>
        </r>
      </text>
    </comment>
    <comment ref="AQ139" authorId="0" shapeId="0" xr:uid="{00000000-0006-0000-0300-0000B70C0000}">
      <text>
        <r>
          <rPr>
            <sz val="10"/>
            <color rgb="FF000000"/>
            <rFont val="Arial"/>
            <scheme val="minor"/>
          </rPr>
          <t>Responder updated this value.</t>
        </r>
      </text>
    </comment>
    <comment ref="AR139" authorId="0" shapeId="0" xr:uid="{00000000-0006-0000-0300-0000B80C0000}">
      <text>
        <r>
          <rPr>
            <sz val="10"/>
            <color rgb="FF000000"/>
            <rFont val="Arial"/>
            <scheme val="minor"/>
          </rPr>
          <t>Responder updated this value.</t>
        </r>
      </text>
    </comment>
    <comment ref="AU139" authorId="0" shapeId="0" xr:uid="{00000000-0006-0000-0300-0000B90C0000}">
      <text>
        <r>
          <rPr>
            <sz val="10"/>
            <color rgb="FF000000"/>
            <rFont val="Arial"/>
            <scheme val="minor"/>
          </rPr>
          <t>Responder updated this value.</t>
        </r>
      </text>
    </comment>
    <comment ref="D140" authorId="0" shapeId="0" xr:uid="{00000000-0006-0000-0300-0000BA0C0000}">
      <text>
        <r>
          <rPr>
            <sz val="10"/>
            <color rgb="FF000000"/>
            <rFont val="Arial"/>
            <scheme val="minor"/>
          </rPr>
          <t>Responder updated this value.</t>
        </r>
      </text>
    </comment>
    <comment ref="N140" authorId="0" shapeId="0" xr:uid="{00000000-0006-0000-0300-0000BB0C0000}">
      <text>
        <r>
          <rPr>
            <sz val="10"/>
            <color rgb="FF000000"/>
            <rFont val="Arial"/>
            <scheme val="minor"/>
          </rPr>
          <t>Responder updated this value.</t>
        </r>
      </text>
    </comment>
    <comment ref="O140" authorId="0" shapeId="0" xr:uid="{00000000-0006-0000-0300-0000BC0C0000}">
      <text>
        <r>
          <rPr>
            <sz val="10"/>
            <color rgb="FF000000"/>
            <rFont val="Arial"/>
            <scheme val="minor"/>
          </rPr>
          <t>Responder updated this value.</t>
        </r>
      </text>
    </comment>
    <comment ref="P140" authorId="0" shapeId="0" xr:uid="{00000000-0006-0000-0300-0000BD0C0000}">
      <text>
        <r>
          <rPr>
            <sz val="10"/>
            <color rgb="FF000000"/>
            <rFont val="Arial"/>
            <scheme val="minor"/>
          </rPr>
          <t>Responder updated this value.</t>
        </r>
      </text>
    </comment>
    <comment ref="Q140" authorId="0" shapeId="0" xr:uid="{00000000-0006-0000-0300-0000BE0C0000}">
      <text>
        <r>
          <rPr>
            <sz val="10"/>
            <color rgb="FF000000"/>
            <rFont val="Arial"/>
            <scheme val="minor"/>
          </rPr>
          <t>Responder updated this value.</t>
        </r>
      </text>
    </comment>
    <comment ref="S140" authorId="0" shapeId="0" xr:uid="{00000000-0006-0000-0300-0000BF0C0000}">
      <text>
        <r>
          <rPr>
            <sz val="10"/>
            <color rgb="FF000000"/>
            <rFont val="Arial"/>
            <scheme val="minor"/>
          </rPr>
          <t>Responder updated this value.</t>
        </r>
      </text>
    </comment>
    <comment ref="T140" authorId="0" shapeId="0" xr:uid="{00000000-0006-0000-0300-0000C00C0000}">
      <text>
        <r>
          <rPr>
            <sz val="10"/>
            <color rgb="FF000000"/>
            <rFont val="Arial"/>
            <scheme val="minor"/>
          </rPr>
          <t>Responder updated this value.</t>
        </r>
      </text>
    </comment>
    <comment ref="U140" authorId="0" shapeId="0" xr:uid="{00000000-0006-0000-0300-0000C10C0000}">
      <text>
        <r>
          <rPr>
            <sz val="10"/>
            <color rgb="FF000000"/>
            <rFont val="Arial"/>
            <scheme val="minor"/>
          </rPr>
          <t>Responder updated this value.</t>
        </r>
      </text>
    </comment>
    <comment ref="W140" authorId="0" shapeId="0" xr:uid="{00000000-0006-0000-0300-0000C20C0000}">
      <text>
        <r>
          <rPr>
            <sz val="10"/>
            <color rgb="FF000000"/>
            <rFont val="Arial"/>
            <scheme val="minor"/>
          </rPr>
          <t>Responder updated this value.</t>
        </r>
      </text>
    </comment>
    <comment ref="X140" authorId="0" shapeId="0" xr:uid="{00000000-0006-0000-0300-0000C30C0000}">
      <text>
        <r>
          <rPr>
            <sz val="10"/>
            <color rgb="FF000000"/>
            <rFont val="Arial"/>
            <scheme val="minor"/>
          </rPr>
          <t>Responder updated this value.</t>
        </r>
      </text>
    </comment>
    <comment ref="Y140" authorId="0" shapeId="0" xr:uid="{00000000-0006-0000-0300-0000C40C0000}">
      <text>
        <r>
          <rPr>
            <sz val="10"/>
            <color rgb="FF000000"/>
            <rFont val="Arial"/>
            <scheme val="minor"/>
          </rPr>
          <t>Responder updated this value.</t>
        </r>
      </text>
    </comment>
    <comment ref="Z140" authorId="0" shapeId="0" xr:uid="{00000000-0006-0000-0300-0000C50C0000}">
      <text>
        <r>
          <rPr>
            <sz val="10"/>
            <color rgb="FF000000"/>
            <rFont val="Arial"/>
            <scheme val="minor"/>
          </rPr>
          <t>Responder updated this value.</t>
        </r>
      </text>
    </comment>
    <comment ref="AC140" authorId="0" shapeId="0" xr:uid="{00000000-0006-0000-0300-0000C60C0000}">
      <text>
        <r>
          <rPr>
            <sz val="10"/>
            <color rgb="FF000000"/>
            <rFont val="Arial"/>
            <scheme val="minor"/>
          </rPr>
          <t>Responder updated this value.</t>
        </r>
      </text>
    </comment>
    <comment ref="AD140" authorId="0" shapeId="0" xr:uid="{00000000-0006-0000-0300-0000C70C0000}">
      <text>
        <r>
          <rPr>
            <sz val="10"/>
            <color rgb="FF000000"/>
            <rFont val="Arial"/>
            <scheme val="minor"/>
          </rPr>
          <t>Responder updated this value.</t>
        </r>
      </text>
    </comment>
    <comment ref="AE140" authorId="0" shapeId="0" xr:uid="{00000000-0006-0000-0300-0000C80C0000}">
      <text>
        <r>
          <rPr>
            <sz val="10"/>
            <color rgb="FF000000"/>
            <rFont val="Arial"/>
            <scheme val="minor"/>
          </rPr>
          <t>Responder updated this value.</t>
        </r>
      </text>
    </comment>
    <comment ref="AF140" authorId="0" shapeId="0" xr:uid="{00000000-0006-0000-0300-0000C90C0000}">
      <text>
        <r>
          <rPr>
            <sz val="10"/>
            <color rgb="FF000000"/>
            <rFont val="Arial"/>
            <scheme val="minor"/>
          </rPr>
          <t>Responder updated this value.</t>
        </r>
      </text>
    </comment>
    <comment ref="AG140" authorId="0" shapeId="0" xr:uid="{00000000-0006-0000-0300-0000CA0C0000}">
      <text>
        <r>
          <rPr>
            <sz val="10"/>
            <color rgb="FF000000"/>
            <rFont val="Arial"/>
            <scheme val="minor"/>
          </rPr>
          <t>Responder updated this value.</t>
        </r>
      </text>
    </comment>
    <comment ref="AH140" authorId="0" shapeId="0" xr:uid="{00000000-0006-0000-0300-0000CB0C0000}">
      <text>
        <r>
          <rPr>
            <sz val="10"/>
            <color rgb="FF000000"/>
            <rFont val="Arial"/>
            <scheme val="minor"/>
          </rPr>
          <t>Responder updated this value.</t>
        </r>
      </text>
    </comment>
    <comment ref="D141" authorId="0" shapeId="0" xr:uid="{00000000-0006-0000-0300-0000CC0C0000}">
      <text>
        <r>
          <rPr>
            <sz val="10"/>
            <color rgb="FF000000"/>
            <rFont val="Arial"/>
            <scheme val="minor"/>
          </rPr>
          <t>Responder updated this value.</t>
        </r>
      </text>
    </comment>
    <comment ref="N141" authorId="0" shapeId="0" xr:uid="{00000000-0006-0000-0300-0000CD0C0000}">
      <text>
        <r>
          <rPr>
            <sz val="10"/>
            <color rgb="FF000000"/>
            <rFont val="Arial"/>
            <scheme val="minor"/>
          </rPr>
          <t>Responder updated this value.</t>
        </r>
      </text>
    </comment>
    <comment ref="O141" authorId="0" shapeId="0" xr:uid="{00000000-0006-0000-0300-0000CE0C0000}">
      <text>
        <r>
          <rPr>
            <sz val="10"/>
            <color rgb="FF000000"/>
            <rFont val="Arial"/>
            <scheme val="minor"/>
          </rPr>
          <t>Responder updated this value.</t>
        </r>
      </text>
    </comment>
    <comment ref="P141" authorId="0" shapeId="0" xr:uid="{00000000-0006-0000-0300-0000CF0C0000}">
      <text>
        <r>
          <rPr>
            <sz val="10"/>
            <color rgb="FF000000"/>
            <rFont val="Arial"/>
            <scheme val="minor"/>
          </rPr>
          <t>Responder updated this value.</t>
        </r>
      </text>
    </comment>
    <comment ref="Q141" authorId="0" shapeId="0" xr:uid="{00000000-0006-0000-0300-0000D00C0000}">
      <text>
        <r>
          <rPr>
            <sz val="10"/>
            <color rgb="FF000000"/>
            <rFont val="Arial"/>
            <scheme val="minor"/>
          </rPr>
          <t>Responder updated this value.</t>
        </r>
      </text>
    </comment>
    <comment ref="S141" authorId="0" shapeId="0" xr:uid="{00000000-0006-0000-0300-0000D10C0000}">
      <text>
        <r>
          <rPr>
            <sz val="10"/>
            <color rgb="FF000000"/>
            <rFont val="Arial"/>
            <scheme val="minor"/>
          </rPr>
          <t>Responder updated this value.</t>
        </r>
      </text>
    </comment>
    <comment ref="T141" authorId="0" shapeId="0" xr:uid="{00000000-0006-0000-0300-0000D20C0000}">
      <text>
        <r>
          <rPr>
            <sz val="10"/>
            <color rgb="FF000000"/>
            <rFont val="Arial"/>
            <scheme val="minor"/>
          </rPr>
          <t>Responder updated this value.</t>
        </r>
      </text>
    </comment>
    <comment ref="U141" authorId="0" shapeId="0" xr:uid="{00000000-0006-0000-0300-0000D30C0000}">
      <text>
        <r>
          <rPr>
            <sz val="10"/>
            <color rgb="FF000000"/>
            <rFont val="Arial"/>
            <scheme val="minor"/>
          </rPr>
          <t>Responder updated this value.</t>
        </r>
      </text>
    </comment>
    <comment ref="W141" authorId="0" shapeId="0" xr:uid="{00000000-0006-0000-0300-0000D40C0000}">
      <text>
        <r>
          <rPr>
            <sz val="10"/>
            <color rgb="FF000000"/>
            <rFont val="Arial"/>
            <scheme val="minor"/>
          </rPr>
          <t>Responder updated this value.</t>
        </r>
      </text>
    </comment>
    <comment ref="X141" authorId="0" shapeId="0" xr:uid="{00000000-0006-0000-0300-0000D50C0000}">
      <text>
        <r>
          <rPr>
            <sz val="10"/>
            <color rgb="FF000000"/>
            <rFont val="Arial"/>
            <scheme val="minor"/>
          </rPr>
          <t>Responder updated this value.</t>
        </r>
      </text>
    </comment>
    <comment ref="Y141" authorId="0" shapeId="0" xr:uid="{00000000-0006-0000-0300-0000D60C0000}">
      <text>
        <r>
          <rPr>
            <sz val="10"/>
            <color rgb="FF000000"/>
            <rFont val="Arial"/>
            <scheme val="minor"/>
          </rPr>
          <t>Responder updated this value.</t>
        </r>
      </text>
    </comment>
    <comment ref="Z141" authorId="0" shapeId="0" xr:uid="{00000000-0006-0000-0300-0000D70C0000}">
      <text>
        <r>
          <rPr>
            <sz val="10"/>
            <color rgb="FF000000"/>
            <rFont val="Arial"/>
            <scheme val="minor"/>
          </rPr>
          <t>Responder updated this value.</t>
        </r>
      </text>
    </comment>
    <comment ref="AC141" authorId="0" shapeId="0" xr:uid="{00000000-0006-0000-0300-0000D80C0000}">
      <text>
        <r>
          <rPr>
            <sz val="10"/>
            <color rgb="FF000000"/>
            <rFont val="Arial"/>
            <scheme val="minor"/>
          </rPr>
          <t>Responder updated this value.</t>
        </r>
      </text>
    </comment>
    <comment ref="AD141" authorId="0" shapeId="0" xr:uid="{00000000-0006-0000-0300-0000D90C0000}">
      <text>
        <r>
          <rPr>
            <sz val="10"/>
            <color rgb="FF000000"/>
            <rFont val="Arial"/>
            <scheme val="minor"/>
          </rPr>
          <t>Responder updated this value.</t>
        </r>
      </text>
    </comment>
    <comment ref="AE141" authorId="0" shapeId="0" xr:uid="{00000000-0006-0000-0300-0000DA0C0000}">
      <text>
        <r>
          <rPr>
            <sz val="10"/>
            <color rgb="FF000000"/>
            <rFont val="Arial"/>
            <scheme val="minor"/>
          </rPr>
          <t>Responder updated this value.</t>
        </r>
      </text>
    </comment>
    <comment ref="AF141" authorId="0" shapeId="0" xr:uid="{00000000-0006-0000-0300-0000DB0C0000}">
      <text>
        <r>
          <rPr>
            <sz val="10"/>
            <color rgb="FF000000"/>
            <rFont val="Arial"/>
            <scheme val="minor"/>
          </rPr>
          <t>Responder updated this value.</t>
        </r>
      </text>
    </comment>
    <comment ref="AG141" authorId="0" shapeId="0" xr:uid="{00000000-0006-0000-0300-0000DC0C0000}">
      <text>
        <r>
          <rPr>
            <sz val="10"/>
            <color rgb="FF000000"/>
            <rFont val="Arial"/>
            <scheme val="minor"/>
          </rPr>
          <t>Responder updated this value.</t>
        </r>
      </text>
    </comment>
    <comment ref="D142" authorId="0" shapeId="0" xr:uid="{00000000-0006-0000-0300-0000DD0C0000}">
      <text>
        <r>
          <rPr>
            <sz val="10"/>
            <color rgb="FF000000"/>
            <rFont val="Arial"/>
            <scheme val="minor"/>
          </rPr>
          <t>Responder updated this value.</t>
        </r>
      </text>
    </comment>
    <comment ref="N142" authorId="0" shapeId="0" xr:uid="{00000000-0006-0000-0300-0000DE0C0000}">
      <text>
        <r>
          <rPr>
            <sz val="10"/>
            <color rgb="FF000000"/>
            <rFont val="Arial"/>
            <scheme val="minor"/>
          </rPr>
          <t>Responder updated this value.</t>
        </r>
      </text>
    </comment>
    <comment ref="O142" authorId="0" shapeId="0" xr:uid="{00000000-0006-0000-0300-0000DF0C0000}">
      <text>
        <r>
          <rPr>
            <sz val="10"/>
            <color rgb="FF000000"/>
            <rFont val="Arial"/>
            <scheme val="minor"/>
          </rPr>
          <t>Responder updated this value.</t>
        </r>
      </text>
    </comment>
    <comment ref="P142" authorId="0" shapeId="0" xr:uid="{00000000-0006-0000-0300-0000E00C0000}">
      <text>
        <r>
          <rPr>
            <sz val="10"/>
            <color rgb="FF000000"/>
            <rFont val="Arial"/>
            <scheme val="minor"/>
          </rPr>
          <t>Responder updated this value.</t>
        </r>
      </text>
    </comment>
    <comment ref="Q142" authorId="0" shapeId="0" xr:uid="{00000000-0006-0000-0300-0000E10C0000}">
      <text>
        <r>
          <rPr>
            <sz val="10"/>
            <color rgb="FF000000"/>
            <rFont val="Arial"/>
            <scheme val="minor"/>
          </rPr>
          <t>Responder updated this value.</t>
        </r>
      </text>
    </comment>
    <comment ref="S142" authorId="0" shapeId="0" xr:uid="{00000000-0006-0000-0300-0000E20C0000}">
      <text>
        <r>
          <rPr>
            <sz val="10"/>
            <color rgb="FF000000"/>
            <rFont val="Arial"/>
            <scheme val="minor"/>
          </rPr>
          <t>Responder updated this value.</t>
        </r>
      </text>
    </comment>
    <comment ref="U142" authorId="0" shapeId="0" xr:uid="{00000000-0006-0000-0300-0000E30C0000}">
      <text>
        <r>
          <rPr>
            <sz val="10"/>
            <color rgb="FF000000"/>
            <rFont val="Arial"/>
            <scheme val="minor"/>
          </rPr>
          <t>Responder updated this value.</t>
        </r>
      </text>
    </comment>
    <comment ref="V142" authorId="0" shapeId="0" xr:uid="{00000000-0006-0000-0300-0000E40C0000}">
      <text>
        <r>
          <rPr>
            <sz val="10"/>
            <color rgb="FF000000"/>
            <rFont val="Arial"/>
            <scheme val="minor"/>
          </rPr>
          <t>Responder updated this value.</t>
        </r>
      </text>
    </comment>
    <comment ref="W142" authorId="0" shapeId="0" xr:uid="{00000000-0006-0000-0300-0000E50C0000}">
      <text>
        <r>
          <rPr>
            <sz val="10"/>
            <color rgb="FF000000"/>
            <rFont val="Arial"/>
            <scheme val="minor"/>
          </rPr>
          <t>Responder updated this value.</t>
        </r>
      </text>
    </comment>
    <comment ref="X142" authorId="0" shapeId="0" xr:uid="{00000000-0006-0000-0300-0000E60C0000}">
      <text>
        <r>
          <rPr>
            <sz val="10"/>
            <color rgb="FF000000"/>
            <rFont val="Arial"/>
            <scheme val="minor"/>
          </rPr>
          <t>Responder updated this value.</t>
        </r>
      </text>
    </comment>
    <comment ref="Y142" authorId="0" shapeId="0" xr:uid="{00000000-0006-0000-0300-0000E70C0000}">
      <text>
        <r>
          <rPr>
            <sz val="10"/>
            <color rgb="FF000000"/>
            <rFont val="Arial"/>
            <scheme val="minor"/>
          </rPr>
          <t>Responder updated this value.</t>
        </r>
      </text>
    </comment>
    <comment ref="Z142" authorId="0" shapeId="0" xr:uid="{00000000-0006-0000-0300-0000E80C0000}">
      <text>
        <r>
          <rPr>
            <sz val="10"/>
            <color rgb="FF000000"/>
            <rFont val="Arial"/>
            <scheme val="minor"/>
          </rPr>
          <t>Responder updated this value.</t>
        </r>
      </text>
    </comment>
    <comment ref="AC142" authorId="0" shapeId="0" xr:uid="{00000000-0006-0000-0300-0000E90C0000}">
      <text>
        <r>
          <rPr>
            <sz val="10"/>
            <color rgb="FF000000"/>
            <rFont val="Arial"/>
            <scheme val="minor"/>
          </rPr>
          <t>Responder updated this value.</t>
        </r>
      </text>
    </comment>
    <comment ref="AD142" authorId="0" shapeId="0" xr:uid="{00000000-0006-0000-0300-0000EA0C0000}">
      <text>
        <r>
          <rPr>
            <sz val="10"/>
            <color rgb="FF000000"/>
            <rFont val="Arial"/>
            <scheme val="minor"/>
          </rPr>
          <t>Responder updated this value.</t>
        </r>
      </text>
    </comment>
    <comment ref="AE142" authorId="0" shapeId="0" xr:uid="{00000000-0006-0000-0300-0000EB0C0000}">
      <text>
        <r>
          <rPr>
            <sz val="10"/>
            <color rgb="FF000000"/>
            <rFont val="Arial"/>
            <scheme val="minor"/>
          </rPr>
          <t>Responder updated this value.</t>
        </r>
      </text>
    </comment>
    <comment ref="AF142" authorId="0" shapeId="0" xr:uid="{00000000-0006-0000-0300-0000EC0C0000}">
      <text>
        <r>
          <rPr>
            <sz val="10"/>
            <color rgb="FF000000"/>
            <rFont val="Arial"/>
            <scheme val="minor"/>
          </rPr>
          <t>Responder updated this value.</t>
        </r>
      </text>
    </comment>
    <comment ref="AG142" authorId="0" shapeId="0" xr:uid="{00000000-0006-0000-0300-0000ED0C0000}">
      <text>
        <r>
          <rPr>
            <sz val="10"/>
            <color rgb="FF000000"/>
            <rFont val="Arial"/>
            <scheme val="minor"/>
          </rPr>
          <t>Responder updated this value.</t>
        </r>
      </text>
    </comment>
    <comment ref="AH142" authorId="0" shapeId="0" xr:uid="{00000000-0006-0000-0300-0000EE0C0000}">
      <text>
        <r>
          <rPr>
            <sz val="10"/>
            <color rgb="FF000000"/>
            <rFont val="Arial"/>
            <scheme val="minor"/>
          </rPr>
          <t>Responder updated this value.</t>
        </r>
      </text>
    </comment>
    <comment ref="AK142" authorId="0" shapeId="0" xr:uid="{00000000-0006-0000-0300-0000EF0C0000}">
      <text>
        <r>
          <rPr>
            <sz val="10"/>
            <color rgb="FF000000"/>
            <rFont val="Arial"/>
            <scheme val="minor"/>
          </rPr>
          <t>Responder updated this value.</t>
        </r>
      </text>
    </comment>
    <comment ref="AL142" authorId="0" shapeId="0" xr:uid="{00000000-0006-0000-0300-0000F00C0000}">
      <text>
        <r>
          <rPr>
            <sz val="10"/>
            <color rgb="FF000000"/>
            <rFont val="Arial"/>
            <scheme val="minor"/>
          </rPr>
          <t>Responder updated this value.</t>
        </r>
      </text>
    </comment>
    <comment ref="AM142" authorId="0" shapeId="0" xr:uid="{00000000-0006-0000-0300-0000F10C0000}">
      <text>
        <r>
          <rPr>
            <sz val="10"/>
            <color rgb="FF000000"/>
            <rFont val="Arial"/>
            <scheme val="minor"/>
          </rPr>
          <t>Responder updated this value.</t>
        </r>
      </text>
    </comment>
    <comment ref="AR142" authorId="0" shapeId="0" xr:uid="{00000000-0006-0000-0300-0000F20C0000}">
      <text>
        <r>
          <rPr>
            <sz val="10"/>
            <color rgb="FF000000"/>
            <rFont val="Arial"/>
            <scheme val="minor"/>
          </rPr>
          <t>Responder updated this value.</t>
        </r>
      </text>
    </comment>
    <comment ref="D143" authorId="0" shapeId="0" xr:uid="{00000000-0006-0000-0300-0000F30C0000}">
      <text>
        <r>
          <rPr>
            <sz val="10"/>
            <color rgb="FF000000"/>
            <rFont val="Arial"/>
            <scheme val="minor"/>
          </rPr>
          <t>Responder updated this value.</t>
        </r>
      </text>
    </comment>
    <comment ref="AM143" authorId="0" shapeId="0" xr:uid="{00000000-0006-0000-0300-0000F40C0000}">
      <text>
        <r>
          <rPr>
            <sz val="10"/>
            <color rgb="FF000000"/>
            <rFont val="Arial"/>
            <scheme val="minor"/>
          </rPr>
          <t>Responder updated this value.</t>
        </r>
      </text>
    </comment>
    <comment ref="AN143" authorId="0" shapeId="0" xr:uid="{00000000-0006-0000-0300-0000F50C0000}">
      <text>
        <r>
          <rPr>
            <sz val="10"/>
            <color rgb="FF000000"/>
            <rFont val="Arial"/>
            <scheme val="minor"/>
          </rPr>
          <t>Responder updated this value.</t>
        </r>
      </text>
    </comment>
    <comment ref="AO143" authorId="0" shapeId="0" xr:uid="{00000000-0006-0000-0300-0000F60C0000}">
      <text>
        <r>
          <rPr>
            <sz val="10"/>
            <color rgb="FF000000"/>
            <rFont val="Arial"/>
            <scheme val="minor"/>
          </rPr>
          <t>Responder updated this value.</t>
        </r>
      </text>
    </comment>
    <comment ref="AP143" authorId="0" shapeId="0" xr:uid="{00000000-0006-0000-0300-0000F70C0000}">
      <text>
        <r>
          <rPr>
            <sz val="10"/>
            <color rgb="FF000000"/>
            <rFont val="Arial"/>
            <scheme val="minor"/>
          </rPr>
          <t>Responder updated this value.</t>
        </r>
      </text>
    </comment>
    <comment ref="AQ143" authorId="0" shapeId="0" xr:uid="{00000000-0006-0000-0300-0000F80C0000}">
      <text>
        <r>
          <rPr>
            <sz val="10"/>
            <color rgb="FF000000"/>
            <rFont val="Arial"/>
            <scheme val="minor"/>
          </rPr>
          <t>Responder updated this value.</t>
        </r>
      </text>
    </comment>
    <comment ref="AR143" authorId="0" shapeId="0" xr:uid="{00000000-0006-0000-0300-0000F90C0000}">
      <text>
        <r>
          <rPr>
            <sz val="10"/>
            <color rgb="FF000000"/>
            <rFont val="Arial"/>
            <scheme val="minor"/>
          </rPr>
          <t>Responder updated this value.</t>
        </r>
      </text>
    </comment>
    <comment ref="D144" authorId="0" shapeId="0" xr:uid="{00000000-0006-0000-0300-0000FA0C0000}">
      <text>
        <r>
          <rPr>
            <sz val="10"/>
            <color rgb="FF000000"/>
            <rFont val="Arial"/>
            <scheme val="minor"/>
          </rPr>
          <t>Responder updated this value.</t>
        </r>
      </text>
    </comment>
    <comment ref="N144" authorId="0" shapeId="0" xr:uid="{00000000-0006-0000-0300-0000FB0C0000}">
      <text>
        <r>
          <rPr>
            <sz val="10"/>
            <color rgb="FF000000"/>
            <rFont val="Arial"/>
            <scheme val="minor"/>
          </rPr>
          <t>Responder updated this value.</t>
        </r>
      </text>
    </comment>
    <comment ref="O144" authorId="0" shapeId="0" xr:uid="{00000000-0006-0000-0300-0000FC0C0000}">
      <text>
        <r>
          <rPr>
            <sz val="10"/>
            <color rgb="FF000000"/>
            <rFont val="Arial"/>
            <scheme val="minor"/>
          </rPr>
          <t>Responder updated this value.</t>
        </r>
      </text>
    </comment>
    <comment ref="P144" authorId="0" shapeId="0" xr:uid="{00000000-0006-0000-0300-0000FD0C0000}">
      <text>
        <r>
          <rPr>
            <sz val="10"/>
            <color rgb="FF000000"/>
            <rFont val="Arial"/>
            <scheme val="minor"/>
          </rPr>
          <t>Responder updated this value.</t>
        </r>
      </text>
    </comment>
    <comment ref="Q144" authorId="0" shapeId="0" xr:uid="{00000000-0006-0000-0300-0000FE0C0000}">
      <text>
        <r>
          <rPr>
            <sz val="10"/>
            <color rgb="FF000000"/>
            <rFont val="Arial"/>
            <scheme val="minor"/>
          </rPr>
          <t>Responder updated this value.</t>
        </r>
      </text>
    </comment>
    <comment ref="T144" authorId="0" shapeId="0" xr:uid="{00000000-0006-0000-0300-0000FF0C0000}">
      <text>
        <r>
          <rPr>
            <sz val="10"/>
            <color rgb="FF000000"/>
            <rFont val="Arial"/>
            <scheme val="minor"/>
          </rPr>
          <t>Responder updated this value.</t>
        </r>
      </text>
    </comment>
    <comment ref="U144" authorId="0" shapeId="0" xr:uid="{00000000-0006-0000-0300-0000000D0000}">
      <text>
        <r>
          <rPr>
            <sz val="10"/>
            <color rgb="FF000000"/>
            <rFont val="Arial"/>
            <scheme val="minor"/>
          </rPr>
          <t>Responder updated this value.</t>
        </r>
      </text>
    </comment>
    <comment ref="V144" authorId="0" shapeId="0" xr:uid="{00000000-0006-0000-0300-0000010D0000}">
      <text>
        <r>
          <rPr>
            <sz val="10"/>
            <color rgb="FF000000"/>
            <rFont val="Arial"/>
            <scheme val="minor"/>
          </rPr>
          <t>Responder updated this value.</t>
        </r>
      </text>
    </comment>
    <comment ref="W144" authorId="0" shapeId="0" xr:uid="{00000000-0006-0000-0300-0000020D0000}">
      <text>
        <r>
          <rPr>
            <sz val="10"/>
            <color rgb="FF000000"/>
            <rFont val="Arial"/>
            <scheme val="minor"/>
          </rPr>
          <t>Responder updated this value.</t>
        </r>
      </text>
    </comment>
    <comment ref="X144" authorId="0" shapeId="0" xr:uid="{00000000-0006-0000-0300-0000030D0000}">
      <text>
        <r>
          <rPr>
            <sz val="10"/>
            <color rgb="FF000000"/>
            <rFont val="Arial"/>
            <scheme val="minor"/>
          </rPr>
          <t>Responder updated this value.</t>
        </r>
      </text>
    </comment>
    <comment ref="Y144" authorId="0" shapeId="0" xr:uid="{00000000-0006-0000-0300-0000040D0000}">
      <text>
        <r>
          <rPr>
            <sz val="10"/>
            <color rgb="FF000000"/>
            <rFont val="Arial"/>
            <scheme val="minor"/>
          </rPr>
          <t>Responder updated this value.</t>
        </r>
      </text>
    </comment>
    <comment ref="Z144" authorId="0" shapeId="0" xr:uid="{00000000-0006-0000-0300-0000050D0000}">
      <text>
        <r>
          <rPr>
            <sz val="10"/>
            <color rgb="FF000000"/>
            <rFont val="Arial"/>
            <scheme val="minor"/>
          </rPr>
          <t>Responder updated this value.</t>
        </r>
      </text>
    </comment>
    <comment ref="AC144" authorId="0" shapeId="0" xr:uid="{00000000-0006-0000-0300-0000060D0000}">
      <text>
        <r>
          <rPr>
            <sz val="10"/>
            <color rgb="FF000000"/>
            <rFont val="Arial"/>
            <scheme val="minor"/>
          </rPr>
          <t>Responder updated this value.</t>
        </r>
      </text>
    </comment>
    <comment ref="AD144" authorId="0" shapeId="0" xr:uid="{00000000-0006-0000-0300-0000070D0000}">
      <text>
        <r>
          <rPr>
            <sz val="10"/>
            <color rgb="FF000000"/>
            <rFont val="Arial"/>
            <scheme val="minor"/>
          </rPr>
          <t>Responder updated this value.</t>
        </r>
      </text>
    </comment>
    <comment ref="AE144" authorId="0" shapeId="0" xr:uid="{00000000-0006-0000-0300-0000080D0000}">
      <text>
        <r>
          <rPr>
            <sz val="10"/>
            <color rgb="FF000000"/>
            <rFont val="Arial"/>
            <scheme val="minor"/>
          </rPr>
          <t>Responder updated this value.</t>
        </r>
      </text>
    </comment>
    <comment ref="AF144" authorId="0" shapeId="0" xr:uid="{00000000-0006-0000-0300-0000090D0000}">
      <text>
        <r>
          <rPr>
            <sz val="10"/>
            <color rgb="FF000000"/>
            <rFont val="Arial"/>
            <scheme val="minor"/>
          </rPr>
          <t>Responder updated this value.</t>
        </r>
      </text>
    </comment>
    <comment ref="AG144" authorId="0" shapeId="0" xr:uid="{00000000-0006-0000-0300-00000A0D0000}">
      <text>
        <r>
          <rPr>
            <sz val="10"/>
            <color rgb="FF000000"/>
            <rFont val="Arial"/>
            <scheme val="minor"/>
          </rPr>
          <t>Responder updated this value.</t>
        </r>
      </text>
    </comment>
    <comment ref="AH144" authorId="0" shapeId="0" xr:uid="{00000000-0006-0000-0300-00000B0D0000}">
      <text>
        <r>
          <rPr>
            <sz val="10"/>
            <color rgb="FF000000"/>
            <rFont val="Arial"/>
            <scheme val="minor"/>
          </rPr>
          <t>Responder updated this value.</t>
        </r>
      </text>
    </comment>
    <comment ref="AK144" authorId="0" shapeId="0" xr:uid="{00000000-0006-0000-0300-00000C0D0000}">
      <text>
        <r>
          <rPr>
            <sz val="10"/>
            <color rgb="FF000000"/>
            <rFont val="Arial"/>
            <scheme val="minor"/>
          </rPr>
          <t>Responder updated this value.</t>
        </r>
      </text>
    </comment>
    <comment ref="AL144" authorId="0" shapeId="0" xr:uid="{00000000-0006-0000-0300-00000D0D0000}">
      <text>
        <r>
          <rPr>
            <sz val="10"/>
            <color rgb="FF000000"/>
            <rFont val="Arial"/>
            <scheme val="minor"/>
          </rPr>
          <t>Responder updated this value.</t>
        </r>
      </text>
    </comment>
    <comment ref="AM144" authorId="0" shapeId="0" xr:uid="{00000000-0006-0000-0300-00000E0D0000}">
      <text>
        <r>
          <rPr>
            <sz val="10"/>
            <color rgb="FF000000"/>
            <rFont val="Arial"/>
            <scheme val="minor"/>
          </rPr>
          <t>Responder updated this value.</t>
        </r>
      </text>
    </comment>
    <comment ref="AQ144" authorId="0" shapeId="0" xr:uid="{00000000-0006-0000-0300-00000F0D0000}">
      <text>
        <r>
          <rPr>
            <sz val="10"/>
            <color rgb="FF000000"/>
            <rFont val="Arial"/>
            <scheme val="minor"/>
          </rPr>
          <t>Responder updated this value.</t>
        </r>
      </text>
    </comment>
    <comment ref="AR144" authorId="0" shapeId="0" xr:uid="{00000000-0006-0000-0300-0000100D0000}">
      <text>
        <r>
          <rPr>
            <sz val="10"/>
            <color rgb="FF000000"/>
            <rFont val="Arial"/>
            <scheme val="minor"/>
          </rPr>
          <t>Responder updated this value.</t>
        </r>
      </text>
    </comment>
    <comment ref="D145" authorId="0" shapeId="0" xr:uid="{00000000-0006-0000-0300-0000110D0000}">
      <text>
        <r>
          <rPr>
            <sz val="10"/>
            <color rgb="FF000000"/>
            <rFont val="Arial"/>
            <scheme val="minor"/>
          </rPr>
          <t>Responder updated this value.</t>
        </r>
      </text>
    </comment>
    <comment ref="N145" authorId="0" shapeId="0" xr:uid="{00000000-0006-0000-0300-0000120D0000}">
      <text>
        <r>
          <rPr>
            <sz val="10"/>
            <color rgb="FF000000"/>
            <rFont val="Arial"/>
            <scheme val="minor"/>
          </rPr>
          <t>Responder updated this value.</t>
        </r>
      </text>
    </comment>
    <comment ref="O145" authorId="0" shapeId="0" xr:uid="{00000000-0006-0000-0300-0000130D0000}">
      <text>
        <r>
          <rPr>
            <sz val="10"/>
            <color rgb="FF000000"/>
            <rFont val="Arial"/>
            <scheme val="minor"/>
          </rPr>
          <t>Responder updated this value.</t>
        </r>
      </text>
    </comment>
    <comment ref="P145" authorId="0" shapeId="0" xr:uid="{00000000-0006-0000-0300-0000140D0000}">
      <text>
        <r>
          <rPr>
            <sz val="10"/>
            <color rgb="FF000000"/>
            <rFont val="Arial"/>
            <scheme val="minor"/>
          </rPr>
          <t>Responder updated this value.</t>
        </r>
      </text>
    </comment>
    <comment ref="Q145" authorId="0" shapeId="0" xr:uid="{00000000-0006-0000-0300-0000150D0000}">
      <text>
        <r>
          <rPr>
            <sz val="10"/>
            <color rgb="FF000000"/>
            <rFont val="Arial"/>
            <scheme val="minor"/>
          </rPr>
          <t>Responder updated this value.</t>
        </r>
      </text>
    </comment>
    <comment ref="T145" authorId="0" shapeId="0" xr:uid="{00000000-0006-0000-0300-0000160D0000}">
      <text>
        <r>
          <rPr>
            <sz val="10"/>
            <color rgb="FF000000"/>
            <rFont val="Arial"/>
            <scheme val="minor"/>
          </rPr>
          <t>Responder updated this value.</t>
        </r>
      </text>
    </comment>
    <comment ref="U145" authorId="0" shapeId="0" xr:uid="{00000000-0006-0000-0300-0000170D0000}">
      <text>
        <r>
          <rPr>
            <sz val="10"/>
            <color rgb="FF000000"/>
            <rFont val="Arial"/>
            <scheme val="minor"/>
          </rPr>
          <t>Responder updated this value.</t>
        </r>
      </text>
    </comment>
    <comment ref="V145" authorId="0" shapeId="0" xr:uid="{00000000-0006-0000-0300-0000180D0000}">
      <text>
        <r>
          <rPr>
            <sz val="10"/>
            <color rgb="FF000000"/>
            <rFont val="Arial"/>
            <scheme val="minor"/>
          </rPr>
          <t>Responder updated this value.</t>
        </r>
      </text>
    </comment>
    <comment ref="W145" authorId="0" shapeId="0" xr:uid="{00000000-0006-0000-0300-0000190D0000}">
      <text>
        <r>
          <rPr>
            <sz val="10"/>
            <color rgb="FF000000"/>
            <rFont val="Arial"/>
            <scheme val="minor"/>
          </rPr>
          <t>Responder updated this value.</t>
        </r>
      </text>
    </comment>
    <comment ref="X145" authorId="0" shapeId="0" xr:uid="{00000000-0006-0000-0300-00001A0D0000}">
      <text>
        <r>
          <rPr>
            <sz val="10"/>
            <color rgb="FF000000"/>
            <rFont val="Arial"/>
            <scheme val="minor"/>
          </rPr>
          <t>Responder updated this value.</t>
        </r>
      </text>
    </comment>
    <comment ref="Y145" authorId="0" shapeId="0" xr:uid="{00000000-0006-0000-0300-00001B0D0000}">
      <text>
        <r>
          <rPr>
            <sz val="10"/>
            <color rgb="FF000000"/>
            <rFont val="Arial"/>
            <scheme val="minor"/>
          </rPr>
          <t>Responder updated this value.</t>
        </r>
      </text>
    </comment>
    <comment ref="Z145" authorId="0" shapeId="0" xr:uid="{00000000-0006-0000-0300-00001C0D0000}">
      <text>
        <r>
          <rPr>
            <sz val="10"/>
            <color rgb="FF000000"/>
            <rFont val="Arial"/>
            <scheme val="minor"/>
          </rPr>
          <t>Responder updated this value.</t>
        </r>
      </text>
    </comment>
    <comment ref="AC145" authorId="0" shapeId="0" xr:uid="{00000000-0006-0000-0300-00001D0D0000}">
      <text>
        <r>
          <rPr>
            <sz val="10"/>
            <color rgb="FF000000"/>
            <rFont val="Arial"/>
            <scheme val="minor"/>
          </rPr>
          <t>Responder updated this value.</t>
        </r>
      </text>
    </comment>
    <comment ref="AD145" authorId="0" shapeId="0" xr:uid="{00000000-0006-0000-0300-00001E0D0000}">
      <text>
        <r>
          <rPr>
            <sz val="10"/>
            <color rgb="FF000000"/>
            <rFont val="Arial"/>
            <scheme val="minor"/>
          </rPr>
          <t>Responder updated this value.</t>
        </r>
      </text>
    </comment>
    <comment ref="AE145" authorId="0" shapeId="0" xr:uid="{00000000-0006-0000-0300-00001F0D0000}">
      <text>
        <r>
          <rPr>
            <sz val="10"/>
            <color rgb="FF000000"/>
            <rFont val="Arial"/>
            <scheme val="minor"/>
          </rPr>
          <t>Responder updated this value.</t>
        </r>
      </text>
    </comment>
    <comment ref="AF145" authorId="0" shapeId="0" xr:uid="{00000000-0006-0000-0300-0000200D0000}">
      <text>
        <r>
          <rPr>
            <sz val="10"/>
            <color rgb="FF000000"/>
            <rFont val="Arial"/>
            <scheme val="minor"/>
          </rPr>
          <t>Responder updated this value.</t>
        </r>
      </text>
    </comment>
    <comment ref="AG145" authorId="0" shapeId="0" xr:uid="{00000000-0006-0000-0300-0000210D0000}">
      <text>
        <r>
          <rPr>
            <sz val="10"/>
            <color rgb="FF000000"/>
            <rFont val="Arial"/>
            <scheme val="minor"/>
          </rPr>
          <t>Responder updated this value.</t>
        </r>
      </text>
    </comment>
    <comment ref="AH145" authorId="0" shapeId="0" xr:uid="{00000000-0006-0000-0300-0000220D0000}">
      <text>
        <r>
          <rPr>
            <sz val="10"/>
            <color rgb="FF000000"/>
            <rFont val="Arial"/>
            <scheme val="minor"/>
          </rPr>
          <t>Responder updated this value.</t>
        </r>
      </text>
    </comment>
    <comment ref="AK145" authorId="0" shapeId="0" xr:uid="{00000000-0006-0000-0300-0000230D0000}">
      <text>
        <r>
          <rPr>
            <sz val="10"/>
            <color rgb="FF000000"/>
            <rFont val="Arial"/>
            <scheme val="minor"/>
          </rPr>
          <t>Responder updated this value.</t>
        </r>
      </text>
    </comment>
    <comment ref="AL145" authorId="0" shapeId="0" xr:uid="{00000000-0006-0000-0300-0000240D0000}">
      <text>
        <r>
          <rPr>
            <sz val="10"/>
            <color rgb="FF000000"/>
            <rFont val="Arial"/>
            <scheme val="minor"/>
          </rPr>
          <t>Responder updated this value.</t>
        </r>
      </text>
    </comment>
    <comment ref="AM145" authorId="0" shapeId="0" xr:uid="{00000000-0006-0000-0300-0000250D0000}">
      <text>
        <r>
          <rPr>
            <sz val="10"/>
            <color rgb="FF000000"/>
            <rFont val="Arial"/>
            <scheme val="minor"/>
          </rPr>
          <t>Responder updated this value.</t>
        </r>
      </text>
    </comment>
    <comment ref="AN145" authorId="0" shapeId="0" xr:uid="{00000000-0006-0000-0300-0000260D0000}">
      <text>
        <r>
          <rPr>
            <sz val="10"/>
            <color rgb="FF000000"/>
            <rFont val="Arial"/>
            <scheme val="minor"/>
          </rPr>
          <t>Responder updated this value.</t>
        </r>
      </text>
    </comment>
    <comment ref="AO145" authorId="0" shapeId="0" xr:uid="{00000000-0006-0000-0300-0000270D0000}">
      <text>
        <r>
          <rPr>
            <sz val="10"/>
            <color rgb="FF000000"/>
            <rFont val="Arial"/>
            <scheme val="minor"/>
          </rPr>
          <t>Responder updated this value.</t>
        </r>
      </text>
    </comment>
    <comment ref="AP145" authorId="0" shapeId="0" xr:uid="{00000000-0006-0000-0300-0000280D0000}">
      <text>
        <r>
          <rPr>
            <sz val="10"/>
            <color rgb="FF000000"/>
            <rFont val="Arial"/>
            <scheme val="minor"/>
          </rPr>
          <t>Responder updated this value.</t>
        </r>
      </text>
    </comment>
    <comment ref="AQ145" authorId="0" shapeId="0" xr:uid="{00000000-0006-0000-0300-0000290D0000}">
      <text>
        <r>
          <rPr>
            <sz val="10"/>
            <color rgb="FF000000"/>
            <rFont val="Arial"/>
            <scheme val="minor"/>
          </rPr>
          <t>Responder updated this value.</t>
        </r>
      </text>
    </comment>
    <comment ref="AR145" authorId="0" shapeId="0" xr:uid="{00000000-0006-0000-0300-00002A0D0000}">
      <text>
        <r>
          <rPr>
            <sz val="10"/>
            <color rgb="FF000000"/>
            <rFont val="Arial"/>
            <scheme val="minor"/>
          </rPr>
          <t>Responder updated this value.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3" authorId="0" shapeId="0" xr:uid="{00000000-0006-0000-0400-000001000000}">
      <text>
        <r>
          <rPr>
            <sz val="10"/>
            <color rgb="FF000000"/>
            <rFont val="Arial"/>
            <scheme val="minor"/>
          </rPr>
          <t>Responder updated this value.</t>
        </r>
      </text>
    </comment>
    <comment ref="AA3" authorId="0" shapeId="0" xr:uid="{00000000-0006-0000-0400-000002000000}">
      <text>
        <r>
          <rPr>
            <sz val="10"/>
            <color rgb="FF000000"/>
            <rFont val="Arial"/>
            <scheme val="minor"/>
          </rPr>
          <t>Responder updated this value.</t>
        </r>
      </text>
    </comment>
    <comment ref="AB3" authorId="0" shapeId="0" xr:uid="{00000000-0006-0000-0400-000003000000}">
      <text>
        <r>
          <rPr>
            <sz val="10"/>
            <color rgb="FF000000"/>
            <rFont val="Arial"/>
            <scheme val="minor"/>
          </rPr>
          <t>Responder updated this value.</t>
        </r>
      </text>
    </comment>
    <comment ref="AC3" authorId="0" shapeId="0" xr:uid="{00000000-0006-0000-0400-000004000000}">
      <text>
        <r>
          <rPr>
            <sz val="10"/>
            <color rgb="FF000000"/>
            <rFont val="Arial"/>
            <scheme val="minor"/>
          </rPr>
          <t>Responder updated this value.</t>
        </r>
      </text>
    </comment>
    <comment ref="AD3" authorId="0" shapeId="0" xr:uid="{00000000-0006-0000-0400-000005000000}">
      <text>
        <r>
          <rPr>
            <sz val="10"/>
            <color rgb="FF000000"/>
            <rFont val="Arial"/>
            <scheme val="minor"/>
          </rPr>
          <t>Responder updated this value.</t>
        </r>
      </text>
    </comment>
    <comment ref="AE3" authorId="0" shapeId="0" xr:uid="{00000000-0006-0000-0400-000006000000}">
      <text>
        <r>
          <rPr>
            <sz val="10"/>
            <color rgb="FF000000"/>
            <rFont val="Arial"/>
            <scheme val="minor"/>
          </rPr>
          <t>Responder updated this value.</t>
        </r>
      </text>
    </comment>
    <comment ref="AF3" authorId="0" shapeId="0" xr:uid="{00000000-0006-0000-0400-000007000000}">
      <text>
        <r>
          <rPr>
            <sz val="10"/>
            <color rgb="FF000000"/>
            <rFont val="Arial"/>
            <scheme val="minor"/>
          </rPr>
          <t>Responder updated this value.</t>
        </r>
      </text>
    </comment>
    <comment ref="AI3" authorId="0" shapeId="0" xr:uid="{00000000-0006-0000-0400-000008000000}">
      <text>
        <r>
          <rPr>
            <sz val="10"/>
            <color rgb="FF000000"/>
            <rFont val="Arial"/>
            <scheme val="minor"/>
          </rPr>
          <t>Responder updated this value.</t>
        </r>
      </text>
    </comment>
    <comment ref="AK3" authorId="0" shapeId="0" xr:uid="{00000000-0006-0000-0400-000009000000}">
      <text>
        <r>
          <rPr>
            <sz val="10"/>
            <color rgb="FF000000"/>
            <rFont val="Arial"/>
            <scheme val="minor"/>
          </rPr>
          <t>Responder updated this value.</t>
        </r>
      </text>
    </comment>
    <comment ref="AL3" authorId="0" shapeId="0" xr:uid="{00000000-0006-0000-0400-00000A000000}">
      <text>
        <r>
          <rPr>
            <sz val="10"/>
            <color rgb="FF000000"/>
            <rFont val="Arial"/>
            <scheme val="minor"/>
          </rPr>
          <t>Responder updated this value.</t>
        </r>
      </text>
    </comment>
    <comment ref="AM3" authorId="0" shapeId="0" xr:uid="{00000000-0006-0000-0400-00000B000000}">
      <text>
        <r>
          <rPr>
            <sz val="10"/>
            <color rgb="FF000000"/>
            <rFont val="Arial"/>
            <scheme val="minor"/>
          </rPr>
          <t>Responder updated this value.</t>
        </r>
      </text>
    </comment>
    <comment ref="AN3" authorId="0" shapeId="0" xr:uid="{00000000-0006-0000-0400-00000C000000}">
      <text>
        <r>
          <rPr>
            <sz val="10"/>
            <color rgb="FF000000"/>
            <rFont val="Arial"/>
            <scheme val="minor"/>
          </rPr>
          <t>Responder updated this value.</t>
        </r>
      </text>
    </comment>
    <comment ref="AO3" authorId="0" shapeId="0" xr:uid="{00000000-0006-0000-0400-00000D000000}">
      <text>
        <r>
          <rPr>
            <sz val="10"/>
            <color rgb="FF000000"/>
            <rFont val="Arial"/>
            <scheme val="minor"/>
          </rPr>
          <t>Responder updated this value.</t>
        </r>
      </text>
    </comment>
    <comment ref="D4" authorId="0" shapeId="0" xr:uid="{00000000-0006-0000-0400-00000E000000}">
      <text>
        <r>
          <rPr>
            <sz val="10"/>
            <color rgb="FF000000"/>
            <rFont val="Arial"/>
            <scheme val="minor"/>
          </rPr>
          <t>Responder updated this value.</t>
        </r>
      </text>
    </comment>
    <comment ref="AD4" authorId="0" shapeId="0" xr:uid="{00000000-0006-0000-0400-00000F000000}">
      <text>
        <r>
          <rPr>
            <sz val="10"/>
            <color rgb="FF000000"/>
            <rFont val="Arial"/>
            <scheme val="minor"/>
          </rPr>
          <t>Responder updated this value.</t>
        </r>
      </text>
    </comment>
    <comment ref="AE4" authorId="0" shapeId="0" xr:uid="{00000000-0006-0000-0400-000010000000}">
      <text>
        <r>
          <rPr>
            <sz val="10"/>
            <color rgb="FF000000"/>
            <rFont val="Arial"/>
            <scheme val="minor"/>
          </rPr>
          <t>Responder updated this value.</t>
        </r>
      </text>
    </comment>
    <comment ref="AF4" authorId="0" shapeId="0" xr:uid="{00000000-0006-0000-0400-000011000000}">
      <text>
        <r>
          <rPr>
            <sz val="10"/>
            <color rgb="FF000000"/>
            <rFont val="Arial"/>
            <scheme val="minor"/>
          </rPr>
          <t>Responder updated this value.</t>
        </r>
      </text>
    </comment>
    <comment ref="AG4" authorId="0" shapeId="0" xr:uid="{00000000-0006-0000-0400-000012000000}">
      <text>
        <r>
          <rPr>
            <sz val="10"/>
            <color rgb="FF000000"/>
            <rFont val="Arial"/>
            <scheme val="minor"/>
          </rPr>
          <t>Responder updated this value.</t>
        </r>
      </text>
    </comment>
    <comment ref="AI4" authorId="0" shapeId="0" xr:uid="{00000000-0006-0000-0400-000013000000}">
      <text>
        <r>
          <rPr>
            <sz val="10"/>
            <color rgb="FF000000"/>
            <rFont val="Arial"/>
            <scheme val="minor"/>
          </rPr>
          <t>Responder updated this value.</t>
        </r>
      </text>
    </comment>
    <comment ref="AJ4" authorId="0" shapeId="0" xr:uid="{00000000-0006-0000-0400-000014000000}">
      <text>
        <r>
          <rPr>
            <sz val="10"/>
            <color rgb="FF000000"/>
            <rFont val="Arial"/>
            <scheme val="minor"/>
          </rPr>
          <t>Responder updated this value.</t>
        </r>
      </text>
    </comment>
    <comment ref="AK4" authorId="0" shapeId="0" xr:uid="{00000000-0006-0000-0400-000015000000}">
      <text>
        <r>
          <rPr>
            <sz val="10"/>
            <color rgb="FF000000"/>
            <rFont val="Arial"/>
            <scheme val="minor"/>
          </rPr>
          <t>Responder updated this value.</t>
        </r>
      </text>
    </comment>
    <comment ref="AL4" authorId="0" shapeId="0" xr:uid="{00000000-0006-0000-0400-000016000000}">
      <text>
        <r>
          <rPr>
            <sz val="10"/>
            <color rgb="FF000000"/>
            <rFont val="Arial"/>
            <scheme val="minor"/>
          </rPr>
          <t>Responder updated this value.</t>
        </r>
      </text>
    </comment>
    <comment ref="AM4" authorId="0" shapeId="0" xr:uid="{00000000-0006-0000-0400-000017000000}">
      <text>
        <r>
          <rPr>
            <sz val="10"/>
            <color rgb="FF000000"/>
            <rFont val="Arial"/>
            <scheme val="minor"/>
          </rPr>
          <t>Responder updated this value.</t>
        </r>
      </text>
    </comment>
    <comment ref="AN4" authorId="0" shapeId="0" xr:uid="{00000000-0006-0000-0400-000018000000}">
      <text>
        <r>
          <rPr>
            <sz val="10"/>
            <color rgb="FF000000"/>
            <rFont val="Arial"/>
            <scheme val="minor"/>
          </rPr>
          <t>Responder updated this value.</t>
        </r>
      </text>
    </comment>
    <comment ref="AO4" authorId="0" shapeId="0" xr:uid="{00000000-0006-0000-0400-000019000000}">
      <text>
        <r>
          <rPr>
            <sz val="10"/>
            <color rgb="FF000000"/>
            <rFont val="Arial"/>
            <scheme val="minor"/>
          </rPr>
          <t>Responder updated this value.</t>
        </r>
      </text>
    </comment>
    <comment ref="D5" authorId="0" shapeId="0" xr:uid="{00000000-0006-0000-0400-00001A000000}">
      <text>
        <r>
          <rPr>
            <sz val="10"/>
            <color rgb="FF000000"/>
            <rFont val="Arial"/>
            <scheme val="minor"/>
          </rPr>
          <t>Responder updated this value.</t>
        </r>
      </text>
    </comment>
    <comment ref="AM5" authorId="0" shapeId="0" xr:uid="{00000000-0006-0000-0400-00001B000000}">
      <text>
        <r>
          <rPr>
            <sz val="10"/>
            <color rgb="FF000000"/>
            <rFont val="Arial"/>
            <scheme val="minor"/>
          </rPr>
          <t>Responder updated this value.</t>
        </r>
      </text>
    </comment>
    <comment ref="AN5" authorId="0" shapeId="0" xr:uid="{00000000-0006-0000-0400-00001C000000}">
      <text>
        <r>
          <rPr>
            <sz val="10"/>
            <color rgb="FF000000"/>
            <rFont val="Arial"/>
            <scheme val="minor"/>
          </rPr>
          <t>Responder updated this value.</t>
        </r>
      </text>
    </comment>
    <comment ref="AO5" authorId="0" shapeId="0" xr:uid="{00000000-0006-0000-0400-00001D000000}">
      <text>
        <r>
          <rPr>
            <sz val="10"/>
            <color rgb="FF000000"/>
            <rFont val="Arial"/>
            <scheme val="minor"/>
          </rPr>
          <t>Responder updated this value.</t>
        </r>
      </text>
    </comment>
    <comment ref="D6" authorId="0" shapeId="0" xr:uid="{00000000-0006-0000-0400-00001E000000}">
      <text>
        <r>
          <rPr>
            <sz val="10"/>
            <color rgb="FF000000"/>
            <rFont val="Arial"/>
            <scheme val="minor"/>
          </rPr>
          <t>Responder updated this value.</t>
        </r>
      </text>
    </comment>
    <comment ref="J6" authorId="0" shapeId="0" xr:uid="{00000000-0006-0000-0400-00001F000000}">
      <text>
        <r>
          <rPr>
            <sz val="10"/>
            <color rgb="FF000000"/>
            <rFont val="Arial"/>
            <scheme val="minor"/>
          </rPr>
          <t>Responder updated this value.</t>
        </r>
      </text>
    </comment>
    <comment ref="L6" authorId="0" shapeId="0" xr:uid="{00000000-0006-0000-0400-000020000000}">
      <text>
        <r>
          <rPr>
            <sz val="10"/>
            <color rgb="FF000000"/>
            <rFont val="Arial"/>
            <scheme val="minor"/>
          </rPr>
          <t>Responder updated this value.</t>
        </r>
      </text>
    </comment>
    <comment ref="M6" authorId="0" shapeId="0" xr:uid="{00000000-0006-0000-0400-000021000000}">
      <text>
        <r>
          <rPr>
            <sz val="10"/>
            <color rgb="FF000000"/>
            <rFont val="Arial"/>
            <scheme val="minor"/>
          </rPr>
          <t>Responder updated this value.</t>
        </r>
      </text>
    </comment>
    <comment ref="O6" authorId="0" shapeId="0" xr:uid="{00000000-0006-0000-0400-000022000000}">
      <text>
        <r>
          <rPr>
            <sz val="10"/>
            <color rgb="FF000000"/>
            <rFont val="Arial"/>
            <scheme val="minor"/>
          </rPr>
          <t>Responder updated this value.</t>
        </r>
      </text>
    </comment>
    <comment ref="P6" authorId="0" shapeId="0" xr:uid="{00000000-0006-0000-0400-000023000000}">
      <text>
        <r>
          <rPr>
            <sz val="10"/>
            <color rgb="FF000000"/>
            <rFont val="Arial"/>
            <scheme val="minor"/>
          </rPr>
          <t>Responder updated this value.</t>
        </r>
      </text>
    </comment>
    <comment ref="Q6" authorId="0" shapeId="0" xr:uid="{00000000-0006-0000-0400-000024000000}">
      <text>
        <r>
          <rPr>
            <sz val="10"/>
            <color rgb="FF000000"/>
            <rFont val="Arial"/>
            <scheme val="minor"/>
          </rPr>
          <t>Responder updated this value.</t>
        </r>
      </text>
    </comment>
    <comment ref="R6" authorId="0" shapeId="0" xr:uid="{00000000-0006-0000-0400-000025000000}">
      <text>
        <r>
          <rPr>
            <sz val="10"/>
            <color rgb="FF000000"/>
            <rFont val="Arial"/>
            <scheme val="minor"/>
          </rPr>
          <t>Responder updated this value.</t>
        </r>
      </text>
    </comment>
    <comment ref="S6" authorId="0" shapeId="0" xr:uid="{00000000-0006-0000-0400-000026000000}">
      <text>
        <r>
          <rPr>
            <sz val="10"/>
            <color rgb="FF000000"/>
            <rFont val="Arial"/>
            <scheme val="minor"/>
          </rPr>
          <t>Responder updated this value.</t>
        </r>
      </text>
    </comment>
    <comment ref="X6" authorId="0" shapeId="0" xr:uid="{00000000-0006-0000-0400-000027000000}">
      <text>
        <r>
          <rPr>
            <sz val="10"/>
            <color rgb="FF000000"/>
            <rFont val="Arial"/>
            <scheme val="minor"/>
          </rPr>
          <t>Responder updated this value.</t>
        </r>
      </text>
    </comment>
    <comment ref="AA6" authorId="0" shapeId="0" xr:uid="{00000000-0006-0000-0400-000028000000}">
      <text>
        <r>
          <rPr>
            <sz val="10"/>
            <color rgb="FF000000"/>
            <rFont val="Arial"/>
            <scheme val="minor"/>
          </rPr>
          <t>Responder updated this value.</t>
        </r>
      </text>
    </comment>
    <comment ref="AB6" authorId="0" shapeId="0" xr:uid="{00000000-0006-0000-0400-000029000000}">
      <text>
        <r>
          <rPr>
            <sz val="10"/>
            <color rgb="FF000000"/>
            <rFont val="Arial"/>
            <scheme val="minor"/>
          </rPr>
          <t>Responder updated this value.</t>
        </r>
      </text>
    </comment>
    <comment ref="AC6" authorId="0" shapeId="0" xr:uid="{00000000-0006-0000-0400-00002A000000}">
      <text>
        <r>
          <rPr>
            <sz val="10"/>
            <color rgb="FF000000"/>
            <rFont val="Arial"/>
            <scheme val="minor"/>
          </rPr>
          <t>Responder updated this value.</t>
        </r>
      </text>
    </comment>
    <comment ref="AD6" authorId="0" shapeId="0" xr:uid="{00000000-0006-0000-0400-00002B000000}">
      <text>
        <r>
          <rPr>
            <sz val="10"/>
            <color rgb="FF000000"/>
            <rFont val="Arial"/>
            <scheme val="minor"/>
          </rPr>
          <t>Responder updated this value.</t>
        </r>
      </text>
    </comment>
    <comment ref="AE6" authorId="0" shapeId="0" xr:uid="{00000000-0006-0000-0400-00002C000000}">
      <text>
        <r>
          <rPr>
            <sz val="10"/>
            <color rgb="FF000000"/>
            <rFont val="Arial"/>
            <scheme val="minor"/>
          </rPr>
          <t>Responder updated this value.</t>
        </r>
      </text>
    </comment>
    <comment ref="AF6" authorId="0" shapeId="0" xr:uid="{00000000-0006-0000-0400-00002D000000}">
      <text>
        <r>
          <rPr>
            <sz val="10"/>
            <color rgb="FF000000"/>
            <rFont val="Arial"/>
            <scheme val="minor"/>
          </rPr>
          <t>Responder updated this value.</t>
        </r>
      </text>
    </comment>
    <comment ref="AG6" authorId="0" shapeId="0" xr:uid="{00000000-0006-0000-0400-00002E000000}">
      <text>
        <r>
          <rPr>
            <sz val="10"/>
            <color rgb="FF000000"/>
            <rFont val="Arial"/>
            <scheme val="minor"/>
          </rPr>
          <t>Responder updated this value.</t>
        </r>
      </text>
    </comment>
    <comment ref="AI6" authorId="0" shapeId="0" xr:uid="{00000000-0006-0000-0400-00002F000000}">
      <text>
        <r>
          <rPr>
            <sz val="10"/>
            <color rgb="FF000000"/>
            <rFont val="Arial"/>
            <scheme val="minor"/>
          </rPr>
          <t>Responder updated this value.</t>
        </r>
      </text>
    </comment>
    <comment ref="AJ6" authorId="0" shapeId="0" xr:uid="{00000000-0006-0000-0400-000030000000}">
      <text>
        <r>
          <rPr>
            <sz val="10"/>
            <color rgb="FF000000"/>
            <rFont val="Arial"/>
            <scheme val="minor"/>
          </rPr>
          <t>Responder updated this value.</t>
        </r>
      </text>
    </comment>
    <comment ref="AK6" authorId="0" shapeId="0" xr:uid="{00000000-0006-0000-0400-000031000000}">
      <text>
        <r>
          <rPr>
            <sz val="10"/>
            <color rgb="FF000000"/>
            <rFont val="Arial"/>
            <scheme val="minor"/>
          </rPr>
          <t>Responder updated this value.</t>
        </r>
      </text>
    </comment>
    <comment ref="AL6" authorId="0" shapeId="0" xr:uid="{00000000-0006-0000-0400-000032000000}">
      <text>
        <r>
          <rPr>
            <sz val="10"/>
            <color rgb="FF000000"/>
            <rFont val="Arial"/>
            <scheme val="minor"/>
          </rPr>
          <t>Responder updated this value.</t>
        </r>
      </text>
    </comment>
    <comment ref="AM6" authorId="0" shapeId="0" xr:uid="{00000000-0006-0000-0400-000033000000}">
      <text>
        <r>
          <rPr>
            <sz val="10"/>
            <color rgb="FF000000"/>
            <rFont val="Arial"/>
            <scheme val="minor"/>
          </rPr>
          <t>Responder updated this value.</t>
        </r>
      </text>
    </comment>
    <comment ref="AN6" authorId="0" shapeId="0" xr:uid="{00000000-0006-0000-0400-000034000000}">
      <text>
        <r>
          <rPr>
            <sz val="10"/>
            <color rgb="FF000000"/>
            <rFont val="Arial"/>
            <scheme val="minor"/>
          </rPr>
          <t>Responder updated this value.</t>
        </r>
      </text>
    </comment>
    <comment ref="AO6" authorId="0" shapeId="0" xr:uid="{00000000-0006-0000-0400-000035000000}">
      <text>
        <r>
          <rPr>
            <sz val="10"/>
            <color rgb="FF000000"/>
            <rFont val="Arial"/>
            <scheme val="minor"/>
          </rPr>
          <t>Responder updated this value.</t>
        </r>
      </text>
    </comment>
    <comment ref="D7" authorId="0" shapeId="0" xr:uid="{00000000-0006-0000-0400-000036000000}">
      <text>
        <r>
          <rPr>
            <sz val="10"/>
            <color rgb="FF000000"/>
            <rFont val="Arial"/>
            <scheme val="minor"/>
          </rPr>
          <t>Responder updated this value.</t>
        </r>
      </text>
    </comment>
    <comment ref="J7" authorId="0" shapeId="0" xr:uid="{00000000-0006-0000-0400-000037000000}">
      <text>
        <r>
          <rPr>
            <sz val="10"/>
            <color rgb="FF000000"/>
            <rFont val="Arial"/>
            <scheme val="minor"/>
          </rPr>
          <t>Responder updated this value.</t>
        </r>
      </text>
    </comment>
    <comment ref="K7" authorId="0" shapeId="0" xr:uid="{00000000-0006-0000-0400-000038000000}">
      <text>
        <r>
          <rPr>
            <sz val="10"/>
            <color rgb="FF000000"/>
            <rFont val="Arial"/>
            <scheme val="minor"/>
          </rPr>
          <t>Responder updated this value.</t>
        </r>
      </text>
    </comment>
    <comment ref="L7" authorId="0" shapeId="0" xr:uid="{00000000-0006-0000-0400-000039000000}">
      <text>
        <r>
          <rPr>
            <sz val="10"/>
            <color rgb="FF000000"/>
            <rFont val="Arial"/>
            <scheme val="minor"/>
          </rPr>
          <t>Responder updated this value.</t>
        </r>
      </text>
    </comment>
    <comment ref="M7" authorId="0" shapeId="0" xr:uid="{00000000-0006-0000-0400-00003A000000}">
      <text>
        <r>
          <rPr>
            <sz val="10"/>
            <color rgb="FF000000"/>
            <rFont val="Arial"/>
            <scheme val="minor"/>
          </rPr>
          <t>Responder updated this value.</t>
        </r>
      </text>
    </comment>
    <comment ref="O7" authorId="0" shapeId="0" xr:uid="{00000000-0006-0000-0400-00003B000000}">
      <text>
        <r>
          <rPr>
            <sz val="10"/>
            <color rgb="FF000000"/>
            <rFont val="Arial"/>
            <scheme val="minor"/>
          </rPr>
          <t>Responder updated this value.</t>
        </r>
      </text>
    </comment>
    <comment ref="AA7" authorId="0" shapeId="0" xr:uid="{00000000-0006-0000-0400-00003C000000}">
      <text>
        <r>
          <rPr>
            <sz val="10"/>
            <color rgb="FF000000"/>
            <rFont val="Arial"/>
            <scheme val="minor"/>
          </rPr>
          <t>Responder updated this value.</t>
        </r>
      </text>
    </comment>
    <comment ref="AB7" authorId="0" shapeId="0" xr:uid="{00000000-0006-0000-0400-00003D000000}">
      <text>
        <r>
          <rPr>
            <sz val="10"/>
            <color rgb="FF000000"/>
            <rFont val="Arial"/>
            <scheme val="minor"/>
          </rPr>
          <t>Responder updated this value.</t>
        </r>
      </text>
    </comment>
    <comment ref="AC7" authorId="0" shapeId="0" xr:uid="{00000000-0006-0000-0400-00003E000000}">
      <text>
        <r>
          <rPr>
            <sz val="10"/>
            <color rgb="FF000000"/>
            <rFont val="Arial"/>
            <scheme val="minor"/>
          </rPr>
          <t>Responder updated this value.</t>
        </r>
      </text>
    </comment>
    <comment ref="AD7" authorId="0" shapeId="0" xr:uid="{00000000-0006-0000-0400-00003F000000}">
      <text>
        <r>
          <rPr>
            <sz val="10"/>
            <color rgb="FF000000"/>
            <rFont val="Arial"/>
            <scheme val="minor"/>
          </rPr>
          <t>Responder updated this value.</t>
        </r>
      </text>
    </comment>
    <comment ref="AE7" authorId="0" shapeId="0" xr:uid="{00000000-0006-0000-0400-000040000000}">
      <text>
        <r>
          <rPr>
            <sz val="10"/>
            <color rgb="FF000000"/>
            <rFont val="Arial"/>
            <scheme val="minor"/>
          </rPr>
          <t>Responder updated this value.</t>
        </r>
      </text>
    </comment>
    <comment ref="AF7" authorId="0" shapeId="0" xr:uid="{00000000-0006-0000-0400-000041000000}">
      <text>
        <r>
          <rPr>
            <sz val="10"/>
            <color rgb="FF000000"/>
            <rFont val="Arial"/>
            <scheme val="minor"/>
          </rPr>
          <t>Responder updated this value.</t>
        </r>
      </text>
    </comment>
    <comment ref="AI7" authorId="0" shapeId="0" xr:uid="{00000000-0006-0000-0400-000042000000}">
      <text>
        <r>
          <rPr>
            <sz val="10"/>
            <color rgb="FF000000"/>
            <rFont val="Arial"/>
            <scheme val="minor"/>
          </rPr>
          <t>Responder updated this value.</t>
        </r>
      </text>
    </comment>
    <comment ref="AJ7" authorId="0" shapeId="0" xr:uid="{00000000-0006-0000-0400-000043000000}">
      <text>
        <r>
          <rPr>
            <sz val="10"/>
            <color rgb="FF000000"/>
            <rFont val="Arial"/>
            <scheme val="minor"/>
          </rPr>
          <t>Responder updated this value.</t>
        </r>
      </text>
    </comment>
    <comment ref="AK7" authorId="0" shapeId="0" xr:uid="{00000000-0006-0000-0400-000044000000}">
      <text>
        <r>
          <rPr>
            <sz val="10"/>
            <color rgb="FF000000"/>
            <rFont val="Arial"/>
            <scheme val="minor"/>
          </rPr>
          <t>Responder updated this value.</t>
        </r>
      </text>
    </comment>
    <comment ref="AL7" authorId="0" shapeId="0" xr:uid="{00000000-0006-0000-0400-000045000000}">
      <text>
        <r>
          <rPr>
            <sz val="10"/>
            <color rgb="FF000000"/>
            <rFont val="Arial"/>
            <scheme val="minor"/>
          </rPr>
          <t>Responder updated this value.</t>
        </r>
      </text>
    </comment>
    <comment ref="AM7" authorId="0" shapeId="0" xr:uid="{00000000-0006-0000-0400-000046000000}">
      <text>
        <r>
          <rPr>
            <sz val="10"/>
            <color rgb="FF000000"/>
            <rFont val="Arial"/>
            <scheme val="minor"/>
          </rPr>
          <t>Responder updated this value.</t>
        </r>
      </text>
    </comment>
    <comment ref="AN7" authorId="0" shapeId="0" xr:uid="{00000000-0006-0000-0400-000047000000}">
      <text>
        <r>
          <rPr>
            <sz val="10"/>
            <color rgb="FF000000"/>
            <rFont val="Arial"/>
            <scheme val="minor"/>
          </rPr>
          <t>Responder updated this value.</t>
        </r>
      </text>
    </comment>
    <comment ref="AO7" authorId="0" shapeId="0" xr:uid="{00000000-0006-0000-0400-000048000000}">
      <text>
        <r>
          <rPr>
            <sz val="10"/>
            <color rgb="FF000000"/>
            <rFont val="Arial"/>
            <scheme val="minor"/>
          </rPr>
          <t>Responder updated this value.</t>
        </r>
      </text>
    </comment>
    <comment ref="D8" authorId="0" shapeId="0" xr:uid="{00000000-0006-0000-0400-000049000000}">
      <text>
        <r>
          <rPr>
            <sz val="10"/>
            <color rgb="FF000000"/>
            <rFont val="Arial"/>
            <scheme val="minor"/>
          </rPr>
          <t>Responder updated this value.</t>
        </r>
      </text>
    </comment>
    <comment ref="I8" authorId="0" shapeId="0" xr:uid="{00000000-0006-0000-0400-00004A000000}">
      <text>
        <r>
          <rPr>
            <sz val="10"/>
            <color rgb="FF000000"/>
            <rFont val="Arial"/>
            <scheme val="minor"/>
          </rPr>
          <t>Responder updated this value.</t>
        </r>
      </text>
    </comment>
    <comment ref="N8" authorId="0" shapeId="0" xr:uid="{00000000-0006-0000-0400-00004B000000}">
      <text>
        <r>
          <rPr>
            <sz val="10"/>
            <color rgb="FF000000"/>
            <rFont val="Arial"/>
            <scheme val="minor"/>
          </rPr>
          <t>Responder updated this value.</t>
        </r>
      </text>
    </comment>
    <comment ref="O8" authorId="0" shapeId="0" xr:uid="{00000000-0006-0000-0400-00004C000000}">
      <text>
        <r>
          <rPr>
            <sz val="10"/>
            <color rgb="FF000000"/>
            <rFont val="Arial"/>
            <scheme val="minor"/>
          </rPr>
          <t>Responder updated this value.</t>
        </r>
      </text>
    </comment>
    <comment ref="P8" authorId="0" shapeId="0" xr:uid="{00000000-0006-0000-0400-00004D000000}">
      <text>
        <r>
          <rPr>
            <sz val="10"/>
            <color rgb="FF000000"/>
            <rFont val="Arial"/>
            <scheme val="minor"/>
          </rPr>
          <t>Responder updated this value.</t>
        </r>
      </text>
    </comment>
    <comment ref="Q8" authorId="0" shapeId="0" xr:uid="{00000000-0006-0000-0400-00004E000000}">
      <text>
        <r>
          <rPr>
            <sz val="10"/>
            <color rgb="FF000000"/>
            <rFont val="Arial"/>
            <scheme val="minor"/>
          </rPr>
          <t>Responder updated this value.</t>
        </r>
      </text>
    </comment>
    <comment ref="R8" authorId="0" shapeId="0" xr:uid="{00000000-0006-0000-0400-00004F000000}">
      <text>
        <r>
          <rPr>
            <sz val="10"/>
            <color rgb="FF000000"/>
            <rFont val="Arial"/>
            <scheme val="minor"/>
          </rPr>
          <t>Responder updated this value.</t>
        </r>
      </text>
    </comment>
    <comment ref="S8" authorId="0" shapeId="0" xr:uid="{00000000-0006-0000-0400-000050000000}">
      <text>
        <r>
          <rPr>
            <sz val="10"/>
            <color rgb="FF000000"/>
            <rFont val="Arial"/>
            <scheme val="minor"/>
          </rPr>
          <t>Responder updated this value.</t>
        </r>
      </text>
    </comment>
    <comment ref="T8" authorId="0" shapeId="0" xr:uid="{00000000-0006-0000-0400-000051000000}">
      <text>
        <r>
          <rPr>
            <sz val="10"/>
            <color rgb="FF000000"/>
            <rFont val="Arial"/>
            <scheme val="minor"/>
          </rPr>
          <t>Responder updated this value.</t>
        </r>
      </text>
    </comment>
    <comment ref="U8" authorId="0" shapeId="0" xr:uid="{00000000-0006-0000-0400-000052000000}">
      <text>
        <r>
          <rPr>
            <sz val="10"/>
            <color rgb="FF000000"/>
            <rFont val="Arial"/>
            <scheme val="minor"/>
          </rPr>
          <t>Responder updated this value.</t>
        </r>
      </text>
    </comment>
    <comment ref="V8" authorId="0" shapeId="0" xr:uid="{00000000-0006-0000-0400-000053000000}">
      <text>
        <r>
          <rPr>
            <sz val="10"/>
            <color rgb="FF000000"/>
            <rFont val="Arial"/>
            <scheme val="minor"/>
          </rPr>
          <t>Responder updated this value.</t>
        </r>
      </text>
    </comment>
    <comment ref="W8" authorId="0" shapeId="0" xr:uid="{00000000-0006-0000-0400-000054000000}">
      <text>
        <r>
          <rPr>
            <sz val="10"/>
            <color rgb="FF000000"/>
            <rFont val="Arial"/>
            <scheme val="minor"/>
          </rPr>
          <t>Responder updated this value.</t>
        </r>
      </text>
    </comment>
    <comment ref="X8" authorId="0" shapeId="0" xr:uid="{00000000-0006-0000-0400-000055000000}">
      <text>
        <r>
          <rPr>
            <sz val="10"/>
            <color rgb="FF000000"/>
            <rFont val="Arial"/>
            <scheme val="minor"/>
          </rPr>
          <t>Responder updated this value.</t>
        </r>
      </text>
    </comment>
    <comment ref="Y8" authorId="0" shapeId="0" xr:uid="{00000000-0006-0000-0400-000056000000}">
      <text>
        <r>
          <rPr>
            <sz val="10"/>
            <color rgb="FF000000"/>
            <rFont val="Arial"/>
            <scheme val="minor"/>
          </rPr>
          <t>Responder updated this value.</t>
        </r>
      </text>
    </comment>
    <comment ref="AA8" authorId="0" shapeId="0" xr:uid="{00000000-0006-0000-0400-000057000000}">
      <text>
        <r>
          <rPr>
            <sz val="10"/>
            <color rgb="FF000000"/>
            <rFont val="Arial"/>
            <scheme val="minor"/>
          </rPr>
          <t>Responder updated this value.</t>
        </r>
      </text>
    </comment>
    <comment ref="AB8" authorId="0" shapeId="0" xr:uid="{00000000-0006-0000-0400-000058000000}">
      <text>
        <r>
          <rPr>
            <sz val="10"/>
            <color rgb="FF000000"/>
            <rFont val="Arial"/>
            <scheme val="minor"/>
          </rPr>
          <t>Responder updated this value.</t>
        </r>
      </text>
    </comment>
    <comment ref="AC8" authorId="0" shapeId="0" xr:uid="{00000000-0006-0000-0400-000059000000}">
      <text>
        <r>
          <rPr>
            <sz val="10"/>
            <color rgb="FF000000"/>
            <rFont val="Arial"/>
            <scheme val="minor"/>
          </rPr>
          <t>Responder updated this value.</t>
        </r>
      </text>
    </comment>
    <comment ref="AD8" authorId="0" shapeId="0" xr:uid="{00000000-0006-0000-0400-00005A000000}">
      <text>
        <r>
          <rPr>
            <sz val="10"/>
            <color rgb="FF000000"/>
            <rFont val="Arial"/>
            <scheme val="minor"/>
          </rPr>
          <t>Responder updated this value.</t>
        </r>
      </text>
    </comment>
    <comment ref="AE8" authorId="0" shapeId="0" xr:uid="{00000000-0006-0000-0400-00005B000000}">
      <text>
        <r>
          <rPr>
            <sz val="10"/>
            <color rgb="FF000000"/>
            <rFont val="Arial"/>
            <scheme val="minor"/>
          </rPr>
          <t>Responder updated this value.</t>
        </r>
      </text>
    </comment>
    <comment ref="AF8" authorId="0" shapeId="0" xr:uid="{00000000-0006-0000-0400-00005C000000}">
      <text>
        <r>
          <rPr>
            <sz val="10"/>
            <color rgb="FF000000"/>
            <rFont val="Arial"/>
            <scheme val="minor"/>
          </rPr>
          <t>Responder updated this value.</t>
        </r>
      </text>
    </comment>
    <comment ref="AG8" authorId="0" shapeId="0" xr:uid="{00000000-0006-0000-0400-00005D000000}">
      <text>
        <r>
          <rPr>
            <sz val="10"/>
            <color rgb="FF000000"/>
            <rFont val="Arial"/>
            <scheme val="minor"/>
          </rPr>
          <t>Responder updated this value.</t>
        </r>
      </text>
    </comment>
    <comment ref="AI8" authorId="0" shapeId="0" xr:uid="{00000000-0006-0000-0400-00005E000000}">
      <text>
        <r>
          <rPr>
            <sz val="10"/>
            <color rgb="FF000000"/>
            <rFont val="Arial"/>
            <scheme val="minor"/>
          </rPr>
          <t>Responder updated this value.</t>
        </r>
      </text>
    </comment>
    <comment ref="AJ8" authorId="0" shapeId="0" xr:uid="{00000000-0006-0000-0400-00005F000000}">
      <text>
        <r>
          <rPr>
            <sz val="10"/>
            <color rgb="FF000000"/>
            <rFont val="Arial"/>
            <scheme val="minor"/>
          </rPr>
          <t>Responder updated this value.</t>
        </r>
      </text>
    </comment>
    <comment ref="AK8" authorId="0" shapeId="0" xr:uid="{00000000-0006-0000-0400-000060000000}">
      <text>
        <r>
          <rPr>
            <sz val="10"/>
            <color rgb="FF000000"/>
            <rFont val="Arial"/>
            <scheme val="minor"/>
          </rPr>
          <t>Responder updated this value.</t>
        </r>
      </text>
    </comment>
    <comment ref="AL8" authorId="0" shapeId="0" xr:uid="{00000000-0006-0000-0400-000061000000}">
      <text>
        <r>
          <rPr>
            <sz val="10"/>
            <color rgb="FF000000"/>
            <rFont val="Arial"/>
            <scheme val="minor"/>
          </rPr>
          <t>Responder updated this value.</t>
        </r>
      </text>
    </comment>
    <comment ref="AM8" authorId="0" shapeId="0" xr:uid="{00000000-0006-0000-0400-000062000000}">
      <text>
        <r>
          <rPr>
            <sz val="10"/>
            <color rgb="FF000000"/>
            <rFont val="Arial"/>
            <scheme val="minor"/>
          </rPr>
          <t>Responder updated this value.</t>
        </r>
      </text>
    </comment>
    <comment ref="AN8" authorId="0" shapeId="0" xr:uid="{00000000-0006-0000-0400-000063000000}">
      <text>
        <r>
          <rPr>
            <sz val="10"/>
            <color rgb="FF000000"/>
            <rFont val="Arial"/>
            <scheme val="minor"/>
          </rPr>
          <t>Responder updated this value.</t>
        </r>
      </text>
    </comment>
    <comment ref="AO8" authorId="0" shapeId="0" xr:uid="{00000000-0006-0000-0400-000064000000}">
      <text>
        <r>
          <rPr>
            <sz val="10"/>
            <color rgb="FF000000"/>
            <rFont val="Arial"/>
            <scheme val="minor"/>
          </rPr>
          <t>Responder updated this value.</t>
        </r>
      </text>
    </comment>
    <comment ref="D9" authorId="0" shapeId="0" xr:uid="{00000000-0006-0000-0400-000065000000}">
      <text>
        <r>
          <rPr>
            <sz val="10"/>
            <color rgb="FF000000"/>
            <rFont val="Arial"/>
            <scheme val="minor"/>
          </rPr>
          <t>Responder updated this value.</t>
        </r>
      </text>
    </comment>
    <comment ref="N9" authorId="0" shapeId="0" xr:uid="{00000000-0006-0000-0400-000066000000}">
      <text>
        <r>
          <rPr>
            <sz val="10"/>
            <color rgb="FF000000"/>
            <rFont val="Arial"/>
            <scheme val="minor"/>
          </rPr>
          <t>Responder updated this value.</t>
        </r>
      </text>
    </comment>
    <comment ref="O9" authorId="0" shapeId="0" xr:uid="{00000000-0006-0000-0400-000067000000}">
      <text>
        <r>
          <rPr>
            <sz val="10"/>
            <color rgb="FF000000"/>
            <rFont val="Arial"/>
            <scheme val="minor"/>
          </rPr>
          <t>Responder updated this value.</t>
        </r>
      </text>
    </comment>
    <comment ref="P9" authorId="0" shapeId="0" xr:uid="{00000000-0006-0000-0400-000068000000}">
      <text>
        <r>
          <rPr>
            <sz val="10"/>
            <color rgb="FF000000"/>
            <rFont val="Arial"/>
            <scheme val="minor"/>
          </rPr>
          <t>Responder updated this value.</t>
        </r>
      </text>
    </comment>
    <comment ref="Q9" authorId="0" shapeId="0" xr:uid="{00000000-0006-0000-0400-000069000000}">
      <text>
        <r>
          <rPr>
            <sz val="10"/>
            <color rgb="FF000000"/>
            <rFont val="Arial"/>
            <scheme val="minor"/>
          </rPr>
          <t>Responder updated this value.</t>
        </r>
      </text>
    </comment>
    <comment ref="R9" authorId="0" shapeId="0" xr:uid="{00000000-0006-0000-0400-00006A000000}">
      <text>
        <r>
          <rPr>
            <sz val="10"/>
            <color rgb="FF000000"/>
            <rFont val="Arial"/>
            <scheme val="minor"/>
          </rPr>
          <t>Responder updated this value.</t>
        </r>
      </text>
    </comment>
    <comment ref="S9" authorId="0" shapeId="0" xr:uid="{00000000-0006-0000-0400-00006B000000}">
      <text>
        <r>
          <rPr>
            <sz val="10"/>
            <color rgb="FF000000"/>
            <rFont val="Arial"/>
            <scheme val="minor"/>
          </rPr>
          <t>Responder updated this value.</t>
        </r>
      </text>
    </comment>
    <comment ref="U9" authorId="0" shapeId="0" xr:uid="{00000000-0006-0000-0400-00006C000000}">
      <text>
        <r>
          <rPr>
            <sz val="10"/>
            <color rgb="FF000000"/>
            <rFont val="Arial"/>
            <scheme val="minor"/>
          </rPr>
          <t>Responder updated this value.</t>
        </r>
      </text>
    </comment>
    <comment ref="W9" authorId="0" shapeId="0" xr:uid="{00000000-0006-0000-0400-00006D000000}">
      <text>
        <r>
          <rPr>
            <sz val="10"/>
            <color rgb="FF000000"/>
            <rFont val="Arial"/>
            <scheme val="minor"/>
          </rPr>
          <t>Responder updated this value.</t>
        </r>
      </text>
    </comment>
    <comment ref="X9" authorId="0" shapeId="0" xr:uid="{00000000-0006-0000-0400-00006E000000}">
      <text>
        <r>
          <rPr>
            <sz val="10"/>
            <color rgb="FF000000"/>
            <rFont val="Arial"/>
            <scheme val="minor"/>
          </rPr>
          <t>Responder updated this value.</t>
        </r>
      </text>
    </comment>
    <comment ref="AA9" authorId="0" shapeId="0" xr:uid="{00000000-0006-0000-0400-00006F000000}">
      <text>
        <r>
          <rPr>
            <sz val="10"/>
            <color rgb="FF000000"/>
            <rFont val="Arial"/>
            <scheme val="minor"/>
          </rPr>
          <t>Responder updated this value.</t>
        </r>
      </text>
    </comment>
    <comment ref="AB9" authorId="0" shapeId="0" xr:uid="{00000000-0006-0000-0400-000070000000}">
      <text>
        <r>
          <rPr>
            <sz val="10"/>
            <color rgb="FF000000"/>
            <rFont val="Arial"/>
            <scheme val="minor"/>
          </rPr>
          <t>Responder updated this value.</t>
        </r>
      </text>
    </comment>
    <comment ref="AD9" authorId="0" shapeId="0" xr:uid="{00000000-0006-0000-0400-000071000000}">
      <text>
        <r>
          <rPr>
            <sz val="10"/>
            <color rgb="FF000000"/>
            <rFont val="Arial"/>
            <scheme val="minor"/>
          </rPr>
          <t>Responder updated this value.</t>
        </r>
      </text>
    </comment>
    <comment ref="AE9" authorId="0" shapeId="0" xr:uid="{00000000-0006-0000-0400-000072000000}">
      <text>
        <r>
          <rPr>
            <sz val="10"/>
            <color rgb="FF000000"/>
            <rFont val="Arial"/>
            <scheme val="minor"/>
          </rPr>
          <t>Responder updated this value.</t>
        </r>
      </text>
    </comment>
    <comment ref="AF9" authorId="0" shapeId="0" xr:uid="{00000000-0006-0000-0400-000073000000}">
      <text>
        <r>
          <rPr>
            <sz val="10"/>
            <color rgb="FF000000"/>
            <rFont val="Arial"/>
            <scheme val="minor"/>
          </rPr>
          <t>Responder updated this value.</t>
        </r>
      </text>
    </comment>
    <comment ref="AI9" authorId="0" shapeId="0" xr:uid="{00000000-0006-0000-0400-000074000000}">
      <text>
        <r>
          <rPr>
            <sz val="10"/>
            <color rgb="FF000000"/>
            <rFont val="Arial"/>
            <scheme val="minor"/>
          </rPr>
          <t>Responder updated this value.</t>
        </r>
      </text>
    </comment>
    <comment ref="AJ9" authorId="0" shapeId="0" xr:uid="{00000000-0006-0000-0400-000075000000}">
      <text>
        <r>
          <rPr>
            <sz val="10"/>
            <color rgb="FF000000"/>
            <rFont val="Arial"/>
            <scheme val="minor"/>
          </rPr>
          <t>Responder updated this value.</t>
        </r>
      </text>
    </comment>
    <comment ref="AK9" authorId="0" shapeId="0" xr:uid="{00000000-0006-0000-0400-000076000000}">
      <text>
        <r>
          <rPr>
            <sz val="10"/>
            <color rgb="FF000000"/>
            <rFont val="Arial"/>
            <scheme val="minor"/>
          </rPr>
          <t>Responder updated this value.</t>
        </r>
      </text>
    </comment>
    <comment ref="AL9" authorId="0" shapeId="0" xr:uid="{00000000-0006-0000-0400-000077000000}">
      <text>
        <r>
          <rPr>
            <sz val="10"/>
            <color rgb="FF000000"/>
            <rFont val="Arial"/>
            <scheme val="minor"/>
          </rPr>
          <t>Responder updated this value.</t>
        </r>
      </text>
    </comment>
    <comment ref="AM9" authorId="0" shapeId="0" xr:uid="{00000000-0006-0000-0400-000078000000}">
      <text>
        <r>
          <rPr>
            <sz val="10"/>
            <color rgb="FF000000"/>
            <rFont val="Arial"/>
            <scheme val="minor"/>
          </rPr>
          <t>Responder updated this value.</t>
        </r>
      </text>
    </comment>
    <comment ref="AN9" authorId="0" shapeId="0" xr:uid="{00000000-0006-0000-0400-000079000000}">
      <text>
        <r>
          <rPr>
            <sz val="10"/>
            <color rgb="FF000000"/>
            <rFont val="Arial"/>
            <scheme val="minor"/>
          </rPr>
          <t>Responder updated this value.</t>
        </r>
      </text>
    </comment>
    <comment ref="AO9" authorId="0" shapeId="0" xr:uid="{00000000-0006-0000-0400-00007A000000}">
      <text>
        <r>
          <rPr>
            <sz val="10"/>
            <color rgb="FF000000"/>
            <rFont val="Arial"/>
            <scheme val="minor"/>
          </rPr>
          <t>Responder updated this value.</t>
        </r>
      </text>
    </comment>
    <comment ref="D10" authorId="0" shapeId="0" xr:uid="{00000000-0006-0000-0400-00007B000000}">
      <text>
        <r>
          <rPr>
            <sz val="10"/>
            <color rgb="FF000000"/>
            <rFont val="Arial"/>
            <scheme val="minor"/>
          </rPr>
          <t>Responder updated this value.</t>
        </r>
      </text>
    </comment>
    <comment ref="J10" authorId="0" shapeId="0" xr:uid="{00000000-0006-0000-0400-00007C000000}">
      <text>
        <r>
          <rPr>
            <sz val="10"/>
            <color rgb="FF000000"/>
            <rFont val="Arial"/>
            <scheme val="minor"/>
          </rPr>
          <t>Responder updated this value.</t>
        </r>
      </text>
    </comment>
    <comment ref="K10" authorId="0" shapeId="0" xr:uid="{00000000-0006-0000-0400-00007D000000}">
      <text>
        <r>
          <rPr>
            <sz val="10"/>
            <color rgb="FF000000"/>
            <rFont val="Arial"/>
            <scheme val="minor"/>
          </rPr>
          <t>Responder updated this value.</t>
        </r>
      </text>
    </comment>
    <comment ref="M10" authorId="0" shapeId="0" xr:uid="{00000000-0006-0000-0400-00007E000000}">
      <text>
        <r>
          <rPr>
            <sz val="10"/>
            <color rgb="FF000000"/>
            <rFont val="Arial"/>
            <scheme val="minor"/>
          </rPr>
          <t>Responder updated this value.</t>
        </r>
      </text>
    </comment>
    <comment ref="N10" authorId="0" shapeId="0" xr:uid="{00000000-0006-0000-0400-00007F000000}">
      <text>
        <r>
          <rPr>
            <sz val="10"/>
            <color rgb="FF000000"/>
            <rFont val="Arial"/>
            <scheme val="minor"/>
          </rPr>
          <t>Responder updated this value.</t>
        </r>
      </text>
    </comment>
    <comment ref="O10" authorId="0" shapeId="0" xr:uid="{00000000-0006-0000-0400-000080000000}">
      <text>
        <r>
          <rPr>
            <sz val="10"/>
            <color rgb="FF000000"/>
            <rFont val="Arial"/>
            <scheme val="minor"/>
          </rPr>
          <t>Responder updated this value.</t>
        </r>
      </text>
    </comment>
    <comment ref="Q10" authorId="0" shapeId="0" xr:uid="{00000000-0006-0000-0400-000081000000}">
      <text>
        <r>
          <rPr>
            <sz val="10"/>
            <color rgb="FF000000"/>
            <rFont val="Arial"/>
            <scheme val="minor"/>
          </rPr>
          <t>Responder updated this value.</t>
        </r>
      </text>
    </comment>
    <comment ref="R10" authorId="0" shapeId="0" xr:uid="{00000000-0006-0000-0400-000082000000}">
      <text>
        <r>
          <rPr>
            <sz val="10"/>
            <color rgb="FF000000"/>
            <rFont val="Arial"/>
            <scheme val="minor"/>
          </rPr>
          <t>Responder updated this value.</t>
        </r>
      </text>
    </comment>
    <comment ref="S10" authorId="0" shapeId="0" xr:uid="{00000000-0006-0000-0400-000083000000}">
      <text>
        <r>
          <rPr>
            <sz val="10"/>
            <color rgb="FF000000"/>
            <rFont val="Arial"/>
            <scheme val="minor"/>
          </rPr>
          <t>Responder updated this value.</t>
        </r>
      </text>
    </comment>
    <comment ref="U10" authorId="0" shapeId="0" xr:uid="{00000000-0006-0000-0400-000084000000}">
      <text>
        <r>
          <rPr>
            <sz val="10"/>
            <color rgb="FF000000"/>
            <rFont val="Arial"/>
            <scheme val="minor"/>
          </rPr>
          <t>Responder updated this value.</t>
        </r>
      </text>
    </comment>
    <comment ref="X10" authorId="0" shapeId="0" xr:uid="{00000000-0006-0000-0400-000085000000}">
      <text>
        <r>
          <rPr>
            <sz val="10"/>
            <color rgb="FF000000"/>
            <rFont val="Arial"/>
            <scheme val="minor"/>
          </rPr>
          <t>Responder updated this value.</t>
        </r>
      </text>
    </comment>
    <comment ref="Z10" authorId="0" shapeId="0" xr:uid="{00000000-0006-0000-0400-000086000000}">
      <text>
        <r>
          <rPr>
            <sz val="10"/>
            <color rgb="FF000000"/>
            <rFont val="Arial"/>
            <scheme val="minor"/>
          </rPr>
          <t>Responder updated this value.</t>
        </r>
      </text>
    </comment>
    <comment ref="AA10" authorId="0" shapeId="0" xr:uid="{00000000-0006-0000-0400-000087000000}">
      <text>
        <r>
          <rPr>
            <sz val="10"/>
            <color rgb="FF000000"/>
            <rFont val="Arial"/>
            <scheme val="minor"/>
          </rPr>
          <t>Responder updated this value.</t>
        </r>
      </text>
    </comment>
    <comment ref="AB10" authorId="0" shapeId="0" xr:uid="{00000000-0006-0000-0400-000088000000}">
      <text>
        <r>
          <rPr>
            <sz val="10"/>
            <color rgb="FF000000"/>
            <rFont val="Arial"/>
            <scheme val="minor"/>
          </rPr>
          <t>Responder updated this value.</t>
        </r>
      </text>
    </comment>
    <comment ref="AC10" authorId="0" shapeId="0" xr:uid="{00000000-0006-0000-0400-000089000000}">
      <text>
        <r>
          <rPr>
            <sz val="10"/>
            <color rgb="FF000000"/>
            <rFont val="Arial"/>
            <scheme val="minor"/>
          </rPr>
          <t>Responder updated this value.</t>
        </r>
      </text>
    </comment>
    <comment ref="AD10" authorId="0" shapeId="0" xr:uid="{00000000-0006-0000-0400-00008A000000}">
      <text>
        <r>
          <rPr>
            <sz val="10"/>
            <color rgb="FF000000"/>
            <rFont val="Arial"/>
            <scheme val="minor"/>
          </rPr>
          <t>Responder updated this value.</t>
        </r>
      </text>
    </comment>
    <comment ref="AE10" authorId="0" shapeId="0" xr:uid="{00000000-0006-0000-0400-00008B000000}">
      <text>
        <r>
          <rPr>
            <sz val="10"/>
            <color rgb="FF000000"/>
            <rFont val="Arial"/>
            <scheme val="minor"/>
          </rPr>
          <t>Responder updated this value.</t>
        </r>
      </text>
    </comment>
    <comment ref="AF10" authorId="0" shapeId="0" xr:uid="{00000000-0006-0000-0400-00008C000000}">
      <text>
        <r>
          <rPr>
            <sz val="10"/>
            <color rgb="FF000000"/>
            <rFont val="Arial"/>
            <scheme val="minor"/>
          </rPr>
          <t>Responder updated this value.</t>
        </r>
      </text>
    </comment>
    <comment ref="AI10" authorId="0" shapeId="0" xr:uid="{00000000-0006-0000-0400-00008D000000}">
      <text>
        <r>
          <rPr>
            <sz val="10"/>
            <color rgb="FF000000"/>
            <rFont val="Arial"/>
            <scheme val="minor"/>
          </rPr>
          <t>Responder updated this value.</t>
        </r>
      </text>
    </comment>
    <comment ref="AJ10" authorId="0" shapeId="0" xr:uid="{00000000-0006-0000-0400-00008E000000}">
      <text>
        <r>
          <rPr>
            <sz val="10"/>
            <color rgb="FF000000"/>
            <rFont val="Arial"/>
            <scheme val="minor"/>
          </rPr>
          <t>Responder updated this value.</t>
        </r>
      </text>
    </comment>
    <comment ref="AK10" authorId="0" shapeId="0" xr:uid="{00000000-0006-0000-0400-00008F000000}">
      <text>
        <r>
          <rPr>
            <sz val="10"/>
            <color rgb="FF000000"/>
            <rFont val="Arial"/>
            <scheme val="minor"/>
          </rPr>
          <t>Responder updated this value.</t>
        </r>
      </text>
    </comment>
    <comment ref="AL10" authorId="0" shapeId="0" xr:uid="{00000000-0006-0000-0400-000090000000}">
      <text>
        <r>
          <rPr>
            <sz val="10"/>
            <color rgb="FF000000"/>
            <rFont val="Arial"/>
            <scheme val="minor"/>
          </rPr>
          <t>Responder updated this value.</t>
        </r>
      </text>
    </comment>
    <comment ref="AM10" authorId="0" shapeId="0" xr:uid="{00000000-0006-0000-0400-000091000000}">
      <text>
        <r>
          <rPr>
            <sz val="10"/>
            <color rgb="FF000000"/>
            <rFont val="Arial"/>
            <scheme val="minor"/>
          </rPr>
          <t>Responder updated this value.</t>
        </r>
      </text>
    </comment>
    <comment ref="AN10" authorId="0" shapeId="0" xr:uid="{00000000-0006-0000-0400-000092000000}">
      <text>
        <r>
          <rPr>
            <sz val="10"/>
            <color rgb="FF000000"/>
            <rFont val="Arial"/>
            <scheme val="minor"/>
          </rPr>
          <t>Responder updated this value.</t>
        </r>
      </text>
    </comment>
    <comment ref="AO10" authorId="0" shapeId="0" xr:uid="{00000000-0006-0000-0400-000093000000}">
      <text>
        <r>
          <rPr>
            <sz val="10"/>
            <color rgb="FF000000"/>
            <rFont val="Arial"/>
            <scheme val="minor"/>
          </rPr>
          <t>Responder updated this value.</t>
        </r>
      </text>
    </comment>
    <comment ref="AP10" authorId="0" shapeId="0" xr:uid="{00000000-0006-0000-0400-000094000000}">
      <text>
        <r>
          <rPr>
            <sz val="10"/>
            <color rgb="FF000000"/>
            <rFont val="Arial"/>
            <scheme val="minor"/>
          </rPr>
          <t>Responder updated this value.</t>
        </r>
      </text>
    </comment>
    <comment ref="D11" authorId="0" shapeId="0" xr:uid="{00000000-0006-0000-0400-000095000000}">
      <text>
        <r>
          <rPr>
            <sz val="10"/>
            <color rgb="FF000000"/>
            <rFont val="Arial"/>
            <scheme val="minor"/>
          </rPr>
          <t>Responder updated this value.</t>
        </r>
      </text>
    </comment>
    <comment ref="E11" authorId="0" shapeId="0" xr:uid="{00000000-0006-0000-0400-000096000000}">
      <text>
        <r>
          <rPr>
            <sz val="10"/>
            <color rgb="FF000000"/>
            <rFont val="Arial"/>
            <scheme val="minor"/>
          </rPr>
          <t>Responder updated this value.</t>
        </r>
      </text>
    </comment>
    <comment ref="H11" authorId="0" shapeId="0" xr:uid="{00000000-0006-0000-0400-000097000000}">
      <text>
        <r>
          <rPr>
            <sz val="10"/>
            <color rgb="FF000000"/>
            <rFont val="Arial"/>
            <scheme val="minor"/>
          </rPr>
          <t>Responder updated this value.</t>
        </r>
      </text>
    </comment>
    <comment ref="J11" authorId="0" shapeId="0" xr:uid="{00000000-0006-0000-0400-000098000000}">
      <text>
        <r>
          <rPr>
            <sz val="10"/>
            <color rgb="FF000000"/>
            <rFont val="Arial"/>
            <scheme val="minor"/>
          </rPr>
          <t>Responder updated this value.</t>
        </r>
      </text>
    </comment>
    <comment ref="K11" authorId="0" shapeId="0" xr:uid="{00000000-0006-0000-0400-000099000000}">
      <text>
        <r>
          <rPr>
            <sz val="10"/>
            <color rgb="FF000000"/>
            <rFont val="Arial"/>
            <scheme val="minor"/>
          </rPr>
          <t>Responder updated this value.</t>
        </r>
      </text>
    </comment>
    <comment ref="M11" authorId="0" shapeId="0" xr:uid="{00000000-0006-0000-0400-00009A000000}">
      <text>
        <r>
          <rPr>
            <sz val="10"/>
            <color rgb="FF000000"/>
            <rFont val="Arial"/>
            <scheme val="minor"/>
          </rPr>
          <t>Responder updated this value.</t>
        </r>
      </text>
    </comment>
    <comment ref="N11" authorId="0" shapeId="0" xr:uid="{00000000-0006-0000-0400-00009B000000}">
      <text>
        <r>
          <rPr>
            <sz val="10"/>
            <color rgb="FF000000"/>
            <rFont val="Arial"/>
            <scheme val="minor"/>
          </rPr>
          <t>Responder updated this value.</t>
        </r>
      </text>
    </comment>
    <comment ref="O11" authorId="0" shapeId="0" xr:uid="{00000000-0006-0000-0400-00009C000000}">
      <text>
        <r>
          <rPr>
            <sz val="10"/>
            <color rgb="FF000000"/>
            <rFont val="Arial"/>
            <scheme val="minor"/>
          </rPr>
          <t>Responder updated this value.</t>
        </r>
      </text>
    </comment>
    <comment ref="P11" authorId="0" shapeId="0" xr:uid="{00000000-0006-0000-0400-00009D000000}">
      <text>
        <r>
          <rPr>
            <sz val="10"/>
            <color rgb="FF000000"/>
            <rFont val="Arial"/>
            <scheme val="minor"/>
          </rPr>
          <t>Responder updated this value.</t>
        </r>
      </text>
    </comment>
    <comment ref="Q11" authorId="0" shapeId="0" xr:uid="{00000000-0006-0000-0400-00009E000000}">
      <text>
        <r>
          <rPr>
            <sz val="10"/>
            <color rgb="FF000000"/>
            <rFont val="Arial"/>
            <scheme val="minor"/>
          </rPr>
          <t>Responder updated this value.</t>
        </r>
      </text>
    </comment>
    <comment ref="R11" authorId="0" shapeId="0" xr:uid="{00000000-0006-0000-0400-00009F000000}">
      <text>
        <r>
          <rPr>
            <sz val="10"/>
            <color rgb="FF000000"/>
            <rFont val="Arial"/>
            <scheme val="minor"/>
          </rPr>
          <t>Responder updated this value.</t>
        </r>
      </text>
    </comment>
    <comment ref="S11" authorId="0" shapeId="0" xr:uid="{00000000-0006-0000-0400-0000A0000000}">
      <text>
        <r>
          <rPr>
            <sz val="10"/>
            <color rgb="FF000000"/>
            <rFont val="Arial"/>
            <scheme val="minor"/>
          </rPr>
          <t>Responder updated this value.</t>
        </r>
      </text>
    </comment>
    <comment ref="X11" authorId="0" shapeId="0" xr:uid="{00000000-0006-0000-0400-0000A1000000}">
      <text>
        <r>
          <rPr>
            <sz val="10"/>
            <color rgb="FF000000"/>
            <rFont val="Arial"/>
            <scheme val="minor"/>
          </rPr>
          <t>Responder updated this value.</t>
        </r>
      </text>
    </comment>
    <comment ref="AA11" authorId="0" shapeId="0" xr:uid="{00000000-0006-0000-0400-0000A2000000}">
      <text>
        <r>
          <rPr>
            <sz val="10"/>
            <color rgb="FF000000"/>
            <rFont val="Arial"/>
            <scheme val="minor"/>
          </rPr>
          <t>Responder updated this value.</t>
        </r>
      </text>
    </comment>
    <comment ref="AB11" authorId="0" shapeId="0" xr:uid="{00000000-0006-0000-0400-0000A3000000}">
      <text>
        <r>
          <rPr>
            <sz val="10"/>
            <color rgb="FF000000"/>
            <rFont val="Arial"/>
            <scheme val="minor"/>
          </rPr>
          <t>Responder updated this value.</t>
        </r>
      </text>
    </comment>
    <comment ref="AC11" authorId="0" shapeId="0" xr:uid="{00000000-0006-0000-0400-0000A4000000}">
      <text>
        <r>
          <rPr>
            <sz val="10"/>
            <color rgb="FF000000"/>
            <rFont val="Arial"/>
            <scheme val="minor"/>
          </rPr>
          <t>Responder updated this value.</t>
        </r>
      </text>
    </comment>
    <comment ref="AD11" authorId="0" shapeId="0" xr:uid="{00000000-0006-0000-0400-0000A5000000}">
      <text>
        <r>
          <rPr>
            <sz val="10"/>
            <color rgb="FF000000"/>
            <rFont val="Arial"/>
            <scheme val="minor"/>
          </rPr>
          <t>Responder updated this value.</t>
        </r>
      </text>
    </comment>
    <comment ref="AE11" authorId="0" shapeId="0" xr:uid="{00000000-0006-0000-0400-0000A6000000}">
      <text>
        <r>
          <rPr>
            <sz val="10"/>
            <color rgb="FF000000"/>
            <rFont val="Arial"/>
            <scheme val="minor"/>
          </rPr>
          <t>Responder updated this value.</t>
        </r>
      </text>
    </comment>
    <comment ref="AF11" authorId="0" shapeId="0" xr:uid="{00000000-0006-0000-0400-0000A7000000}">
      <text>
        <r>
          <rPr>
            <sz val="10"/>
            <color rgb="FF000000"/>
            <rFont val="Arial"/>
            <scheme val="minor"/>
          </rPr>
          <t>Responder updated this value.</t>
        </r>
      </text>
    </comment>
    <comment ref="AI11" authorId="0" shapeId="0" xr:uid="{00000000-0006-0000-0400-0000A8000000}">
      <text>
        <r>
          <rPr>
            <sz val="10"/>
            <color rgb="FF000000"/>
            <rFont val="Arial"/>
            <scheme val="minor"/>
          </rPr>
          <t>Responder updated this value.</t>
        </r>
      </text>
    </comment>
    <comment ref="AJ11" authorId="0" shapeId="0" xr:uid="{00000000-0006-0000-0400-0000A9000000}">
      <text>
        <r>
          <rPr>
            <sz val="10"/>
            <color rgb="FF000000"/>
            <rFont val="Arial"/>
            <scheme val="minor"/>
          </rPr>
          <t>Responder updated this value.</t>
        </r>
      </text>
    </comment>
    <comment ref="AK11" authorId="0" shapeId="0" xr:uid="{00000000-0006-0000-0400-0000AA000000}">
      <text>
        <r>
          <rPr>
            <sz val="10"/>
            <color rgb="FF000000"/>
            <rFont val="Arial"/>
            <scheme val="minor"/>
          </rPr>
          <t>Responder updated this value.</t>
        </r>
      </text>
    </comment>
    <comment ref="AL11" authorId="0" shapeId="0" xr:uid="{00000000-0006-0000-0400-0000AB000000}">
      <text>
        <r>
          <rPr>
            <sz val="10"/>
            <color rgb="FF000000"/>
            <rFont val="Arial"/>
            <scheme val="minor"/>
          </rPr>
          <t>Responder updated this value.</t>
        </r>
      </text>
    </comment>
    <comment ref="AM11" authorId="0" shapeId="0" xr:uid="{00000000-0006-0000-0400-0000AC000000}">
      <text>
        <r>
          <rPr>
            <sz val="10"/>
            <color rgb="FF000000"/>
            <rFont val="Arial"/>
            <scheme val="minor"/>
          </rPr>
          <t>Responder updated this value.</t>
        </r>
      </text>
    </comment>
    <comment ref="AN11" authorId="0" shapeId="0" xr:uid="{00000000-0006-0000-0400-0000AD000000}">
      <text>
        <r>
          <rPr>
            <sz val="10"/>
            <color rgb="FF000000"/>
            <rFont val="Arial"/>
            <scheme val="minor"/>
          </rPr>
          <t>Responder updated this value.</t>
        </r>
      </text>
    </comment>
    <comment ref="AO11" authorId="0" shapeId="0" xr:uid="{00000000-0006-0000-0400-0000AE000000}">
      <text>
        <r>
          <rPr>
            <sz val="10"/>
            <color rgb="FF000000"/>
            <rFont val="Arial"/>
            <scheme val="minor"/>
          </rPr>
          <t>Responder updated this value.</t>
        </r>
      </text>
    </comment>
    <comment ref="AP11" authorId="0" shapeId="0" xr:uid="{00000000-0006-0000-0400-0000AF000000}">
      <text>
        <r>
          <rPr>
            <sz val="10"/>
            <color rgb="FF000000"/>
            <rFont val="Arial"/>
            <scheme val="minor"/>
          </rPr>
          <t>Responder updated this value.</t>
        </r>
      </text>
    </comment>
    <comment ref="D12" authorId="0" shapeId="0" xr:uid="{00000000-0006-0000-0400-0000B0000000}">
      <text>
        <r>
          <rPr>
            <sz val="10"/>
            <color rgb="FF000000"/>
            <rFont val="Arial"/>
            <scheme val="minor"/>
          </rPr>
          <t>Responder updated this value.</t>
        </r>
      </text>
    </comment>
    <comment ref="J12" authorId="0" shapeId="0" xr:uid="{00000000-0006-0000-0400-0000B1000000}">
      <text>
        <r>
          <rPr>
            <sz val="10"/>
            <color rgb="FF000000"/>
            <rFont val="Arial"/>
            <scheme val="minor"/>
          </rPr>
          <t>Responder updated this value.</t>
        </r>
      </text>
    </comment>
    <comment ref="K12" authorId="0" shapeId="0" xr:uid="{00000000-0006-0000-0400-0000B2000000}">
      <text>
        <r>
          <rPr>
            <sz val="10"/>
            <color rgb="FF000000"/>
            <rFont val="Arial"/>
            <scheme val="minor"/>
          </rPr>
          <t>Responder updated this value.</t>
        </r>
      </text>
    </comment>
    <comment ref="M12" authorId="0" shapeId="0" xr:uid="{00000000-0006-0000-0400-0000B3000000}">
      <text>
        <r>
          <rPr>
            <sz val="10"/>
            <color rgb="FF000000"/>
            <rFont val="Arial"/>
            <scheme val="minor"/>
          </rPr>
          <t>Responder updated this value.</t>
        </r>
      </text>
    </comment>
    <comment ref="N12" authorId="0" shapeId="0" xr:uid="{00000000-0006-0000-0400-0000B4000000}">
      <text>
        <r>
          <rPr>
            <sz val="10"/>
            <color rgb="FF000000"/>
            <rFont val="Arial"/>
            <scheme val="minor"/>
          </rPr>
          <t>Responder updated this value.</t>
        </r>
      </text>
    </comment>
    <comment ref="O12" authorId="0" shapeId="0" xr:uid="{00000000-0006-0000-0400-0000B5000000}">
      <text>
        <r>
          <rPr>
            <sz val="10"/>
            <color rgb="FF000000"/>
            <rFont val="Arial"/>
            <scheme val="minor"/>
          </rPr>
          <t>Responder updated this value.</t>
        </r>
      </text>
    </comment>
    <comment ref="P12" authorId="0" shapeId="0" xr:uid="{00000000-0006-0000-0400-0000B6000000}">
      <text>
        <r>
          <rPr>
            <sz val="10"/>
            <color rgb="FF000000"/>
            <rFont val="Arial"/>
            <scheme val="minor"/>
          </rPr>
          <t>Responder updated this value.</t>
        </r>
      </text>
    </comment>
    <comment ref="Q12" authorId="0" shapeId="0" xr:uid="{00000000-0006-0000-0400-0000B7000000}">
      <text>
        <r>
          <rPr>
            <sz val="10"/>
            <color rgb="FF000000"/>
            <rFont val="Arial"/>
            <scheme val="minor"/>
          </rPr>
          <t>Responder updated this value.</t>
        </r>
      </text>
    </comment>
    <comment ref="R12" authorId="0" shapeId="0" xr:uid="{00000000-0006-0000-0400-0000B8000000}">
      <text>
        <r>
          <rPr>
            <sz val="10"/>
            <color rgb="FF000000"/>
            <rFont val="Arial"/>
            <scheme val="minor"/>
          </rPr>
          <t>Responder updated this value.</t>
        </r>
      </text>
    </comment>
    <comment ref="S12" authorId="0" shapeId="0" xr:uid="{00000000-0006-0000-0400-0000B9000000}">
      <text>
        <r>
          <rPr>
            <sz val="10"/>
            <color rgb="FF000000"/>
            <rFont val="Arial"/>
            <scheme val="minor"/>
          </rPr>
          <t>Responder updated this value.</t>
        </r>
      </text>
    </comment>
    <comment ref="T12" authorId="0" shapeId="0" xr:uid="{00000000-0006-0000-0400-0000BA000000}">
      <text>
        <r>
          <rPr>
            <sz val="10"/>
            <color rgb="FF000000"/>
            <rFont val="Arial"/>
            <scheme val="minor"/>
          </rPr>
          <t>Responder updated this value.</t>
        </r>
      </text>
    </comment>
    <comment ref="U12" authorId="0" shapeId="0" xr:uid="{00000000-0006-0000-0400-0000BB000000}">
      <text>
        <r>
          <rPr>
            <sz val="10"/>
            <color rgb="FF000000"/>
            <rFont val="Arial"/>
            <scheme val="minor"/>
          </rPr>
          <t>Responder updated this value.</t>
        </r>
      </text>
    </comment>
    <comment ref="X12" authorId="0" shapeId="0" xr:uid="{00000000-0006-0000-0400-0000BC000000}">
      <text>
        <r>
          <rPr>
            <sz val="10"/>
            <color rgb="FF000000"/>
            <rFont val="Arial"/>
            <scheme val="minor"/>
          </rPr>
          <t>Responder updated this value.</t>
        </r>
      </text>
    </comment>
    <comment ref="Z12" authorId="0" shapeId="0" xr:uid="{00000000-0006-0000-0400-0000BD000000}">
      <text>
        <r>
          <rPr>
            <sz val="10"/>
            <color rgb="FF000000"/>
            <rFont val="Arial"/>
            <scheme val="minor"/>
          </rPr>
          <t>Responder updated this value.</t>
        </r>
      </text>
    </comment>
    <comment ref="AA12" authorId="0" shapeId="0" xr:uid="{00000000-0006-0000-0400-0000BE000000}">
      <text>
        <r>
          <rPr>
            <sz val="10"/>
            <color rgb="FF000000"/>
            <rFont val="Arial"/>
            <scheme val="minor"/>
          </rPr>
          <t>Responder updated this value.</t>
        </r>
      </text>
    </comment>
    <comment ref="AB12" authorId="0" shapeId="0" xr:uid="{00000000-0006-0000-0400-0000BF000000}">
      <text>
        <r>
          <rPr>
            <sz val="10"/>
            <color rgb="FF000000"/>
            <rFont val="Arial"/>
            <scheme val="minor"/>
          </rPr>
          <t>Responder updated this value.</t>
        </r>
      </text>
    </comment>
    <comment ref="AC12" authorId="0" shapeId="0" xr:uid="{00000000-0006-0000-0400-0000C0000000}">
      <text>
        <r>
          <rPr>
            <sz val="10"/>
            <color rgb="FF000000"/>
            <rFont val="Arial"/>
            <scheme val="minor"/>
          </rPr>
          <t>Responder updated this value.</t>
        </r>
      </text>
    </comment>
    <comment ref="AD12" authorId="0" shapeId="0" xr:uid="{00000000-0006-0000-0400-0000C1000000}">
      <text>
        <r>
          <rPr>
            <sz val="10"/>
            <color rgb="FF000000"/>
            <rFont val="Arial"/>
            <scheme val="minor"/>
          </rPr>
          <t>Responder updated this value.</t>
        </r>
      </text>
    </comment>
    <comment ref="AE12" authorId="0" shapeId="0" xr:uid="{00000000-0006-0000-0400-0000C2000000}">
      <text>
        <r>
          <rPr>
            <sz val="10"/>
            <color rgb="FF000000"/>
            <rFont val="Arial"/>
            <scheme val="minor"/>
          </rPr>
          <t>Responder updated this value.</t>
        </r>
      </text>
    </comment>
    <comment ref="AF12" authorId="0" shapeId="0" xr:uid="{00000000-0006-0000-0400-0000C3000000}">
      <text>
        <r>
          <rPr>
            <sz val="10"/>
            <color rgb="FF000000"/>
            <rFont val="Arial"/>
            <scheme val="minor"/>
          </rPr>
          <t>Responder updated this value.</t>
        </r>
      </text>
    </comment>
    <comment ref="AI12" authorId="0" shapeId="0" xr:uid="{00000000-0006-0000-0400-0000C4000000}">
      <text>
        <r>
          <rPr>
            <sz val="10"/>
            <color rgb="FF000000"/>
            <rFont val="Arial"/>
            <scheme val="minor"/>
          </rPr>
          <t>Responder updated this value.</t>
        </r>
      </text>
    </comment>
    <comment ref="AJ12" authorId="0" shapeId="0" xr:uid="{00000000-0006-0000-0400-0000C5000000}">
      <text>
        <r>
          <rPr>
            <sz val="10"/>
            <color rgb="FF000000"/>
            <rFont val="Arial"/>
            <scheme val="minor"/>
          </rPr>
          <t>Responder updated this value.</t>
        </r>
      </text>
    </comment>
    <comment ref="AK12" authorId="0" shapeId="0" xr:uid="{00000000-0006-0000-0400-0000C6000000}">
      <text>
        <r>
          <rPr>
            <sz val="10"/>
            <color rgb="FF000000"/>
            <rFont val="Arial"/>
            <scheme val="minor"/>
          </rPr>
          <t>Responder updated this value.</t>
        </r>
      </text>
    </comment>
    <comment ref="AL12" authorId="0" shapeId="0" xr:uid="{00000000-0006-0000-0400-0000C7000000}">
      <text>
        <r>
          <rPr>
            <sz val="10"/>
            <color rgb="FF000000"/>
            <rFont val="Arial"/>
            <scheme val="minor"/>
          </rPr>
          <t>Responder updated this value.</t>
        </r>
      </text>
    </comment>
    <comment ref="AM12" authorId="0" shapeId="0" xr:uid="{00000000-0006-0000-0400-0000C8000000}">
      <text>
        <r>
          <rPr>
            <sz val="10"/>
            <color rgb="FF000000"/>
            <rFont val="Arial"/>
            <scheme val="minor"/>
          </rPr>
          <t>Responder updated this value.</t>
        </r>
      </text>
    </comment>
    <comment ref="AN12" authorId="0" shapeId="0" xr:uid="{00000000-0006-0000-0400-0000C9000000}">
      <text>
        <r>
          <rPr>
            <sz val="10"/>
            <color rgb="FF000000"/>
            <rFont val="Arial"/>
            <scheme val="minor"/>
          </rPr>
          <t>Responder updated this value.</t>
        </r>
      </text>
    </comment>
    <comment ref="AO12" authorId="0" shapeId="0" xr:uid="{00000000-0006-0000-0400-0000CA000000}">
      <text>
        <r>
          <rPr>
            <sz val="10"/>
            <color rgb="FF000000"/>
            <rFont val="Arial"/>
            <scheme val="minor"/>
          </rPr>
          <t>Responder updated this value.</t>
        </r>
      </text>
    </comment>
    <comment ref="AP12" authorId="0" shapeId="0" xr:uid="{00000000-0006-0000-0400-0000CB000000}">
      <text>
        <r>
          <rPr>
            <sz val="10"/>
            <color rgb="FF000000"/>
            <rFont val="Arial"/>
            <scheme val="minor"/>
          </rPr>
          <t>Responder updated this value.</t>
        </r>
      </text>
    </comment>
    <comment ref="D13" authorId="0" shapeId="0" xr:uid="{00000000-0006-0000-0400-0000CC000000}">
      <text>
        <r>
          <rPr>
            <sz val="10"/>
            <color rgb="FF000000"/>
            <rFont val="Arial"/>
            <scheme val="minor"/>
          </rPr>
          <t>Responder updated this value.</t>
        </r>
      </text>
    </comment>
    <comment ref="I13" authorId="0" shapeId="0" xr:uid="{00000000-0006-0000-0400-0000CD000000}">
      <text>
        <r>
          <rPr>
            <sz val="10"/>
            <color rgb="FF000000"/>
            <rFont val="Arial"/>
            <scheme val="minor"/>
          </rPr>
          <t>Responder updated this value.</t>
        </r>
      </text>
    </comment>
    <comment ref="J13" authorId="0" shapeId="0" xr:uid="{00000000-0006-0000-0400-0000CE000000}">
      <text>
        <r>
          <rPr>
            <sz val="10"/>
            <color rgb="FF000000"/>
            <rFont val="Arial"/>
            <scheme val="minor"/>
          </rPr>
          <t>Responder updated this value.</t>
        </r>
      </text>
    </comment>
    <comment ref="K13" authorId="0" shapeId="0" xr:uid="{00000000-0006-0000-0400-0000CF000000}">
      <text>
        <r>
          <rPr>
            <sz val="10"/>
            <color rgb="FF000000"/>
            <rFont val="Arial"/>
            <scheme val="minor"/>
          </rPr>
          <t>Responder updated this value.</t>
        </r>
      </text>
    </comment>
    <comment ref="L13" authorId="0" shapeId="0" xr:uid="{00000000-0006-0000-0400-0000D0000000}">
      <text>
        <r>
          <rPr>
            <sz val="10"/>
            <color rgb="FF000000"/>
            <rFont val="Arial"/>
            <scheme val="minor"/>
          </rPr>
          <t>Responder updated this value.</t>
        </r>
      </text>
    </comment>
    <comment ref="M13" authorId="0" shapeId="0" xr:uid="{00000000-0006-0000-0400-0000D1000000}">
      <text>
        <r>
          <rPr>
            <sz val="10"/>
            <color rgb="FF000000"/>
            <rFont val="Arial"/>
            <scheme val="minor"/>
          </rPr>
          <t>Responder updated this value.</t>
        </r>
      </text>
    </comment>
    <comment ref="N13" authorId="0" shapeId="0" xr:uid="{00000000-0006-0000-0400-0000D2000000}">
      <text>
        <r>
          <rPr>
            <sz val="10"/>
            <color rgb="FF000000"/>
            <rFont val="Arial"/>
            <scheme val="minor"/>
          </rPr>
          <t>Responder updated this value.</t>
        </r>
      </text>
    </comment>
    <comment ref="O13" authorId="0" shapeId="0" xr:uid="{00000000-0006-0000-0400-0000D3000000}">
      <text>
        <r>
          <rPr>
            <sz val="10"/>
            <color rgb="FF000000"/>
            <rFont val="Arial"/>
            <scheme val="minor"/>
          </rPr>
          <t>Responder updated this value.</t>
        </r>
      </text>
    </comment>
    <comment ref="P13" authorId="0" shapeId="0" xr:uid="{00000000-0006-0000-0400-0000D4000000}">
      <text>
        <r>
          <rPr>
            <sz val="10"/>
            <color rgb="FF000000"/>
            <rFont val="Arial"/>
            <scheme val="minor"/>
          </rPr>
          <t>Responder updated this value.</t>
        </r>
      </text>
    </comment>
    <comment ref="Q13" authorId="0" shapeId="0" xr:uid="{00000000-0006-0000-0400-0000D5000000}">
      <text>
        <r>
          <rPr>
            <sz val="10"/>
            <color rgb="FF000000"/>
            <rFont val="Arial"/>
            <scheme val="minor"/>
          </rPr>
          <t>Responder updated this value.</t>
        </r>
      </text>
    </comment>
    <comment ref="R13" authorId="0" shapeId="0" xr:uid="{00000000-0006-0000-0400-0000D6000000}">
      <text>
        <r>
          <rPr>
            <sz val="10"/>
            <color rgb="FF000000"/>
            <rFont val="Arial"/>
            <scheme val="minor"/>
          </rPr>
          <t>Responder updated this value.</t>
        </r>
      </text>
    </comment>
    <comment ref="S13" authorId="0" shapeId="0" xr:uid="{00000000-0006-0000-0400-0000D7000000}">
      <text>
        <r>
          <rPr>
            <sz val="10"/>
            <color rgb="FF000000"/>
            <rFont val="Arial"/>
            <scheme val="minor"/>
          </rPr>
          <t>Responder updated this value.</t>
        </r>
      </text>
    </comment>
    <comment ref="W13" authorId="0" shapeId="0" xr:uid="{00000000-0006-0000-0400-0000D8000000}">
      <text>
        <r>
          <rPr>
            <sz val="10"/>
            <color rgb="FF000000"/>
            <rFont val="Arial"/>
            <scheme val="minor"/>
          </rPr>
          <t>Responder updated this value.</t>
        </r>
      </text>
    </comment>
    <comment ref="Y13" authorId="0" shapeId="0" xr:uid="{00000000-0006-0000-0400-0000D9000000}">
      <text>
        <r>
          <rPr>
            <sz val="10"/>
            <color rgb="FF000000"/>
            <rFont val="Arial"/>
            <scheme val="minor"/>
          </rPr>
          <t>Responder updated this value.</t>
        </r>
      </text>
    </comment>
    <comment ref="Z13" authorId="0" shapeId="0" xr:uid="{00000000-0006-0000-0400-0000DA000000}">
      <text>
        <r>
          <rPr>
            <sz val="10"/>
            <color rgb="FF000000"/>
            <rFont val="Arial"/>
            <scheme val="minor"/>
          </rPr>
          <t>Responder updated this value.</t>
        </r>
      </text>
    </comment>
    <comment ref="AA13" authorId="0" shapeId="0" xr:uid="{00000000-0006-0000-0400-0000DB000000}">
      <text>
        <r>
          <rPr>
            <sz val="10"/>
            <color rgb="FF000000"/>
            <rFont val="Arial"/>
            <scheme val="minor"/>
          </rPr>
          <t>Responder updated this value.</t>
        </r>
      </text>
    </comment>
    <comment ref="AB13" authorId="0" shapeId="0" xr:uid="{00000000-0006-0000-0400-0000DC000000}">
      <text>
        <r>
          <rPr>
            <sz val="10"/>
            <color rgb="FF000000"/>
            <rFont val="Arial"/>
            <scheme val="minor"/>
          </rPr>
          <t>Responder updated this value.</t>
        </r>
      </text>
    </comment>
    <comment ref="AC13" authorId="0" shapeId="0" xr:uid="{00000000-0006-0000-0400-0000DD000000}">
      <text>
        <r>
          <rPr>
            <sz val="10"/>
            <color rgb="FF000000"/>
            <rFont val="Arial"/>
            <scheme val="minor"/>
          </rPr>
          <t>Responder updated this value.</t>
        </r>
      </text>
    </comment>
    <comment ref="AD13" authorId="0" shapeId="0" xr:uid="{00000000-0006-0000-0400-0000DE000000}">
      <text>
        <r>
          <rPr>
            <sz val="10"/>
            <color rgb="FF000000"/>
            <rFont val="Arial"/>
            <scheme val="minor"/>
          </rPr>
          <t>Responder updated this value.</t>
        </r>
      </text>
    </comment>
    <comment ref="AE13" authorId="0" shapeId="0" xr:uid="{00000000-0006-0000-0400-0000DF000000}">
      <text>
        <r>
          <rPr>
            <sz val="10"/>
            <color rgb="FF000000"/>
            <rFont val="Arial"/>
            <scheme val="minor"/>
          </rPr>
          <t>Responder updated this value.</t>
        </r>
      </text>
    </comment>
    <comment ref="AF13" authorId="0" shapeId="0" xr:uid="{00000000-0006-0000-0400-0000E0000000}">
      <text>
        <r>
          <rPr>
            <sz val="10"/>
            <color rgb="FF000000"/>
            <rFont val="Arial"/>
            <scheme val="minor"/>
          </rPr>
          <t>Responder updated this value.</t>
        </r>
      </text>
    </comment>
    <comment ref="AG13" authorId="0" shapeId="0" xr:uid="{00000000-0006-0000-0400-0000E1000000}">
      <text>
        <r>
          <rPr>
            <sz val="10"/>
            <color rgb="FF000000"/>
            <rFont val="Arial"/>
            <scheme val="minor"/>
          </rPr>
          <t>Responder updated this value.</t>
        </r>
      </text>
    </comment>
    <comment ref="AI13" authorId="0" shapeId="0" xr:uid="{00000000-0006-0000-0400-0000E2000000}">
      <text>
        <r>
          <rPr>
            <sz val="10"/>
            <color rgb="FF000000"/>
            <rFont val="Arial"/>
            <scheme val="minor"/>
          </rPr>
          <t>Responder updated this value.</t>
        </r>
      </text>
    </comment>
    <comment ref="AJ13" authorId="0" shapeId="0" xr:uid="{00000000-0006-0000-0400-0000E3000000}">
      <text>
        <r>
          <rPr>
            <sz val="10"/>
            <color rgb="FF000000"/>
            <rFont val="Arial"/>
            <scheme val="minor"/>
          </rPr>
          <t>Responder updated this value.</t>
        </r>
      </text>
    </comment>
    <comment ref="AK13" authorId="0" shapeId="0" xr:uid="{00000000-0006-0000-0400-0000E4000000}">
      <text>
        <r>
          <rPr>
            <sz val="10"/>
            <color rgb="FF000000"/>
            <rFont val="Arial"/>
            <scheme val="minor"/>
          </rPr>
          <t>Responder updated this value.</t>
        </r>
      </text>
    </comment>
    <comment ref="AL13" authorId="0" shapeId="0" xr:uid="{00000000-0006-0000-0400-0000E5000000}">
      <text>
        <r>
          <rPr>
            <sz val="10"/>
            <color rgb="FF000000"/>
            <rFont val="Arial"/>
            <scheme val="minor"/>
          </rPr>
          <t>Responder updated this value.</t>
        </r>
      </text>
    </comment>
    <comment ref="AM13" authorId="0" shapeId="0" xr:uid="{00000000-0006-0000-0400-0000E6000000}">
      <text>
        <r>
          <rPr>
            <sz val="10"/>
            <color rgb="FF000000"/>
            <rFont val="Arial"/>
            <scheme val="minor"/>
          </rPr>
          <t>Responder updated this value.</t>
        </r>
      </text>
    </comment>
    <comment ref="AN13" authorId="0" shapeId="0" xr:uid="{00000000-0006-0000-0400-0000E7000000}">
      <text>
        <r>
          <rPr>
            <sz val="10"/>
            <color rgb="FF000000"/>
            <rFont val="Arial"/>
            <scheme val="minor"/>
          </rPr>
          <t>Responder updated this value.</t>
        </r>
      </text>
    </comment>
    <comment ref="AO13" authorId="0" shapeId="0" xr:uid="{00000000-0006-0000-0400-0000E8000000}">
      <text>
        <r>
          <rPr>
            <sz val="10"/>
            <color rgb="FF000000"/>
            <rFont val="Arial"/>
            <scheme val="minor"/>
          </rPr>
          <t>Responder updated this value.</t>
        </r>
      </text>
    </comment>
    <comment ref="AP13" authorId="0" shapeId="0" xr:uid="{00000000-0006-0000-0400-0000E9000000}">
      <text>
        <r>
          <rPr>
            <sz val="10"/>
            <color rgb="FF000000"/>
            <rFont val="Arial"/>
            <scheme val="minor"/>
          </rPr>
          <t>Responder updated this value.</t>
        </r>
      </text>
    </comment>
    <comment ref="D14" authorId="0" shapeId="0" xr:uid="{00000000-0006-0000-0400-0000EA000000}">
      <text>
        <r>
          <rPr>
            <sz val="10"/>
            <color rgb="FF000000"/>
            <rFont val="Arial"/>
            <scheme val="minor"/>
          </rPr>
          <t>Responder updated this value.</t>
        </r>
      </text>
    </comment>
    <comment ref="I14" authorId="0" shapeId="0" xr:uid="{00000000-0006-0000-0400-0000EB000000}">
      <text>
        <r>
          <rPr>
            <sz val="10"/>
            <color rgb="FF000000"/>
            <rFont val="Arial"/>
            <scheme val="minor"/>
          </rPr>
          <t>Responder updated this value.</t>
        </r>
      </text>
    </comment>
    <comment ref="N14" authorId="0" shapeId="0" xr:uid="{00000000-0006-0000-0400-0000EC000000}">
      <text>
        <r>
          <rPr>
            <sz val="10"/>
            <color rgb="FF000000"/>
            <rFont val="Arial"/>
            <scheme val="minor"/>
          </rPr>
          <t>Responder updated this value.</t>
        </r>
      </text>
    </comment>
    <comment ref="P14" authorId="0" shapeId="0" xr:uid="{00000000-0006-0000-0400-0000ED000000}">
      <text>
        <r>
          <rPr>
            <sz val="10"/>
            <color rgb="FF000000"/>
            <rFont val="Arial"/>
            <scheme val="minor"/>
          </rPr>
          <t>Responder updated this value.</t>
        </r>
      </text>
    </comment>
    <comment ref="Q14" authorId="0" shapeId="0" xr:uid="{00000000-0006-0000-0400-0000EE000000}">
      <text>
        <r>
          <rPr>
            <sz val="10"/>
            <color rgb="FF000000"/>
            <rFont val="Arial"/>
            <scheme val="minor"/>
          </rPr>
          <t>Responder updated this value.</t>
        </r>
      </text>
    </comment>
    <comment ref="R14" authorId="0" shapeId="0" xr:uid="{00000000-0006-0000-0400-0000EF000000}">
      <text>
        <r>
          <rPr>
            <sz val="10"/>
            <color rgb="FF000000"/>
            <rFont val="Arial"/>
            <scheme val="minor"/>
          </rPr>
          <t>Responder updated this value.</t>
        </r>
      </text>
    </comment>
    <comment ref="T14" authorId="0" shapeId="0" xr:uid="{00000000-0006-0000-0400-0000F0000000}">
      <text>
        <r>
          <rPr>
            <sz val="10"/>
            <color rgb="FF000000"/>
            <rFont val="Arial"/>
            <scheme val="minor"/>
          </rPr>
          <t>Responder updated this value.</t>
        </r>
      </text>
    </comment>
    <comment ref="U14" authorId="0" shapeId="0" xr:uid="{00000000-0006-0000-0400-0000F1000000}">
      <text>
        <r>
          <rPr>
            <sz val="10"/>
            <color rgb="FF000000"/>
            <rFont val="Arial"/>
            <scheme val="minor"/>
          </rPr>
          <t>Responder updated this value.</t>
        </r>
      </text>
    </comment>
    <comment ref="X14" authorId="0" shapeId="0" xr:uid="{00000000-0006-0000-0400-0000F2000000}">
      <text>
        <r>
          <rPr>
            <sz val="10"/>
            <color rgb="FF000000"/>
            <rFont val="Arial"/>
            <scheme val="minor"/>
          </rPr>
          <t>Responder updated this value.</t>
        </r>
      </text>
    </comment>
    <comment ref="Y14" authorId="0" shapeId="0" xr:uid="{00000000-0006-0000-0400-0000F3000000}">
      <text>
        <r>
          <rPr>
            <sz val="10"/>
            <color rgb="FF000000"/>
            <rFont val="Arial"/>
            <scheme val="minor"/>
          </rPr>
          <t>Responder updated this value.</t>
        </r>
      </text>
    </comment>
    <comment ref="Z14" authorId="0" shapeId="0" xr:uid="{00000000-0006-0000-0400-0000F4000000}">
      <text>
        <r>
          <rPr>
            <sz val="10"/>
            <color rgb="FF000000"/>
            <rFont val="Arial"/>
            <scheme val="minor"/>
          </rPr>
          <t>Responder updated this value.</t>
        </r>
      </text>
    </comment>
    <comment ref="AA14" authorId="0" shapeId="0" xr:uid="{00000000-0006-0000-0400-0000F5000000}">
      <text>
        <r>
          <rPr>
            <sz val="10"/>
            <color rgb="FF000000"/>
            <rFont val="Arial"/>
            <scheme val="minor"/>
          </rPr>
          <t>Responder updated this value.</t>
        </r>
      </text>
    </comment>
    <comment ref="AB14" authorId="0" shapeId="0" xr:uid="{00000000-0006-0000-0400-0000F6000000}">
      <text>
        <r>
          <rPr>
            <sz val="10"/>
            <color rgb="FF000000"/>
            <rFont val="Arial"/>
            <scheme val="minor"/>
          </rPr>
          <t>Responder updated this value.</t>
        </r>
      </text>
    </comment>
    <comment ref="AC14" authorId="0" shapeId="0" xr:uid="{00000000-0006-0000-0400-0000F7000000}">
      <text>
        <r>
          <rPr>
            <sz val="10"/>
            <color rgb="FF000000"/>
            <rFont val="Arial"/>
            <scheme val="minor"/>
          </rPr>
          <t>Responder updated this value.</t>
        </r>
      </text>
    </comment>
    <comment ref="AD14" authorId="0" shapeId="0" xr:uid="{00000000-0006-0000-0400-0000F8000000}">
      <text>
        <r>
          <rPr>
            <sz val="10"/>
            <color rgb="FF000000"/>
            <rFont val="Arial"/>
            <scheme val="minor"/>
          </rPr>
          <t>Responder updated this value.</t>
        </r>
      </text>
    </comment>
    <comment ref="AE14" authorId="0" shapeId="0" xr:uid="{00000000-0006-0000-0400-0000F9000000}">
      <text>
        <r>
          <rPr>
            <sz val="10"/>
            <color rgb="FF000000"/>
            <rFont val="Arial"/>
            <scheme val="minor"/>
          </rPr>
          <t>Responder updated this value.</t>
        </r>
      </text>
    </comment>
    <comment ref="AF14" authorId="0" shapeId="0" xr:uid="{00000000-0006-0000-0400-0000FA000000}">
      <text>
        <r>
          <rPr>
            <sz val="10"/>
            <color rgb="FF000000"/>
            <rFont val="Arial"/>
            <scheme val="minor"/>
          </rPr>
          <t>Responder updated this value.</t>
        </r>
      </text>
    </comment>
    <comment ref="AI14" authorId="0" shapeId="0" xr:uid="{00000000-0006-0000-0400-0000FB000000}">
      <text>
        <r>
          <rPr>
            <sz val="10"/>
            <color rgb="FF000000"/>
            <rFont val="Arial"/>
            <scheme val="minor"/>
          </rPr>
          <t>Responder updated this value.</t>
        </r>
      </text>
    </comment>
    <comment ref="AJ14" authorId="0" shapeId="0" xr:uid="{00000000-0006-0000-0400-0000FC000000}">
      <text>
        <r>
          <rPr>
            <sz val="10"/>
            <color rgb="FF000000"/>
            <rFont val="Arial"/>
            <scheme val="minor"/>
          </rPr>
          <t>Responder updated this value.</t>
        </r>
      </text>
    </comment>
    <comment ref="AK14" authorId="0" shapeId="0" xr:uid="{00000000-0006-0000-0400-0000FD000000}">
      <text>
        <r>
          <rPr>
            <sz val="10"/>
            <color rgb="FF000000"/>
            <rFont val="Arial"/>
            <scheme val="minor"/>
          </rPr>
          <t>Responder updated this value.</t>
        </r>
      </text>
    </comment>
    <comment ref="AL14" authorId="0" shapeId="0" xr:uid="{00000000-0006-0000-0400-0000FE000000}">
      <text>
        <r>
          <rPr>
            <sz val="10"/>
            <color rgb="FF000000"/>
            <rFont val="Arial"/>
            <scheme val="minor"/>
          </rPr>
          <t>Responder updated this value.</t>
        </r>
      </text>
    </comment>
    <comment ref="AM14" authorId="0" shapeId="0" xr:uid="{00000000-0006-0000-0400-0000FF000000}">
      <text>
        <r>
          <rPr>
            <sz val="10"/>
            <color rgb="FF000000"/>
            <rFont val="Arial"/>
            <scheme val="minor"/>
          </rPr>
          <t>Responder updated this value.</t>
        </r>
      </text>
    </comment>
    <comment ref="AN14" authorId="0" shapeId="0" xr:uid="{00000000-0006-0000-0400-000000010000}">
      <text>
        <r>
          <rPr>
            <sz val="10"/>
            <color rgb="FF000000"/>
            <rFont val="Arial"/>
            <scheme val="minor"/>
          </rPr>
          <t>Responder updated this value.</t>
        </r>
      </text>
    </comment>
    <comment ref="AO14" authorId="0" shapeId="0" xr:uid="{00000000-0006-0000-0400-000001010000}">
      <text>
        <r>
          <rPr>
            <sz val="10"/>
            <color rgb="FF000000"/>
            <rFont val="Arial"/>
            <scheme val="minor"/>
          </rPr>
          <t>Responder updated this value.</t>
        </r>
      </text>
    </comment>
    <comment ref="AP14" authorId="0" shapeId="0" xr:uid="{00000000-0006-0000-0400-000002010000}">
      <text>
        <r>
          <rPr>
            <sz val="10"/>
            <color rgb="FF000000"/>
            <rFont val="Arial"/>
            <scheme val="minor"/>
          </rPr>
          <t>Responder updated this value.</t>
        </r>
      </text>
    </comment>
    <comment ref="D15" authorId="0" shapeId="0" xr:uid="{00000000-0006-0000-0400-000003010000}">
      <text>
        <r>
          <rPr>
            <sz val="10"/>
            <color rgb="FF000000"/>
            <rFont val="Arial"/>
            <scheme val="minor"/>
          </rPr>
          <t>Responder updated this value.</t>
        </r>
      </text>
    </comment>
    <comment ref="N15" authorId="0" shapeId="0" xr:uid="{00000000-0006-0000-0400-000004010000}">
      <text>
        <r>
          <rPr>
            <sz val="10"/>
            <color rgb="FF000000"/>
            <rFont val="Arial"/>
            <scheme val="minor"/>
          </rPr>
          <t>Responder updated this value.</t>
        </r>
      </text>
    </comment>
    <comment ref="O15" authorId="0" shapeId="0" xr:uid="{00000000-0006-0000-0400-000005010000}">
      <text>
        <r>
          <rPr>
            <sz val="10"/>
            <color rgb="FF000000"/>
            <rFont val="Arial"/>
            <scheme val="minor"/>
          </rPr>
          <t>Responder updated this value.</t>
        </r>
      </text>
    </comment>
    <comment ref="P15" authorId="0" shapeId="0" xr:uid="{00000000-0006-0000-0400-000006010000}">
      <text>
        <r>
          <rPr>
            <sz val="10"/>
            <color rgb="FF000000"/>
            <rFont val="Arial"/>
            <scheme val="minor"/>
          </rPr>
          <t>Responder updated this value.</t>
        </r>
      </text>
    </comment>
    <comment ref="Q15" authorId="0" shapeId="0" xr:uid="{00000000-0006-0000-0400-000007010000}">
      <text>
        <r>
          <rPr>
            <sz val="10"/>
            <color rgb="FF000000"/>
            <rFont val="Arial"/>
            <scheme val="minor"/>
          </rPr>
          <t>Responder updated this value.</t>
        </r>
      </text>
    </comment>
    <comment ref="S15" authorId="0" shapeId="0" xr:uid="{00000000-0006-0000-0400-000008010000}">
      <text>
        <r>
          <rPr>
            <sz val="10"/>
            <color rgb="FF000000"/>
            <rFont val="Arial"/>
            <scheme val="minor"/>
          </rPr>
          <t>Responder updated this value.</t>
        </r>
      </text>
    </comment>
    <comment ref="T15" authorId="0" shapeId="0" xr:uid="{00000000-0006-0000-0400-000009010000}">
      <text>
        <r>
          <rPr>
            <sz val="10"/>
            <color rgb="FF000000"/>
            <rFont val="Arial"/>
            <scheme val="minor"/>
          </rPr>
          <t>Responder updated this value.</t>
        </r>
      </text>
    </comment>
    <comment ref="X15" authorId="0" shapeId="0" xr:uid="{00000000-0006-0000-0400-00000A010000}">
      <text>
        <r>
          <rPr>
            <sz val="10"/>
            <color rgb="FF000000"/>
            <rFont val="Arial"/>
            <scheme val="minor"/>
          </rPr>
          <t>Responder updated this value.</t>
        </r>
      </text>
    </comment>
    <comment ref="Y15" authorId="0" shapeId="0" xr:uid="{00000000-0006-0000-0400-00000B010000}">
      <text>
        <r>
          <rPr>
            <sz val="10"/>
            <color rgb="FF000000"/>
            <rFont val="Arial"/>
            <scheme val="minor"/>
          </rPr>
          <t>Responder updated this value.</t>
        </r>
      </text>
    </comment>
    <comment ref="Z15" authorId="0" shapeId="0" xr:uid="{00000000-0006-0000-0400-00000C010000}">
      <text>
        <r>
          <rPr>
            <sz val="10"/>
            <color rgb="FF000000"/>
            <rFont val="Arial"/>
            <scheme val="minor"/>
          </rPr>
          <t>Responder updated this value.</t>
        </r>
      </text>
    </comment>
    <comment ref="AA15" authorId="0" shapeId="0" xr:uid="{00000000-0006-0000-0400-00000D010000}">
      <text>
        <r>
          <rPr>
            <sz val="10"/>
            <color rgb="FF000000"/>
            <rFont val="Arial"/>
            <scheme val="minor"/>
          </rPr>
          <t>Responder updated this value.</t>
        </r>
      </text>
    </comment>
    <comment ref="AB15" authorId="0" shapeId="0" xr:uid="{00000000-0006-0000-0400-00000E010000}">
      <text>
        <r>
          <rPr>
            <sz val="10"/>
            <color rgb="FF000000"/>
            <rFont val="Arial"/>
            <scheme val="minor"/>
          </rPr>
          <t>Responder updated this value.</t>
        </r>
      </text>
    </comment>
    <comment ref="AC15" authorId="0" shapeId="0" xr:uid="{00000000-0006-0000-0400-00000F010000}">
      <text>
        <r>
          <rPr>
            <sz val="10"/>
            <color rgb="FF000000"/>
            <rFont val="Arial"/>
            <scheme val="minor"/>
          </rPr>
          <t>Responder updated this value.</t>
        </r>
      </text>
    </comment>
    <comment ref="AD15" authorId="0" shapeId="0" xr:uid="{00000000-0006-0000-0400-000010010000}">
      <text>
        <r>
          <rPr>
            <sz val="10"/>
            <color rgb="FF000000"/>
            <rFont val="Arial"/>
            <scheme val="minor"/>
          </rPr>
          <t>Responder updated this value.</t>
        </r>
      </text>
    </comment>
    <comment ref="AE15" authorId="0" shapeId="0" xr:uid="{00000000-0006-0000-0400-000011010000}">
      <text>
        <r>
          <rPr>
            <sz val="10"/>
            <color rgb="FF000000"/>
            <rFont val="Arial"/>
            <scheme val="minor"/>
          </rPr>
          <t>Responder updated this value.</t>
        </r>
      </text>
    </comment>
    <comment ref="AF15" authorId="0" shapeId="0" xr:uid="{00000000-0006-0000-0400-000012010000}">
      <text>
        <r>
          <rPr>
            <sz val="10"/>
            <color rgb="FF000000"/>
            <rFont val="Arial"/>
            <scheme val="minor"/>
          </rPr>
          <t>Responder updated this value.</t>
        </r>
      </text>
    </comment>
    <comment ref="AI15" authorId="0" shapeId="0" xr:uid="{00000000-0006-0000-0400-000013010000}">
      <text>
        <r>
          <rPr>
            <sz val="10"/>
            <color rgb="FF000000"/>
            <rFont val="Arial"/>
            <scheme val="minor"/>
          </rPr>
          <t>Responder updated this value.</t>
        </r>
      </text>
    </comment>
    <comment ref="AJ15" authorId="0" shapeId="0" xr:uid="{00000000-0006-0000-0400-000014010000}">
      <text>
        <r>
          <rPr>
            <sz val="10"/>
            <color rgb="FF000000"/>
            <rFont val="Arial"/>
            <scheme val="minor"/>
          </rPr>
          <t>Responder updated this value.</t>
        </r>
      </text>
    </comment>
    <comment ref="AK15" authorId="0" shapeId="0" xr:uid="{00000000-0006-0000-0400-000015010000}">
      <text>
        <r>
          <rPr>
            <sz val="10"/>
            <color rgb="FF000000"/>
            <rFont val="Arial"/>
            <scheme val="minor"/>
          </rPr>
          <t>Responder updated this value.</t>
        </r>
      </text>
    </comment>
    <comment ref="AL15" authorId="0" shapeId="0" xr:uid="{00000000-0006-0000-0400-000016010000}">
      <text>
        <r>
          <rPr>
            <sz val="10"/>
            <color rgb="FF000000"/>
            <rFont val="Arial"/>
            <scheme val="minor"/>
          </rPr>
          <t>Responder updated this value.</t>
        </r>
      </text>
    </comment>
    <comment ref="AM15" authorId="0" shapeId="0" xr:uid="{00000000-0006-0000-0400-000017010000}">
      <text>
        <r>
          <rPr>
            <sz val="10"/>
            <color rgb="FF000000"/>
            <rFont val="Arial"/>
            <scheme val="minor"/>
          </rPr>
          <t>Responder updated this value.</t>
        </r>
      </text>
    </comment>
    <comment ref="AN15" authorId="0" shapeId="0" xr:uid="{00000000-0006-0000-0400-000018010000}">
      <text>
        <r>
          <rPr>
            <sz val="10"/>
            <color rgb="FF000000"/>
            <rFont val="Arial"/>
            <scheme val="minor"/>
          </rPr>
          <t>Responder updated this value.</t>
        </r>
      </text>
    </comment>
    <comment ref="AO15" authorId="0" shapeId="0" xr:uid="{00000000-0006-0000-0400-000019010000}">
      <text>
        <r>
          <rPr>
            <sz val="10"/>
            <color rgb="FF000000"/>
            <rFont val="Arial"/>
            <scheme val="minor"/>
          </rPr>
          <t>Responder updated this value.</t>
        </r>
      </text>
    </comment>
    <comment ref="AP15" authorId="0" shapeId="0" xr:uid="{00000000-0006-0000-0400-00001A010000}">
      <text>
        <r>
          <rPr>
            <sz val="10"/>
            <color rgb="FF000000"/>
            <rFont val="Arial"/>
            <scheme val="minor"/>
          </rPr>
          <t>Responder updated this value.</t>
        </r>
      </text>
    </comment>
    <comment ref="D16" authorId="0" shapeId="0" xr:uid="{00000000-0006-0000-0400-00001B010000}">
      <text>
        <r>
          <rPr>
            <sz val="10"/>
            <color rgb="FF000000"/>
            <rFont val="Arial"/>
            <scheme val="minor"/>
          </rPr>
          <t>Responder updated this value.</t>
        </r>
      </text>
    </comment>
    <comment ref="N16" authorId="0" shapeId="0" xr:uid="{00000000-0006-0000-0400-00001C010000}">
      <text>
        <r>
          <rPr>
            <sz val="10"/>
            <color rgb="FF000000"/>
            <rFont val="Arial"/>
            <scheme val="minor"/>
          </rPr>
          <t>Responder updated this value.</t>
        </r>
      </text>
    </comment>
    <comment ref="O16" authorId="0" shapeId="0" xr:uid="{00000000-0006-0000-0400-00001D010000}">
      <text>
        <r>
          <rPr>
            <sz val="10"/>
            <color rgb="FF000000"/>
            <rFont val="Arial"/>
            <scheme val="minor"/>
          </rPr>
          <t>Responder updated this value.</t>
        </r>
      </text>
    </comment>
    <comment ref="P16" authorId="0" shapeId="0" xr:uid="{00000000-0006-0000-0400-00001E010000}">
      <text>
        <r>
          <rPr>
            <sz val="10"/>
            <color rgb="FF000000"/>
            <rFont val="Arial"/>
            <scheme val="minor"/>
          </rPr>
          <t>Responder updated this value.</t>
        </r>
      </text>
    </comment>
    <comment ref="Q16" authorId="0" shapeId="0" xr:uid="{00000000-0006-0000-0400-00001F010000}">
      <text>
        <r>
          <rPr>
            <sz val="10"/>
            <color rgb="FF000000"/>
            <rFont val="Arial"/>
            <scheme val="minor"/>
          </rPr>
          <t>Responder updated this value.</t>
        </r>
      </text>
    </comment>
    <comment ref="S16" authorId="0" shapeId="0" xr:uid="{00000000-0006-0000-0400-000020010000}">
      <text>
        <r>
          <rPr>
            <sz val="10"/>
            <color rgb="FF000000"/>
            <rFont val="Arial"/>
            <scheme val="minor"/>
          </rPr>
          <t>Responder updated this value.</t>
        </r>
      </text>
    </comment>
    <comment ref="T16" authorId="0" shapeId="0" xr:uid="{00000000-0006-0000-0400-000021010000}">
      <text>
        <r>
          <rPr>
            <sz val="10"/>
            <color rgb="FF000000"/>
            <rFont val="Arial"/>
            <scheme val="minor"/>
          </rPr>
          <t>Responder updated this value.</t>
        </r>
      </text>
    </comment>
    <comment ref="X16" authorId="0" shapeId="0" xr:uid="{00000000-0006-0000-0400-000022010000}">
      <text>
        <r>
          <rPr>
            <sz val="10"/>
            <color rgb="FF000000"/>
            <rFont val="Arial"/>
            <scheme val="minor"/>
          </rPr>
          <t>Responder updated this value.</t>
        </r>
      </text>
    </comment>
    <comment ref="Y16" authorId="0" shapeId="0" xr:uid="{00000000-0006-0000-0400-000023010000}">
      <text>
        <r>
          <rPr>
            <sz val="10"/>
            <color rgb="FF000000"/>
            <rFont val="Arial"/>
            <scheme val="minor"/>
          </rPr>
          <t>Responder updated this value.</t>
        </r>
      </text>
    </comment>
    <comment ref="Z16" authorId="0" shapeId="0" xr:uid="{00000000-0006-0000-0400-000024010000}">
      <text>
        <r>
          <rPr>
            <sz val="10"/>
            <color rgb="FF000000"/>
            <rFont val="Arial"/>
            <scheme val="minor"/>
          </rPr>
          <t>Responder updated this value.</t>
        </r>
      </text>
    </comment>
    <comment ref="AA16" authorId="0" shapeId="0" xr:uid="{00000000-0006-0000-0400-000025010000}">
      <text>
        <r>
          <rPr>
            <sz val="10"/>
            <color rgb="FF000000"/>
            <rFont val="Arial"/>
            <scheme val="minor"/>
          </rPr>
          <t>Responder updated this value.</t>
        </r>
      </text>
    </comment>
    <comment ref="AB16" authorId="0" shapeId="0" xr:uid="{00000000-0006-0000-0400-000026010000}">
      <text>
        <r>
          <rPr>
            <sz val="10"/>
            <color rgb="FF000000"/>
            <rFont val="Arial"/>
            <scheme val="minor"/>
          </rPr>
          <t>Responder updated this value.</t>
        </r>
      </text>
    </comment>
    <comment ref="AC16" authorId="0" shapeId="0" xr:uid="{00000000-0006-0000-0400-000027010000}">
      <text>
        <r>
          <rPr>
            <sz val="10"/>
            <color rgb="FF000000"/>
            <rFont val="Arial"/>
            <scheme val="minor"/>
          </rPr>
          <t>Responder updated this value.</t>
        </r>
      </text>
    </comment>
    <comment ref="AD16" authorId="0" shapeId="0" xr:uid="{00000000-0006-0000-0400-000028010000}">
      <text>
        <r>
          <rPr>
            <sz val="10"/>
            <color rgb="FF000000"/>
            <rFont val="Arial"/>
            <scheme val="minor"/>
          </rPr>
          <t>Responder updated this value.</t>
        </r>
      </text>
    </comment>
    <comment ref="AE16" authorId="0" shapeId="0" xr:uid="{00000000-0006-0000-0400-000029010000}">
      <text>
        <r>
          <rPr>
            <sz val="10"/>
            <color rgb="FF000000"/>
            <rFont val="Arial"/>
            <scheme val="minor"/>
          </rPr>
          <t>Responder updated this value.</t>
        </r>
      </text>
    </comment>
    <comment ref="AF16" authorId="0" shapeId="0" xr:uid="{00000000-0006-0000-0400-00002A010000}">
      <text>
        <r>
          <rPr>
            <sz val="10"/>
            <color rgb="FF000000"/>
            <rFont val="Arial"/>
            <scheme val="minor"/>
          </rPr>
          <t>Responder updated this value.</t>
        </r>
      </text>
    </comment>
    <comment ref="AI16" authorId="0" shapeId="0" xr:uid="{00000000-0006-0000-0400-00002B010000}">
      <text>
        <r>
          <rPr>
            <sz val="10"/>
            <color rgb="FF000000"/>
            <rFont val="Arial"/>
            <scheme val="minor"/>
          </rPr>
          <t>Responder updated this value.</t>
        </r>
      </text>
    </comment>
    <comment ref="AJ16" authorId="0" shapeId="0" xr:uid="{00000000-0006-0000-0400-00002C010000}">
      <text>
        <r>
          <rPr>
            <sz val="10"/>
            <color rgb="FF000000"/>
            <rFont val="Arial"/>
            <scheme val="minor"/>
          </rPr>
          <t>Responder updated this value.</t>
        </r>
      </text>
    </comment>
    <comment ref="AK16" authorId="0" shapeId="0" xr:uid="{00000000-0006-0000-0400-00002D010000}">
      <text>
        <r>
          <rPr>
            <sz val="10"/>
            <color rgb="FF000000"/>
            <rFont val="Arial"/>
            <scheme val="minor"/>
          </rPr>
          <t>Responder updated this value.</t>
        </r>
      </text>
    </comment>
    <comment ref="AL16" authorId="0" shapeId="0" xr:uid="{00000000-0006-0000-0400-00002E010000}">
      <text>
        <r>
          <rPr>
            <sz val="10"/>
            <color rgb="FF000000"/>
            <rFont val="Arial"/>
            <scheme val="minor"/>
          </rPr>
          <t>Responder updated this value.</t>
        </r>
      </text>
    </comment>
    <comment ref="AM16" authorId="0" shapeId="0" xr:uid="{00000000-0006-0000-0400-00002F010000}">
      <text>
        <r>
          <rPr>
            <sz val="10"/>
            <color rgb="FF000000"/>
            <rFont val="Arial"/>
            <scheme val="minor"/>
          </rPr>
          <t>Responder updated this value.</t>
        </r>
      </text>
    </comment>
    <comment ref="AN16" authorId="0" shapeId="0" xr:uid="{00000000-0006-0000-0400-000030010000}">
      <text>
        <r>
          <rPr>
            <sz val="10"/>
            <color rgb="FF000000"/>
            <rFont val="Arial"/>
            <scheme val="minor"/>
          </rPr>
          <t>Responder updated this value.</t>
        </r>
      </text>
    </comment>
    <comment ref="AO16" authorId="0" shapeId="0" xr:uid="{00000000-0006-0000-0400-000031010000}">
      <text>
        <r>
          <rPr>
            <sz val="10"/>
            <color rgb="FF000000"/>
            <rFont val="Arial"/>
            <scheme val="minor"/>
          </rPr>
          <t>Responder updated this value.</t>
        </r>
      </text>
    </comment>
    <comment ref="AP16" authorId="0" shapeId="0" xr:uid="{00000000-0006-0000-0400-000032010000}">
      <text>
        <r>
          <rPr>
            <sz val="10"/>
            <color rgb="FF000000"/>
            <rFont val="Arial"/>
            <scheme val="minor"/>
          </rPr>
          <t>Responder updated this value.</t>
        </r>
      </text>
    </comment>
    <comment ref="D17" authorId="0" shapeId="0" xr:uid="{00000000-0006-0000-0400-000033010000}">
      <text>
        <r>
          <rPr>
            <sz val="10"/>
            <color rgb="FF000000"/>
            <rFont val="Arial"/>
            <scheme val="minor"/>
          </rPr>
          <t>Responder updated this value.</t>
        </r>
      </text>
    </comment>
    <comment ref="N17" authorId="0" shapeId="0" xr:uid="{00000000-0006-0000-0400-000034010000}">
      <text>
        <r>
          <rPr>
            <sz val="10"/>
            <color rgb="FF000000"/>
            <rFont val="Arial"/>
            <scheme val="minor"/>
          </rPr>
          <t>Responder updated this value.</t>
        </r>
      </text>
    </comment>
    <comment ref="O17" authorId="0" shapeId="0" xr:uid="{00000000-0006-0000-0400-000035010000}">
      <text>
        <r>
          <rPr>
            <sz val="10"/>
            <color rgb="FF000000"/>
            <rFont val="Arial"/>
            <scheme val="minor"/>
          </rPr>
          <t>Responder updated this value.</t>
        </r>
      </text>
    </comment>
    <comment ref="P17" authorId="0" shapeId="0" xr:uid="{00000000-0006-0000-0400-000036010000}">
      <text>
        <r>
          <rPr>
            <sz val="10"/>
            <color rgb="FF000000"/>
            <rFont val="Arial"/>
            <scheme val="minor"/>
          </rPr>
          <t>Responder updated this value.</t>
        </r>
      </text>
    </comment>
    <comment ref="Q17" authorId="0" shapeId="0" xr:uid="{00000000-0006-0000-0400-000037010000}">
      <text>
        <r>
          <rPr>
            <sz val="10"/>
            <color rgb="FF000000"/>
            <rFont val="Arial"/>
            <scheme val="minor"/>
          </rPr>
          <t>Responder updated this value.</t>
        </r>
      </text>
    </comment>
    <comment ref="T17" authorId="0" shapeId="0" xr:uid="{00000000-0006-0000-0400-000038010000}">
      <text>
        <r>
          <rPr>
            <sz val="10"/>
            <color rgb="FF000000"/>
            <rFont val="Arial"/>
            <scheme val="minor"/>
          </rPr>
          <t>Responder updated this value.</t>
        </r>
      </text>
    </comment>
    <comment ref="W17" authorId="0" shapeId="0" xr:uid="{00000000-0006-0000-0400-000039010000}">
      <text>
        <r>
          <rPr>
            <sz val="10"/>
            <color rgb="FF000000"/>
            <rFont val="Arial"/>
            <scheme val="minor"/>
          </rPr>
          <t>Responder updated this value.</t>
        </r>
      </text>
    </comment>
    <comment ref="X17" authorId="0" shapeId="0" xr:uid="{00000000-0006-0000-0400-00003A010000}">
      <text>
        <r>
          <rPr>
            <sz val="10"/>
            <color rgb="FF000000"/>
            <rFont val="Arial"/>
            <scheme val="minor"/>
          </rPr>
          <t>Responder updated this value.</t>
        </r>
      </text>
    </comment>
    <comment ref="Y17" authorId="0" shapeId="0" xr:uid="{00000000-0006-0000-0400-00003B010000}">
      <text>
        <r>
          <rPr>
            <sz val="10"/>
            <color rgb="FF000000"/>
            <rFont val="Arial"/>
            <scheme val="minor"/>
          </rPr>
          <t>Responder updated this value.</t>
        </r>
      </text>
    </comment>
    <comment ref="Z17" authorId="0" shapeId="0" xr:uid="{00000000-0006-0000-0400-00003C010000}">
      <text>
        <r>
          <rPr>
            <sz val="10"/>
            <color rgb="FF000000"/>
            <rFont val="Arial"/>
            <scheme val="minor"/>
          </rPr>
          <t>Responder updated this value.</t>
        </r>
      </text>
    </comment>
    <comment ref="AA17" authorId="0" shapeId="0" xr:uid="{00000000-0006-0000-0400-00003D010000}">
      <text>
        <r>
          <rPr>
            <sz val="10"/>
            <color rgb="FF000000"/>
            <rFont val="Arial"/>
            <scheme val="minor"/>
          </rPr>
          <t>Responder updated this value.</t>
        </r>
      </text>
    </comment>
    <comment ref="AB17" authorId="0" shapeId="0" xr:uid="{00000000-0006-0000-0400-00003E010000}">
      <text>
        <r>
          <rPr>
            <sz val="10"/>
            <color rgb="FF000000"/>
            <rFont val="Arial"/>
            <scheme val="minor"/>
          </rPr>
          <t>Responder updated this value.</t>
        </r>
      </text>
    </comment>
    <comment ref="AC17" authorId="0" shapeId="0" xr:uid="{00000000-0006-0000-0400-00003F010000}">
      <text>
        <r>
          <rPr>
            <sz val="10"/>
            <color rgb="FF000000"/>
            <rFont val="Arial"/>
            <scheme val="minor"/>
          </rPr>
          <t>Responder updated this value.</t>
        </r>
      </text>
    </comment>
    <comment ref="AD17" authorId="0" shapeId="0" xr:uid="{00000000-0006-0000-0400-000040010000}">
      <text>
        <r>
          <rPr>
            <sz val="10"/>
            <color rgb="FF000000"/>
            <rFont val="Arial"/>
            <scheme val="minor"/>
          </rPr>
          <t>Responder updated this value.</t>
        </r>
      </text>
    </comment>
    <comment ref="AE17" authorId="0" shapeId="0" xr:uid="{00000000-0006-0000-0400-000041010000}">
      <text>
        <r>
          <rPr>
            <sz val="10"/>
            <color rgb="FF000000"/>
            <rFont val="Arial"/>
            <scheme val="minor"/>
          </rPr>
          <t>Responder updated this value.</t>
        </r>
      </text>
    </comment>
    <comment ref="AF17" authorId="0" shapeId="0" xr:uid="{00000000-0006-0000-0400-000042010000}">
      <text>
        <r>
          <rPr>
            <sz val="10"/>
            <color rgb="FF000000"/>
            <rFont val="Arial"/>
            <scheme val="minor"/>
          </rPr>
          <t>Responder updated this value.</t>
        </r>
      </text>
    </comment>
    <comment ref="AI17" authorId="0" shapeId="0" xr:uid="{00000000-0006-0000-0400-000043010000}">
      <text>
        <r>
          <rPr>
            <sz val="10"/>
            <color rgb="FF000000"/>
            <rFont val="Arial"/>
            <scheme val="minor"/>
          </rPr>
          <t>Responder updated this value.</t>
        </r>
      </text>
    </comment>
    <comment ref="AJ17" authorId="0" shapeId="0" xr:uid="{00000000-0006-0000-0400-000044010000}">
      <text>
        <r>
          <rPr>
            <sz val="10"/>
            <color rgb="FF000000"/>
            <rFont val="Arial"/>
            <scheme val="minor"/>
          </rPr>
          <t>Responder updated this value.</t>
        </r>
      </text>
    </comment>
    <comment ref="AK17" authorId="0" shapeId="0" xr:uid="{00000000-0006-0000-0400-000045010000}">
      <text>
        <r>
          <rPr>
            <sz val="10"/>
            <color rgb="FF000000"/>
            <rFont val="Arial"/>
            <scheme val="minor"/>
          </rPr>
          <t>Responder updated this value.</t>
        </r>
      </text>
    </comment>
    <comment ref="AL17" authorId="0" shapeId="0" xr:uid="{00000000-0006-0000-0400-000046010000}">
      <text>
        <r>
          <rPr>
            <sz val="10"/>
            <color rgb="FF000000"/>
            <rFont val="Arial"/>
            <scheme val="minor"/>
          </rPr>
          <t>Responder updated this value.</t>
        </r>
      </text>
    </comment>
    <comment ref="AM17" authorId="0" shapeId="0" xr:uid="{00000000-0006-0000-0400-000047010000}">
      <text>
        <r>
          <rPr>
            <sz val="10"/>
            <color rgb="FF000000"/>
            <rFont val="Arial"/>
            <scheme val="minor"/>
          </rPr>
          <t>Responder updated this value.</t>
        </r>
      </text>
    </comment>
    <comment ref="AN17" authorId="0" shapeId="0" xr:uid="{00000000-0006-0000-0400-000048010000}">
      <text>
        <r>
          <rPr>
            <sz val="10"/>
            <color rgb="FF000000"/>
            <rFont val="Arial"/>
            <scheme val="minor"/>
          </rPr>
          <t>Responder updated this value.</t>
        </r>
      </text>
    </comment>
    <comment ref="AO17" authorId="0" shapeId="0" xr:uid="{00000000-0006-0000-0400-000049010000}">
      <text>
        <r>
          <rPr>
            <sz val="10"/>
            <color rgb="FF000000"/>
            <rFont val="Arial"/>
            <scheme val="minor"/>
          </rPr>
          <t>Responder updated this value.</t>
        </r>
      </text>
    </comment>
    <comment ref="AP17" authorId="0" shapeId="0" xr:uid="{00000000-0006-0000-0400-00004A010000}">
      <text>
        <r>
          <rPr>
            <sz val="10"/>
            <color rgb="FF000000"/>
            <rFont val="Arial"/>
            <scheme val="minor"/>
          </rPr>
          <t>Responder updated this value.</t>
        </r>
      </text>
    </comment>
    <comment ref="D18" authorId="0" shapeId="0" xr:uid="{00000000-0006-0000-0400-00004B010000}">
      <text>
        <r>
          <rPr>
            <sz val="10"/>
            <color rgb="FF000000"/>
            <rFont val="Arial"/>
            <scheme val="minor"/>
          </rPr>
          <t>Responder updated this value.</t>
        </r>
      </text>
    </comment>
    <comment ref="I18" authorId="0" shapeId="0" xr:uid="{00000000-0006-0000-0400-00004C010000}">
      <text>
        <r>
          <rPr>
            <sz val="10"/>
            <color rgb="FF000000"/>
            <rFont val="Arial"/>
            <scheme val="minor"/>
          </rPr>
          <t>Responder updated this value.</t>
        </r>
      </text>
    </comment>
    <comment ref="L18" authorId="0" shapeId="0" xr:uid="{00000000-0006-0000-0400-00004D010000}">
      <text>
        <r>
          <rPr>
            <sz val="10"/>
            <color rgb="FF000000"/>
            <rFont val="Arial"/>
            <scheme val="minor"/>
          </rPr>
          <t>Responder updated this value.</t>
        </r>
      </text>
    </comment>
    <comment ref="M18" authorId="0" shapeId="0" xr:uid="{00000000-0006-0000-0400-00004E010000}">
      <text>
        <r>
          <rPr>
            <sz val="10"/>
            <color rgb="FF000000"/>
            <rFont val="Arial"/>
            <scheme val="minor"/>
          </rPr>
          <t>Responder updated this value.</t>
        </r>
      </text>
    </comment>
    <comment ref="AA18" authorId="0" shapeId="0" xr:uid="{00000000-0006-0000-0400-00004F010000}">
      <text>
        <r>
          <rPr>
            <sz val="10"/>
            <color rgb="FF000000"/>
            <rFont val="Arial"/>
            <scheme val="minor"/>
          </rPr>
          <t>Responder updated this value.</t>
        </r>
      </text>
    </comment>
    <comment ref="AB18" authorId="0" shapeId="0" xr:uid="{00000000-0006-0000-0400-000050010000}">
      <text>
        <r>
          <rPr>
            <sz val="10"/>
            <color rgb="FF000000"/>
            <rFont val="Arial"/>
            <scheme val="minor"/>
          </rPr>
          <t>Responder updated this value.</t>
        </r>
      </text>
    </comment>
    <comment ref="AC18" authorId="0" shapeId="0" xr:uid="{00000000-0006-0000-0400-000051010000}">
      <text>
        <r>
          <rPr>
            <sz val="10"/>
            <color rgb="FF000000"/>
            <rFont val="Arial"/>
            <scheme val="minor"/>
          </rPr>
          <t>Responder updated this value.</t>
        </r>
      </text>
    </comment>
    <comment ref="AD18" authorId="0" shapeId="0" xr:uid="{00000000-0006-0000-0400-000052010000}">
      <text>
        <r>
          <rPr>
            <sz val="10"/>
            <color rgb="FF000000"/>
            <rFont val="Arial"/>
            <scheme val="minor"/>
          </rPr>
          <t>Responder updated this value.</t>
        </r>
      </text>
    </comment>
    <comment ref="AE18" authorId="0" shapeId="0" xr:uid="{00000000-0006-0000-0400-000053010000}">
      <text>
        <r>
          <rPr>
            <sz val="10"/>
            <color rgb="FF000000"/>
            <rFont val="Arial"/>
            <scheme val="minor"/>
          </rPr>
          <t>Responder updated this value.</t>
        </r>
      </text>
    </comment>
    <comment ref="AF18" authorId="0" shapeId="0" xr:uid="{00000000-0006-0000-0400-000054010000}">
      <text>
        <r>
          <rPr>
            <sz val="10"/>
            <color rgb="FF000000"/>
            <rFont val="Arial"/>
            <scheme val="minor"/>
          </rPr>
          <t>Responder updated this value.</t>
        </r>
      </text>
    </comment>
    <comment ref="AI18" authorId="0" shapeId="0" xr:uid="{00000000-0006-0000-0400-000055010000}">
      <text>
        <r>
          <rPr>
            <sz val="10"/>
            <color rgb="FF000000"/>
            <rFont val="Arial"/>
            <scheme val="minor"/>
          </rPr>
          <t>Responder updated this value.</t>
        </r>
      </text>
    </comment>
    <comment ref="AJ18" authorId="0" shapeId="0" xr:uid="{00000000-0006-0000-0400-000056010000}">
      <text>
        <r>
          <rPr>
            <sz val="10"/>
            <color rgb="FF000000"/>
            <rFont val="Arial"/>
            <scheme val="minor"/>
          </rPr>
          <t>Responder updated this value.</t>
        </r>
      </text>
    </comment>
    <comment ref="AK18" authorId="0" shapeId="0" xr:uid="{00000000-0006-0000-0400-000057010000}">
      <text>
        <r>
          <rPr>
            <sz val="10"/>
            <color rgb="FF000000"/>
            <rFont val="Arial"/>
            <scheme val="minor"/>
          </rPr>
          <t>Responder updated this value.</t>
        </r>
      </text>
    </comment>
    <comment ref="AL18" authorId="0" shapeId="0" xr:uid="{00000000-0006-0000-0400-000058010000}">
      <text>
        <r>
          <rPr>
            <sz val="10"/>
            <color rgb="FF000000"/>
            <rFont val="Arial"/>
            <scheme val="minor"/>
          </rPr>
          <t>Responder updated this value.</t>
        </r>
      </text>
    </comment>
    <comment ref="AM18" authorId="0" shapeId="0" xr:uid="{00000000-0006-0000-0400-000059010000}">
      <text>
        <r>
          <rPr>
            <sz val="10"/>
            <color rgb="FF000000"/>
            <rFont val="Arial"/>
            <scheme val="minor"/>
          </rPr>
          <t>Responder updated this value.</t>
        </r>
      </text>
    </comment>
    <comment ref="AN18" authorId="0" shapeId="0" xr:uid="{00000000-0006-0000-0400-00005A010000}">
      <text>
        <r>
          <rPr>
            <sz val="10"/>
            <color rgb="FF000000"/>
            <rFont val="Arial"/>
            <scheme val="minor"/>
          </rPr>
          <t>Responder updated this value.</t>
        </r>
      </text>
    </comment>
    <comment ref="AO18" authorId="0" shapeId="0" xr:uid="{00000000-0006-0000-0400-00005B010000}">
      <text>
        <r>
          <rPr>
            <sz val="10"/>
            <color rgb="FF000000"/>
            <rFont val="Arial"/>
            <scheme val="minor"/>
          </rPr>
          <t>Responder updated this value.</t>
        </r>
      </text>
    </comment>
    <comment ref="AP18" authorId="0" shapeId="0" xr:uid="{00000000-0006-0000-0400-00005C010000}">
      <text>
        <r>
          <rPr>
            <sz val="10"/>
            <color rgb="FF000000"/>
            <rFont val="Arial"/>
            <scheme val="minor"/>
          </rPr>
          <t>Responder updated this value.</t>
        </r>
      </text>
    </comment>
    <comment ref="D19" authorId="0" shapeId="0" xr:uid="{00000000-0006-0000-0400-00005D010000}">
      <text>
        <r>
          <rPr>
            <sz val="10"/>
            <color rgb="FF000000"/>
            <rFont val="Arial"/>
            <scheme val="minor"/>
          </rPr>
          <t>Responder updated this value.</t>
        </r>
      </text>
    </comment>
    <comment ref="L19" authorId="0" shapeId="0" xr:uid="{00000000-0006-0000-0400-00005E010000}">
      <text>
        <r>
          <rPr>
            <sz val="10"/>
            <color rgb="FF000000"/>
            <rFont val="Arial"/>
            <scheme val="minor"/>
          </rPr>
          <t>Responder updated this value.</t>
        </r>
      </text>
    </comment>
    <comment ref="M19" authorId="0" shapeId="0" xr:uid="{00000000-0006-0000-0400-00005F010000}">
      <text>
        <r>
          <rPr>
            <sz val="10"/>
            <color rgb="FF000000"/>
            <rFont val="Arial"/>
            <scheme val="minor"/>
          </rPr>
          <t>Responder updated this value.</t>
        </r>
      </text>
    </comment>
    <comment ref="N19" authorId="0" shapeId="0" xr:uid="{00000000-0006-0000-0400-000060010000}">
      <text>
        <r>
          <rPr>
            <sz val="10"/>
            <color rgb="FF000000"/>
            <rFont val="Arial"/>
            <scheme val="minor"/>
          </rPr>
          <t>Responder updated this value.</t>
        </r>
      </text>
    </comment>
    <comment ref="O19" authorId="0" shapeId="0" xr:uid="{00000000-0006-0000-0400-000061010000}">
      <text>
        <r>
          <rPr>
            <sz val="10"/>
            <color rgb="FF000000"/>
            <rFont val="Arial"/>
            <scheme val="minor"/>
          </rPr>
          <t>Responder updated this value.</t>
        </r>
      </text>
    </comment>
    <comment ref="Q19" authorId="0" shapeId="0" xr:uid="{00000000-0006-0000-0400-000062010000}">
      <text>
        <r>
          <rPr>
            <sz val="10"/>
            <color rgb="FF000000"/>
            <rFont val="Arial"/>
            <scheme val="minor"/>
          </rPr>
          <t>Responder updated this value.</t>
        </r>
      </text>
    </comment>
    <comment ref="R19" authorId="0" shapeId="0" xr:uid="{00000000-0006-0000-0400-000063010000}">
      <text>
        <r>
          <rPr>
            <sz val="10"/>
            <color rgb="FF000000"/>
            <rFont val="Arial"/>
            <scheme val="minor"/>
          </rPr>
          <t>Responder updated this value.</t>
        </r>
      </text>
    </comment>
    <comment ref="T19" authorId="0" shapeId="0" xr:uid="{00000000-0006-0000-0400-000064010000}">
      <text>
        <r>
          <rPr>
            <sz val="10"/>
            <color rgb="FF000000"/>
            <rFont val="Arial"/>
            <scheme val="minor"/>
          </rPr>
          <t>Responder updated this value.</t>
        </r>
      </text>
    </comment>
    <comment ref="U19" authorId="0" shapeId="0" xr:uid="{00000000-0006-0000-0400-000065010000}">
      <text>
        <r>
          <rPr>
            <sz val="10"/>
            <color rgb="FF000000"/>
            <rFont val="Arial"/>
            <scheme val="minor"/>
          </rPr>
          <t>Responder updated this value.</t>
        </r>
      </text>
    </comment>
    <comment ref="W19" authorId="0" shapeId="0" xr:uid="{00000000-0006-0000-0400-000066010000}">
      <text>
        <r>
          <rPr>
            <sz val="10"/>
            <color rgb="FF000000"/>
            <rFont val="Arial"/>
            <scheme val="minor"/>
          </rPr>
          <t>Responder updated this value.</t>
        </r>
      </text>
    </comment>
    <comment ref="X19" authorId="0" shapeId="0" xr:uid="{00000000-0006-0000-0400-000067010000}">
      <text>
        <r>
          <rPr>
            <sz val="10"/>
            <color rgb="FF000000"/>
            <rFont val="Arial"/>
            <scheme val="minor"/>
          </rPr>
          <t>Responder updated this value.</t>
        </r>
      </text>
    </comment>
    <comment ref="Y19" authorId="0" shapeId="0" xr:uid="{00000000-0006-0000-0400-000068010000}">
      <text>
        <r>
          <rPr>
            <sz val="10"/>
            <color rgb="FF000000"/>
            <rFont val="Arial"/>
            <scheme val="minor"/>
          </rPr>
          <t>Responder updated this value.</t>
        </r>
      </text>
    </comment>
    <comment ref="Z19" authorId="0" shapeId="0" xr:uid="{00000000-0006-0000-0400-000069010000}">
      <text>
        <r>
          <rPr>
            <sz val="10"/>
            <color rgb="FF000000"/>
            <rFont val="Arial"/>
            <scheme val="minor"/>
          </rPr>
          <t>Responder updated this value.</t>
        </r>
      </text>
    </comment>
    <comment ref="AA19" authorId="0" shapeId="0" xr:uid="{00000000-0006-0000-0400-00006A010000}">
      <text>
        <r>
          <rPr>
            <sz val="10"/>
            <color rgb="FF000000"/>
            <rFont val="Arial"/>
            <scheme val="minor"/>
          </rPr>
          <t>Responder updated this value.</t>
        </r>
      </text>
    </comment>
    <comment ref="AB19" authorId="0" shapeId="0" xr:uid="{00000000-0006-0000-0400-00006B010000}">
      <text>
        <r>
          <rPr>
            <sz val="10"/>
            <color rgb="FF000000"/>
            <rFont val="Arial"/>
            <scheme val="minor"/>
          </rPr>
          <t>Responder updated this value.</t>
        </r>
      </text>
    </comment>
    <comment ref="AC19" authorId="0" shapeId="0" xr:uid="{00000000-0006-0000-0400-00006C010000}">
      <text>
        <r>
          <rPr>
            <sz val="10"/>
            <color rgb="FF000000"/>
            <rFont val="Arial"/>
            <scheme val="minor"/>
          </rPr>
          <t>Responder updated this value.</t>
        </r>
      </text>
    </comment>
    <comment ref="AD19" authorId="0" shapeId="0" xr:uid="{00000000-0006-0000-0400-00006D010000}">
      <text>
        <r>
          <rPr>
            <sz val="10"/>
            <color rgb="FF000000"/>
            <rFont val="Arial"/>
            <scheme val="minor"/>
          </rPr>
          <t>Responder updated this value.</t>
        </r>
      </text>
    </comment>
    <comment ref="AE19" authorId="0" shapeId="0" xr:uid="{00000000-0006-0000-0400-00006E010000}">
      <text>
        <r>
          <rPr>
            <sz val="10"/>
            <color rgb="FF000000"/>
            <rFont val="Arial"/>
            <scheme val="minor"/>
          </rPr>
          <t>Responder updated this value.</t>
        </r>
      </text>
    </comment>
    <comment ref="AF19" authorId="0" shapeId="0" xr:uid="{00000000-0006-0000-0400-00006F010000}">
      <text>
        <r>
          <rPr>
            <sz val="10"/>
            <color rgb="FF000000"/>
            <rFont val="Arial"/>
            <scheme val="minor"/>
          </rPr>
          <t>Responder updated this value.</t>
        </r>
      </text>
    </comment>
    <comment ref="AI19" authorId="0" shapeId="0" xr:uid="{00000000-0006-0000-0400-000070010000}">
      <text>
        <r>
          <rPr>
            <sz val="10"/>
            <color rgb="FF000000"/>
            <rFont val="Arial"/>
            <scheme val="minor"/>
          </rPr>
          <t>Responder updated this value.</t>
        </r>
      </text>
    </comment>
    <comment ref="AJ19" authorId="0" shapeId="0" xr:uid="{00000000-0006-0000-0400-000071010000}">
      <text>
        <r>
          <rPr>
            <sz val="10"/>
            <color rgb="FF000000"/>
            <rFont val="Arial"/>
            <scheme val="minor"/>
          </rPr>
          <t>Responder updated this value.</t>
        </r>
      </text>
    </comment>
    <comment ref="AK19" authorId="0" shapeId="0" xr:uid="{00000000-0006-0000-0400-000072010000}">
      <text>
        <r>
          <rPr>
            <sz val="10"/>
            <color rgb="FF000000"/>
            <rFont val="Arial"/>
            <scheme val="minor"/>
          </rPr>
          <t>Responder updated this value.</t>
        </r>
      </text>
    </comment>
    <comment ref="AL19" authorId="0" shapeId="0" xr:uid="{00000000-0006-0000-0400-000073010000}">
      <text>
        <r>
          <rPr>
            <sz val="10"/>
            <color rgb="FF000000"/>
            <rFont val="Arial"/>
            <scheme val="minor"/>
          </rPr>
          <t>Responder updated this value.</t>
        </r>
      </text>
    </comment>
    <comment ref="AM19" authorId="0" shapeId="0" xr:uid="{00000000-0006-0000-0400-000074010000}">
      <text>
        <r>
          <rPr>
            <sz val="10"/>
            <color rgb="FF000000"/>
            <rFont val="Arial"/>
            <scheme val="minor"/>
          </rPr>
          <t>Responder updated this value.</t>
        </r>
      </text>
    </comment>
    <comment ref="AN19" authorId="0" shapeId="0" xr:uid="{00000000-0006-0000-0400-000075010000}">
      <text>
        <r>
          <rPr>
            <sz val="10"/>
            <color rgb="FF000000"/>
            <rFont val="Arial"/>
            <scheme val="minor"/>
          </rPr>
          <t>Responder updated this value.</t>
        </r>
      </text>
    </comment>
    <comment ref="AO19" authorId="0" shapeId="0" xr:uid="{00000000-0006-0000-0400-000076010000}">
      <text>
        <r>
          <rPr>
            <sz val="10"/>
            <color rgb="FF000000"/>
            <rFont val="Arial"/>
            <scheme val="minor"/>
          </rPr>
          <t>Responder updated this value.</t>
        </r>
      </text>
    </comment>
    <comment ref="AP19" authorId="0" shapeId="0" xr:uid="{00000000-0006-0000-0400-000077010000}">
      <text>
        <r>
          <rPr>
            <sz val="10"/>
            <color rgb="FF000000"/>
            <rFont val="Arial"/>
            <scheme val="minor"/>
          </rPr>
          <t>Responder updated this value.</t>
        </r>
      </text>
    </comment>
    <comment ref="D20" authorId="0" shapeId="0" xr:uid="{00000000-0006-0000-0400-000078010000}">
      <text>
        <r>
          <rPr>
            <sz val="10"/>
            <color rgb="FF000000"/>
            <rFont val="Arial"/>
            <scheme val="minor"/>
          </rPr>
          <t>Responder updated this value.</t>
        </r>
      </text>
    </comment>
    <comment ref="L20" authorId="0" shapeId="0" xr:uid="{00000000-0006-0000-0400-000079010000}">
      <text>
        <r>
          <rPr>
            <sz val="10"/>
            <color rgb="FF000000"/>
            <rFont val="Arial"/>
            <scheme val="minor"/>
          </rPr>
          <t>Responder updated this value.</t>
        </r>
      </text>
    </comment>
    <comment ref="M20" authorId="0" shapeId="0" xr:uid="{00000000-0006-0000-0400-00007A010000}">
      <text>
        <r>
          <rPr>
            <sz val="10"/>
            <color rgb="FF000000"/>
            <rFont val="Arial"/>
            <scheme val="minor"/>
          </rPr>
          <t>Responder updated this value.</t>
        </r>
      </text>
    </comment>
    <comment ref="N20" authorId="0" shapeId="0" xr:uid="{00000000-0006-0000-0400-00007B010000}">
      <text>
        <r>
          <rPr>
            <sz val="10"/>
            <color rgb="FF000000"/>
            <rFont val="Arial"/>
            <scheme val="minor"/>
          </rPr>
          <t>Responder updated this value.</t>
        </r>
      </text>
    </comment>
    <comment ref="O20" authorId="0" shapeId="0" xr:uid="{00000000-0006-0000-0400-00007C010000}">
      <text>
        <r>
          <rPr>
            <sz val="10"/>
            <color rgb="FF000000"/>
            <rFont val="Arial"/>
            <scheme val="minor"/>
          </rPr>
          <t>Responder updated this value.</t>
        </r>
      </text>
    </comment>
    <comment ref="Q20" authorId="0" shapeId="0" xr:uid="{00000000-0006-0000-0400-00007D010000}">
      <text>
        <r>
          <rPr>
            <sz val="10"/>
            <color rgb="FF000000"/>
            <rFont val="Arial"/>
            <scheme val="minor"/>
          </rPr>
          <t>Responder updated this value.</t>
        </r>
      </text>
    </comment>
    <comment ref="R20" authorId="0" shapeId="0" xr:uid="{00000000-0006-0000-0400-00007E010000}">
      <text>
        <r>
          <rPr>
            <sz val="10"/>
            <color rgb="FF000000"/>
            <rFont val="Arial"/>
            <scheme val="minor"/>
          </rPr>
          <t>Responder updated this value.</t>
        </r>
      </text>
    </comment>
    <comment ref="T20" authorId="0" shapeId="0" xr:uid="{00000000-0006-0000-0400-00007F010000}">
      <text>
        <r>
          <rPr>
            <sz val="10"/>
            <color rgb="FF000000"/>
            <rFont val="Arial"/>
            <scheme val="minor"/>
          </rPr>
          <t>Responder updated this value.</t>
        </r>
      </text>
    </comment>
    <comment ref="U20" authorId="0" shapeId="0" xr:uid="{00000000-0006-0000-0400-000080010000}">
      <text>
        <r>
          <rPr>
            <sz val="10"/>
            <color rgb="FF000000"/>
            <rFont val="Arial"/>
            <scheme val="minor"/>
          </rPr>
          <t>Responder updated this value.</t>
        </r>
      </text>
    </comment>
    <comment ref="W20" authorId="0" shapeId="0" xr:uid="{00000000-0006-0000-0400-000081010000}">
      <text>
        <r>
          <rPr>
            <sz val="10"/>
            <color rgb="FF000000"/>
            <rFont val="Arial"/>
            <scheme val="minor"/>
          </rPr>
          <t>Responder updated this value.</t>
        </r>
      </text>
    </comment>
    <comment ref="X20" authorId="0" shapeId="0" xr:uid="{00000000-0006-0000-0400-000082010000}">
      <text>
        <r>
          <rPr>
            <sz val="10"/>
            <color rgb="FF000000"/>
            <rFont val="Arial"/>
            <scheme val="minor"/>
          </rPr>
          <t>Responder updated this value.</t>
        </r>
      </text>
    </comment>
    <comment ref="Y20" authorId="0" shapeId="0" xr:uid="{00000000-0006-0000-0400-000083010000}">
      <text>
        <r>
          <rPr>
            <sz val="10"/>
            <color rgb="FF000000"/>
            <rFont val="Arial"/>
            <scheme val="minor"/>
          </rPr>
          <t>Responder updated this value.</t>
        </r>
      </text>
    </comment>
    <comment ref="Z20" authorId="0" shapeId="0" xr:uid="{00000000-0006-0000-0400-000084010000}">
      <text>
        <r>
          <rPr>
            <sz val="10"/>
            <color rgb="FF000000"/>
            <rFont val="Arial"/>
            <scheme val="minor"/>
          </rPr>
          <t>Responder updated this value.</t>
        </r>
      </text>
    </comment>
    <comment ref="AA20" authorId="0" shapeId="0" xr:uid="{00000000-0006-0000-0400-000085010000}">
      <text>
        <r>
          <rPr>
            <sz val="10"/>
            <color rgb="FF000000"/>
            <rFont val="Arial"/>
            <scheme val="minor"/>
          </rPr>
          <t>Responder updated this value.</t>
        </r>
      </text>
    </comment>
    <comment ref="AB20" authorId="0" shapeId="0" xr:uid="{00000000-0006-0000-0400-000086010000}">
      <text>
        <r>
          <rPr>
            <sz val="10"/>
            <color rgb="FF000000"/>
            <rFont val="Arial"/>
            <scheme val="minor"/>
          </rPr>
          <t>Responder updated this value.</t>
        </r>
      </text>
    </comment>
    <comment ref="AC20" authorId="0" shapeId="0" xr:uid="{00000000-0006-0000-0400-000087010000}">
      <text>
        <r>
          <rPr>
            <sz val="10"/>
            <color rgb="FF000000"/>
            <rFont val="Arial"/>
            <scheme val="minor"/>
          </rPr>
          <t>Responder updated this value.</t>
        </r>
      </text>
    </comment>
    <comment ref="AD20" authorId="0" shapeId="0" xr:uid="{00000000-0006-0000-0400-000088010000}">
      <text>
        <r>
          <rPr>
            <sz val="10"/>
            <color rgb="FF000000"/>
            <rFont val="Arial"/>
            <scheme val="minor"/>
          </rPr>
          <t>Responder updated this value.</t>
        </r>
      </text>
    </comment>
    <comment ref="AE20" authorId="0" shapeId="0" xr:uid="{00000000-0006-0000-0400-000089010000}">
      <text>
        <r>
          <rPr>
            <sz val="10"/>
            <color rgb="FF000000"/>
            <rFont val="Arial"/>
            <scheme val="minor"/>
          </rPr>
          <t>Responder updated this value.</t>
        </r>
      </text>
    </comment>
    <comment ref="AF20" authorId="0" shapeId="0" xr:uid="{00000000-0006-0000-0400-00008A010000}">
      <text>
        <r>
          <rPr>
            <sz val="10"/>
            <color rgb="FF000000"/>
            <rFont val="Arial"/>
            <scheme val="minor"/>
          </rPr>
          <t>Responder updated this value.</t>
        </r>
      </text>
    </comment>
    <comment ref="AI20" authorId="0" shapeId="0" xr:uid="{00000000-0006-0000-0400-00008B010000}">
      <text>
        <r>
          <rPr>
            <sz val="10"/>
            <color rgb="FF000000"/>
            <rFont val="Arial"/>
            <scheme val="minor"/>
          </rPr>
          <t>Responder updated this value.</t>
        </r>
      </text>
    </comment>
    <comment ref="AJ20" authorId="0" shapeId="0" xr:uid="{00000000-0006-0000-0400-00008C010000}">
      <text>
        <r>
          <rPr>
            <sz val="10"/>
            <color rgb="FF000000"/>
            <rFont val="Arial"/>
            <scheme val="minor"/>
          </rPr>
          <t>Responder updated this value.</t>
        </r>
      </text>
    </comment>
    <comment ref="AK20" authorId="0" shapeId="0" xr:uid="{00000000-0006-0000-0400-00008D010000}">
      <text>
        <r>
          <rPr>
            <sz val="10"/>
            <color rgb="FF000000"/>
            <rFont val="Arial"/>
            <scheme val="minor"/>
          </rPr>
          <t>Responder updated this value.</t>
        </r>
      </text>
    </comment>
    <comment ref="AL20" authorId="0" shapeId="0" xr:uid="{00000000-0006-0000-0400-00008E010000}">
      <text>
        <r>
          <rPr>
            <sz val="10"/>
            <color rgb="FF000000"/>
            <rFont val="Arial"/>
            <scheme val="minor"/>
          </rPr>
          <t>Responder updated this value.</t>
        </r>
      </text>
    </comment>
    <comment ref="AM20" authorId="0" shapeId="0" xr:uid="{00000000-0006-0000-0400-00008F010000}">
      <text>
        <r>
          <rPr>
            <sz val="10"/>
            <color rgb="FF000000"/>
            <rFont val="Arial"/>
            <scheme val="minor"/>
          </rPr>
          <t>Responder updated this value.</t>
        </r>
      </text>
    </comment>
    <comment ref="AN20" authorId="0" shapeId="0" xr:uid="{00000000-0006-0000-0400-000090010000}">
      <text>
        <r>
          <rPr>
            <sz val="10"/>
            <color rgb="FF000000"/>
            <rFont val="Arial"/>
            <scheme val="minor"/>
          </rPr>
          <t>Responder updated this value.</t>
        </r>
      </text>
    </comment>
    <comment ref="AO20" authorId="0" shapeId="0" xr:uid="{00000000-0006-0000-0400-000091010000}">
      <text>
        <r>
          <rPr>
            <sz val="10"/>
            <color rgb="FF000000"/>
            <rFont val="Arial"/>
            <scheme val="minor"/>
          </rPr>
          <t>Responder updated this value.</t>
        </r>
      </text>
    </comment>
    <comment ref="AP20" authorId="0" shapeId="0" xr:uid="{00000000-0006-0000-0400-000092010000}">
      <text>
        <r>
          <rPr>
            <sz val="10"/>
            <color rgb="FF000000"/>
            <rFont val="Arial"/>
            <scheme val="minor"/>
          </rPr>
          <t>Responder updated this value.</t>
        </r>
      </text>
    </comment>
    <comment ref="D21" authorId="0" shapeId="0" xr:uid="{00000000-0006-0000-0400-000093010000}">
      <text>
        <r>
          <rPr>
            <sz val="10"/>
            <color rgb="FF000000"/>
            <rFont val="Arial"/>
            <scheme val="minor"/>
          </rPr>
          <t>Responder updated this value.</t>
        </r>
      </text>
    </comment>
    <comment ref="L21" authorId="0" shapeId="0" xr:uid="{00000000-0006-0000-0400-000094010000}">
      <text>
        <r>
          <rPr>
            <sz val="10"/>
            <color rgb="FF000000"/>
            <rFont val="Arial"/>
            <scheme val="minor"/>
          </rPr>
          <t>Responder updated this value.</t>
        </r>
      </text>
    </comment>
    <comment ref="M21" authorId="0" shapeId="0" xr:uid="{00000000-0006-0000-0400-000095010000}">
      <text>
        <r>
          <rPr>
            <sz val="10"/>
            <color rgb="FF000000"/>
            <rFont val="Arial"/>
            <scheme val="minor"/>
          </rPr>
          <t>Responder updated this value.</t>
        </r>
      </text>
    </comment>
    <comment ref="N21" authorId="0" shapeId="0" xr:uid="{00000000-0006-0000-0400-000096010000}">
      <text>
        <r>
          <rPr>
            <sz val="10"/>
            <color rgb="FF000000"/>
            <rFont val="Arial"/>
            <scheme val="minor"/>
          </rPr>
          <t>Responder updated this value.</t>
        </r>
      </text>
    </comment>
    <comment ref="O21" authorId="0" shapeId="0" xr:uid="{00000000-0006-0000-0400-000097010000}">
      <text>
        <r>
          <rPr>
            <sz val="10"/>
            <color rgb="FF000000"/>
            <rFont val="Arial"/>
            <scheme val="minor"/>
          </rPr>
          <t>Responder updated this value.</t>
        </r>
      </text>
    </comment>
    <comment ref="Q21" authorId="0" shapeId="0" xr:uid="{00000000-0006-0000-0400-000098010000}">
      <text>
        <r>
          <rPr>
            <sz val="10"/>
            <color rgb="FF000000"/>
            <rFont val="Arial"/>
            <scheme val="minor"/>
          </rPr>
          <t>Responder updated this value.</t>
        </r>
      </text>
    </comment>
    <comment ref="R21" authorId="0" shapeId="0" xr:uid="{00000000-0006-0000-0400-000099010000}">
      <text>
        <r>
          <rPr>
            <sz val="10"/>
            <color rgb="FF000000"/>
            <rFont val="Arial"/>
            <scheme val="minor"/>
          </rPr>
          <t>Responder updated this value.</t>
        </r>
      </text>
    </comment>
    <comment ref="T21" authorId="0" shapeId="0" xr:uid="{00000000-0006-0000-0400-00009A010000}">
      <text>
        <r>
          <rPr>
            <sz val="10"/>
            <color rgb="FF000000"/>
            <rFont val="Arial"/>
            <scheme val="minor"/>
          </rPr>
          <t>Responder updated this value.</t>
        </r>
      </text>
    </comment>
    <comment ref="U21" authorId="0" shapeId="0" xr:uid="{00000000-0006-0000-0400-00009B010000}">
      <text>
        <r>
          <rPr>
            <sz val="10"/>
            <color rgb="FF000000"/>
            <rFont val="Arial"/>
            <scheme val="minor"/>
          </rPr>
          <t>Responder updated this value.</t>
        </r>
      </text>
    </comment>
    <comment ref="W21" authorId="0" shapeId="0" xr:uid="{00000000-0006-0000-0400-00009C010000}">
      <text>
        <r>
          <rPr>
            <sz val="10"/>
            <color rgb="FF000000"/>
            <rFont val="Arial"/>
            <scheme val="minor"/>
          </rPr>
          <t>Responder updated this value.</t>
        </r>
      </text>
    </comment>
    <comment ref="X21" authorId="0" shapeId="0" xr:uid="{00000000-0006-0000-0400-00009D010000}">
      <text>
        <r>
          <rPr>
            <sz val="10"/>
            <color rgb="FF000000"/>
            <rFont val="Arial"/>
            <scheme val="minor"/>
          </rPr>
          <t>Responder updated this value.</t>
        </r>
      </text>
    </comment>
    <comment ref="Y21" authorId="0" shapeId="0" xr:uid="{00000000-0006-0000-0400-00009E010000}">
      <text>
        <r>
          <rPr>
            <sz val="10"/>
            <color rgb="FF000000"/>
            <rFont val="Arial"/>
            <scheme val="minor"/>
          </rPr>
          <t>Responder updated this value.</t>
        </r>
      </text>
    </comment>
    <comment ref="Z21" authorId="0" shapeId="0" xr:uid="{00000000-0006-0000-0400-00009F010000}">
      <text>
        <r>
          <rPr>
            <sz val="10"/>
            <color rgb="FF000000"/>
            <rFont val="Arial"/>
            <scheme val="minor"/>
          </rPr>
          <t>Responder updated this value.</t>
        </r>
      </text>
    </comment>
    <comment ref="AA21" authorId="0" shapeId="0" xr:uid="{00000000-0006-0000-0400-0000A0010000}">
      <text>
        <r>
          <rPr>
            <sz val="10"/>
            <color rgb="FF000000"/>
            <rFont val="Arial"/>
            <scheme val="minor"/>
          </rPr>
          <t>Responder updated this value.</t>
        </r>
      </text>
    </comment>
    <comment ref="AB21" authorId="0" shapeId="0" xr:uid="{00000000-0006-0000-0400-0000A1010000}">
      <text>
        <r>
          <rPr>
            <sz val="10"/>
            <color rgb="FF000000"/>
            <rFont val="Arial"/>
            <scheme val="minor"/>
          </rPr>
          <t>Responder updated this value.</t>
        </r>
      </text>
    </comment>
    <comment ref="AC21" authorId="0" shapeId="0" xr:uid="{00000000-0006-0000-0400-0000A2010000}">
      <text>
        <r>
          <rPr>
            <sz val="10"/>
            <color rgb="FF000000"/>
            <rFont val="Arial"/>
            <scheme val="minor"/>
          </rPr>
          <t>Responder updated this value.</t>
        </r>
      </text>
    </comment>
    <comment ref="AD21" authorId="0" shapeId="0" xr:uid="{00000000-0006-0000-0400-0000A3010000}">
      <text>
        <r>
          <rPr>
            <sz val="10"/>
            <color rgb="FF000000"/>
            <rFont val="Arial"/>
            <scheme val="minor"/>
          </rPr>
          <t>Responder updated this value.</t>
        </r>
      </text>
    </comment>
    <comment ref="AE21" authorId="0" shapeId="0" xr:uid="{00000000-0006-0000-0400-0000A4010000}">
      <text>
        <r>
          <rPr>
            <sz val="10"/>
            <color rgb="FF000000"/>
            <rFont val="Arial"/>
            <scheme val="minor"/>
          </rPr>
          <t>Responder updated this value.</t>
        </r>
      </text>
    </comment>
    <comment ref="AG21" authorId="0" shapeId="0" xr:uid="{00000000-0006-0000-0400-0000A5010000}">
      <text>
        <r>
          <rPr>
            <sz val="10"/>
            <color rgb="FF000000"/>
            <rFont val="Arial"/>
            <scheme val="minor"/>
          </rPr>
          <t>Responder updated this value.</t>
        </r>
      </text>
    </comment>
    <comment ref="AI21" authorId="0" shapeId="0" xr:uid="{00000000-0006-0000-0400-0000A6010000}">
      <text>
        <r>
          <rPr>
            <sz val="10"/>
            <color rgb="FF000000"/>
            <rFont val="Arial"/>
            <scheme val="minor"/>
          </rPr>
          <t>Responder updated this value.</t>
        </r>
      </text>
    </comment>
    <comment ref="AJ21" authorId="0" shapeId="0" xr:uid="{00000000-0006-0000-0400-0000A7010000}">
      <text>
        <r>
          <rPr>
            <sz val="10"/>
            <color rgb="FF000000"/>
            <rFont val="Arial"/>
            <scheme val="minor"/>
          </rPr>
          <t>Responder updated this value.</t>
        </r>
      </text>
    </comment>
    <comment ref="AK21" authorId="0" shapeId="0" xr:uid="{00000000-0006-0000-0400-0000A8010000}">
      <text>
        <r>
          <rPr>
            <sz val="10"/>
            <color rgb="FF000000"/>
            <rFont val="Arial"/>
            <scheme val="minor"/>
          </rPr>
          <t>Responder updated this value.</t>
        </r>
      </text>
    </comment>
    <comment ref="AL21" authorId="0" shapeId="0" xr:uid="{00000000-0006-0000-0400-0000A9010000}">
      <text>
        <r>
          <rPr>
            <sz val="10"/>
            <color rgb="FF000000"/>
            <rFont val="Arial"/>
            <scheme val="minor"/>
          </rPr>
          <t>Responder updated this value.</t>
        </r>
      </text>
    </comment>
    <comment ref="AM21" authorId="0" shapeId="0" xr:uid="{00000000-0006-0000-0400-0000AA010000}">
      <text>
        <r>
          <rPr>
            <sz val="10"/>
            <color rgb="FF000000"/>
            <rFont val="Arial"/>
            <scheme val="minor"/>
          </rPr>
          <t>Responder updated this value.</t>
        </r>
      </text>
    </comment>
    <comment ref="AN21" authorId="0" shapeId="0" xr:uid="{00000000-0006-0000-0400-0000AB010000}">
      <text>
        <r>
          <rPr>
            <sz val="10"/>
            <color rgb="FF000000"/>
            <rFont val="Arial"/>
            <scheme val="minor"/>
          </rPr>
          <t>Responder updated this value.</t>
        </r>
      </text>
    </comment>
    <comment ref="AO21" authorId="0" shapeId="0" xr:uid="{00000000-0006-0000-0400-0000AC010000}">
      <text>
        <r>
          <rPr>
            <sz val="10"/>
            <color rgb="FF000000"/>
            <rFont val="Arial"/>
            <scheme val="minor"/>
          </rPr>
          <t>Responder updated this value.</t>
        </r>
      </text>
    </comment>
    <comment ref="AP21" authorId="0" shapeId="0" xr:uid="{00000000-0006-0000-0400-0000AD010000}">
      <text>
        <r>
          <rPr>
            <sz val="10"/>
            <color rgb="FF000000"/>
            <rFont val="Arial"/>
            <scheme val="minor"/>
          </rPr>
          <t>Responder updated this value.</t>
        </r>
      </text>
    </comment>
    <comment ref="D22" authorId="0" shapeId="0" xr:uid="{00000000-0006-0000-0400-0000AE010000}">
      <text>
        <r>
          <rPr>
            <sz val="10"/>
            <color rgb="FF000000"/>
            <rFont val="Arial"/>
            <scheme val="minor"/>
          </rPr>
          <t>Responder updated this value.</t>
        </r>
      </text>
    </comment>
    <comment ref="L22" authorId="0" shapeId="0" xr:uid="{00000000-0006-0000-0400-0000AF010000}">
      <text>
        <r>
          <rPr>
            <sz val="10"/>
            <color rgb="FF000000"/>
            <rFont val="Arial"/>
            <scheme val="minor"/>
          </rPr>
          <t>Responder updated this value.</t>
        </r>
      </text>
    </comment>
    <comment ref="M22" authorId="0" shapeId="0" xr:uid="{00000000-0006-0000-0400-0000B0010000}">
      <text>
        <r>
          <rPr>
            <sz val="10"/>
            <color rgb="FF000000"/>
            <rFont val="Arial"/>
            <scheme val="minor"/>
          </rPr>
          <t>Responder updated this value.</t>
        </r>
      </text>
    </comment>
    <comment ref="N22" authorId="0" shapeId="0" xr:uid="{00000000-0006-0000-0400-0000B1010000}">
      <text>
        <r>
          <rPr>
            <sz val="10"/>
            <color rgb="FF000000"/>
            <rFont val="Arial"/>
            <scheme val="minor"/>
          </rPr>
          <t>Responder updated this value.</t>
        </r>
      </text>
    </comment>
    <comment ref="O22" authorId="0" shapeId="0" xr:uid="{00000000-0006-0000-0400-0000B2010000}">
      <text>
        <r>
          <rPr>
            <sz val="10"/>
            <color rgb="FF000000"/>
            <rFont val="Arial"/>
            <scheme val="minor"/>
          </rPr>
          <t>Responder updated this value.</t>
        </r>
      </text>
    </comment>
    <comment ref="P22" authorId="0" shapeId="0" xr:uid="{00000000-0006-0000-0400-0000B3010000}">
      <text>
        <r>
          <rPr>
            <sz val="10"/>
            <color rgb="FF000000"/>
            <rFont val="Arial"/>
            <scheme val="minor"/>
          </rPr>
          <t>Responder updated this value.</t>
        </r>
      </text>
    </comment>
    <comment ref="R22" authorId="0" shapeId="0" xr:uid="{00000000-0006-0000-0400-0000B4010000}">
      <text>
        <r>
          <rPr>
            <sz val="10"/>
            <color rgb="FF000000"/>
            <rFont val="Arial"/>
            <scheme val="minor"/>
          </rPr>
          <t>Responder updated this value.</t>
        </r>
      </text>
    </comment>
    <comment ref="S22" authorId="0" shapeId="0" xr:uid="{00000000-0006-0000-0400-0000B5010000}">
      <text>
        <r>
          <rPr>
            <sz val="10"/>
            <color rgb="FF000000"/>
            <rFont val="Arial"/>
            <scheme val="minor"/>
          </rPr>
          <t>Responder updated this value.</t>
        </r>
      </text>
    </comment>
    <comment ref="T22" authorId="0" shapeId="0" xr:uid="{00000000-0006-0000-0400-0000B6010000}">
      <text>
        <r>
          <rPr>
            <sz val="10"/>
            <color rgb="FF000000"/>
            <rFont val="Arial"/>
            <scheme val="minor"/>
          </rPr>
          <t>Responder updated this value.</t>
        </r>
      </text>
    </comment>
    <comment ref="U22" authorId="0" shapeId="0" xr:uid="{00000000-0006-0000-0400-0000B7010000}">
      <text>
        <r>
          <rPr>
            <sz val="10"/>
            <color rgb="FF000000"/>
            <rFont val="Arial"/>
            <scheme val="minor"/>
          </rPr>
          <t>Responder updated this value.</t>
        </r>
      </text>
    </comment>
    <comment ref="W22" authorId="0" shapeId="0" xr:uid="{00000000-0006-0000-0400-0000B8010000}">
      <text>
        <r>
          <rPr>
            <sz val="10"/>
            <color rgb="FF000000"/>
            <rFont val="Arial"/>
            <scheme val="minor"/>
          </rPr>
          <t>Responder updated this value.</t>
        </r>
      </text>
    </comment>
    <comment ref="X22" authorId="0" shapeId="0" xr:uid="{00000000-0006-0000-0400-0000B9010000}">
      <text>
        <r>
          <rPr>
            <sz val="10"/>
            <color rgb="FF000000"/>
            <rFont val="Arial"/>
            <scheme val="minor"/>
          </rPr>
          <t>Responder updated this value.</t>
        </r>
      </text>
    </comment>
    <comment ref="Y22" authorId="0" shapeId="0" xr:uid="{00000000-0006-0000-0400-0000BA010000}">
      <text>
        <r>
          <rPr>
            <sz val="10"/>
            <color rgb="FF000000"/>
            <rFont val="Arial"/>
            <scheme val="minor"/>
          </rPr>
          <t>Responder updated this value.</t>
        </r>
      </text>
    </comment>
    <comment ref="Z22" authorId="0" shapeId="0" xr:uid="{00000000-0006-0000-0400-0000BB010000}">
      <text>
        <r>
          <rPr>
            <sz val="10"/>
            <color rgb="FF000000"/>
            <rFont val="Arial"/>
            <scheme val="minor"/>
          </rPr>
          <t>Responder updated this value.</t>
        </r>
      </text>
    </comment>
    <comment ref="AA22" authorId="0" shapeId="0" xr:uid="{00000000-0006-0000-0400-0000BC010000}">
      <text>
        <r>
          <rPr>
            <sz val="10"/>
            <color rgb="FF000000"/>
            <rFont val="Arial"/>
            <scheme val="minor"/>
          </rPr>
          <t>Responder updated this value.</t>
        </r>
      </text>
    </comment>
    <comment ref="AB22" authorId="0" shapeId="0" xr:uid="{00000000-0006-0000-0400-0000BD010000}">
      <text>
        <r>
          <rPr>
            <sz val="10"/>
            <color rgb="FF000000"/>
            <rFont val="Arial"/>
            <scheme val="minor"/>
          </rPr>
          <t>Responder updated this value.</t>
        </r>
      </text>
    </comment>
    <comment ref="AC22" authorId="0" shapeId="0" xr:uid="{00000000-0006-0000-0400-0000BE010000}">
      <text>
        <r>
          <rPr>
            <sz val="10"/>
            <color rgb="FF000000"/>
            <rFont val="Arial"/>
            <scheme val="minor"/>
          </rPr>
          <t>Responder updated this value.</t>
        </r>
      </text>
    </comment>
    <comment ref="AD22" authorId="0" shapeId="0" xr:uid="{00000000-0006-0000-0400-0000BF010000}">
      <text>
        <r>
          <rPr>
            <sz val="10"/>
            <color rgb="FF000000"/>
            <rFont val="Arial"/>
            <scheme val="minor"/>
          </rPr>
          <t>Responder updated this value.</t>
        </r>
      </text>
    </comment>
    <comment ref="AE22" authorId="0" shapeId="0" xr:uid="{00000000-0006-0000-0400-0000C0010000}">
      <text>
        <r>
          <rPr>
            <sz val="10"/>
            <color rgb="FF000000"/>
            <rFont val="Arial"/>
            <scheme val="minor"/>
          </rPr>
          <t>Responder updated this value.</t>
        </r>
      </text>
    </comment>
    <comment ref="AF22" authorId="0" shapeId="0" xr:uid="{00000000-0006-0000-0400-0000C1010000}">
      <text>
        <r>
          <rPr>
            <sz val="10"/>
            <color rgb="FF000000"/>
            <rFont val="Arial"/>
            <scheme val="minor"/>
          </rPr>
          <t>Responder updated this value.</t>
        </r>
      </text>
    </comment>
    <comment ref="AI22" authorId="0" shapeId="0" xr:uid="{00000000-0006-0000-0400-0000C2010000}">
      <text>
        <r>
          <rPr>
            <sz val="10"/>
            <color rgb="FF000000"/>
            <rFont val="Arial"/>
            <scheme val="minor"/>
          </rPr>
          <t>Responder updated this value.</t>
        </r>
      </text>
    </comment>
    <comment ref="AJ22" authorId="0" shapeId="0" xr:uid="{00000000-0006-0000-0400-0000C3010000}">
      <text>
        <r>
          <rPr>
            <sz val="10"/>
            <color rgb="FF000000"/>
            <rFont val="Arial"/>
            <scheme val="minor"/>
          </rPr>
          <t>Responder updated this value.</t>
        </r>
      </text>
    </comment>
    <comment ref="AK22" authorId="0" shapeId="0" xr:uid="{00000000-0006-0000-0400-0000C4010000}">
      <text>
        <r>
          <rPr>
            <sz val="10"/>
            <color rgb="FF000000"/>
            <rFont val="Arial"/>
            <scheme val="minor"/>
          </rPr>
          <t>Responder updated this value.</t>
        </r>
      </text>
    </comment>
    <comment ref="AL22" authorId="0" shapeId="0" xr:uid="{00000000-0006-0000-0400-0000C5010000}">
      <text>
        <r>
          <rPr>
            <sz val="10"/>
            <color rgb="FF000000"/>
            <rFont val="Arial"/>
            <scheme val="minor"/>
          </rPr>
          <t>Responder updated this value.</t>
        </r>
      </text>
    </comment>
    <comment ref="AM22" authorId="0" shapeId="0" xr:uid="{00000000-0006-0000-0400-0000C6010000}">
      <text>
        <r>
          <rPr>
            <sz val="10"/>
            <color rgb="FF000000"/>
            <rFont val="Arial"/>
            <scheme val="minor"/>
          </rPr>
          <t>Responder updated this value.</t>
        </r>
      </text>
    </comment>
    <comment ref="AN22" authorId="0" shapeId="0" xr:uid="{00000000-0006-0000-0400-0000C7010000}">
      <text>
        <r>
          <rPr>
            <sz val="10"/>
            <color rgb="FF000000"/>
            <rFont val="Arial"/>
            <scheme val="minor"/>
          </rPr>
          <t>Responder updated this value.</t>
        </r>
      </text>
    </comment>
    <comment ref="AO22" authorId="0" shapeId="0" xr:uid="{00000000-0006-0000-0400-0000C8010000}">
      <text>
        <r>
          <rPr>
            <sz val="10"/>
            <color rgb="FF000000"/>
            <rFont val="Arial"/>
            <scheme val="minor"/>
          </rPr>
          <t>Responder updated this value.</t>
        </r>
      </text>
    </comment>
    <comment ref="AP22" authorId="0" shapeId="0" xr:uid="{00000000-0006-0000-0400-0000C9010000}">
      <text>
        <r>
          <rPr>
            <sz val="10"/>
            <color rgb="FF000000"/>
            <rFont val="Arial"/>
            <scheme val="minor"/>
          </rPr>
          <t>Responder updated this value.</t>
        </r>
      </text>
    </comment>
    <comment ref="D23" authorId="0" shapeId="0" xr:uid="{00000000-0006-0000-0400-0000CA010000}">
      <text>
        <r>
          <rPr>
            <sz val="10"/>
            <color rgb="FF000000"/>
            <rFont val="Arial"/>
            <scheme val="minor"/>
          </rPr>
          <t>Responder updated this value.</t>
        </r>
      </text>
    </comment>
    <comment ref="D24" authorId="0" shapeId="0" xr:uid="{00000000-0006-0000-0400-0000CB010000}">
      <text>
        <r>
          <rPr>
            <sz val="10"/>
            <color rgb="FF000000"/>
            <rFont val="Arial"/>
            <scheme val="minor"/>
          </rPr>
          <t>Responder updated this value.</t>
        </r>
      </text>
    </comment>
    <comment ref="J24" authorId="0" shapeId="0" xr:uid="{00000000-0006-0000-0400-0000CC010000}">
      <text>
        <r>
          <rPr>
            <sz val="10"/>
            <color rgb="FF000000"/>
            <rFont val="Arial"/>
            <scheme val="minor"/>
          </rPr>
          <t>Responder updated this value.</t>
        </r>
      </text>
    </comment>
    <comment ref="K24" authorId="0" shapeId="0" xr:uid="{00000000-0006-0000-0400-0000CD010000}">
      <text>
        <r>
          <rPr>
            <sz val="10"/>
            <color rgb="FF000000"/>
            <rFont val="Arial"/>
            <scheme val="minor"/>
          </rPr>
          <t>Responder updated this value.</t>
        </r>
      </text>
    </comment>
    <comment ref="L24" authorId="0" shapeId="0" xr:uid="{00000000-0006-0000-0400-0000CE010000}">
      <text>
        <r>
          <rPr>
            <sz val="10"/>
            <color rgb="FF000000"/>
            <rFont val="Arial"/>
            <scheme val="minor"/>
          </rPr>
          <t>Responder updated this value.</t>
        </r>
      </text>
    </comment>
    <comment ref="M24" authorId="0" shapeId="0" xr:uid="{00000000-0006-0000-0400-0000CF010000}">
      <text>
        <r>
          <rPr>
            <sz val="10"/>
            <color rgb="FF000000"/>
            <rFont val="Arial"/>
            <scheme val="minor"/>
          </rPr>
          <t>Responder updated this value.</t>
        </r>
      </text>
    </comment>
    <comment ref="N24" authorId="0" shapeId="0" xr:uid="{00000000-0006-0000-0400-0000D0010000}">
      <text>
        <r>
          <rPr>
            <sz val="10"/>
            <color rgb="FF000000"/>
            <rFont val="Arial"/>
            <scheme val="minor"/>
          </rPr>
          <t>Responder updated this value.</t>
        </r>
      </text>
    </comment>
    <comment ref="O24" authorId="0" shapeId="0" xr:uid="{00000000-0006-0000-0400-0000D1010000}">
      <text>
        <r>
          <rPr>
            <sz val="10"/>
            <color rgb="FF000000"/>
            <rFont val="Arial"/>
            <scheme val="minor"/>
          </rPr>
          <t>Responder updated this value.</t>
        </r>
      </text>
    </comment>
    <comment ref="P24" authorId="0" shapeId="0" xr:uid="{00000000-0006-0000-0400-0000D2010000}">
      <text>
        <r>
          <rPr>
            <sz val="10"/>
            <color rgb="FF000000"/>
            <rFont val="Arial"/>
            <scheme val="minor"/>
          </rPr>
          <t>Responder updated this value.</t>
        </r>
      </text>
    </comment>
    <comment ref="Q24" authorId="0" shapeId="0" xr:uid="{00000000-0006-0000-0400-0000D3010000}">
      <text>
        <r>
          <rPr>
            <sz val="10"/>
            <color rgb="FF000000"/>
            <rFont val="Arial"/>
            <scheme val="minor"/>
          </rPr>
          <t>Responder updated this value.</t>
        </r>
      </text>
    </comment>
    <comment ref="R24" authorId="0" shapeId="0" xr:uid="{00000000-0006-0000-0400-0000D4010000}">
      <text>
        <r>
          <rPr>
            <sz val="10"/>
            <color rgb="FF000000"/>
            <rFont val="Arial"/>
            <scheme val="minor"/>
          </rPr>
          <t>Responder updated this value.</t>
        </r>
      </text>
    </comment>
    <comment ref="U24" authorId="0" shapeId="0" xr:uid="{00000000-0006-0000-0400-0000D5010000}">
      <text>
        <r>
          <rPr>
            <sz val="10"/>
            <color rgb="FF000000"/>
            <rFont val="Arial"/>
            <scheme val="minor"/>
          </rPr>
          <t>Responder updated this value.</t>
        </r>
      </text>
    </comment>
    <comment ref="W24" authorId="0" shapeId="0" xr:uid="{00000000-0006-0000-0400-0000D6010000}">
      <text>
        <r>
          <rPr>
            <sz val="10"/>
            <color rgb="FF000000"/>
            <rFont val="Arial"/>
            <scheme val="minor"/>
          </rPr>
          <t>Responder updated this value.</t>
        </r>
      </text>
    </comment>
    <comment ref="X24" authorId="0" shapeId="0" xr:uid="{00000000-0006-0000-0400-0000D7010000}">
      <text>
        <r>
          <rPr>
            <sz val="10"/>
            <color rgb="FF000000"/>
            <rFont val="Arial"/>
            <scheme val="minor"/>
          </rPr>
          <t>Responder updated this value.</t>
        </r>
      </text>
    </comment>
    <comment ref="Y24" authorId="0" shapeId="0" xr:uid="{00000000-0006-0000-0400-0000D8010000}">
      <text>
        <r>
          <rPr>
            <sz val="10"/>
            <color rgb="FF000000"/>
            <rFont val="Arial"/>
            <scheme val="minor"/>
          </rPr>
          <t>Responder updated this value.</t>
        </r>
      </text>
    </comment>
    <comment ref="Z24" authorId="0" shapeId="0" xr:uid="{00000000-0006-0000-0400-0000D9010000}">
      <text>
        <r>
          <rPr>
            <sz val="10"/>
            <color rgb="FF000000"/>
            <rFont val="Arial"/>
            <scheme val="minor"/>
          </rPr>
          <t>Responder updated this value.</t>
        </r>
      </text>
    </comment>
    <comment ref="AA24" authorId="0" shapeId="0" xr:uid="{00000000-0006-0000-0400-0000DA010000}">
      <text>
        <r>
          <rPr>
            <sz val="10"/>
            <color rgb="FF000000"/>
            <rFont val="Arial"/>
            <scheme val="minor"/>
          </rPr>
          <t>Responder updated this value.</t>
        </r>
      </text>
    </comment>
    <comment ref="AB24" authorId="0" shapeId="0" xr:uid="{00000000-0006-0000-0400-0000DB010000}">
      <text>
        <r>
          <rPr>
            <sz val="10"/>
            <color rgb="FF000000"/>
            <rFont val="Arial"/>
            <scheme val="minor"/>
          </rPr>
          <t>Responder updated this value.</t>
        </r>
      </text>
    </comment>
    <comment ref="AC24" authorId="0" shapeId="0" xr:uid="{00000000-0006-0000-0400-0000DC010000}">
      <text>
        <r>
          <rPr>
            <sz val="10"/>
            <color rgb="FF000000"/>
            <rFont val="Arial"/>
            <scheme val="minor"/>
          </rPr>
          <t>Responder updated this value.</t>
        </r>
      </text>
    </comment>
    <comment ref="AD24" authorId="0" shapeId="0" xr:uid="{00000000-0006-0000-0400-0000DD010000}">
      <text>
        <r>
          <rPr>
            <sz val="10"/>
            <color rgb="FF000000"/>
            <rFont val="Arial"/>
            <scheme val="minor"/>
          </rPr>
          <t>Responder updated this value.</t>
        </r>
      </text>
    </comment>
    <comment ref="AE24" authorId="0" shapeId="0" xr:uid="{00000000-0006-0000-0400-0000DE010000}">
      <text>
        <r>
          <rPr>
            <sz val="10"/>
            <color rgb="FF000000"/>
            <rFont val="Arial"/>
            <scheme val="minor"/>
          </rPr>
          <t>Responder updated this value.</t>
        </r>
      </text>
    </comment>
    <comment ref="AF24" authorId="0" shapeId="0" xr:uid="{00000000-0006-0000-0400-0000DF010000}">
      <text>
        <r>
          <rPr>
            <sz val="10"/>
            <color rgb="FF000000"/>
            <rFont val="Arial"/>
            <scheme val="minor"/>
          </rPr>
          <t>Responder updated this value.</t>
        </r>
      </text>
    </comment>
    <comment ref="AI24" authorId="0" shapeId="0" xr:uid="{00000000-0006-0000-0400-0000E0010000}">
      <text>
        <r>
          <rPr>
            <sz val="10"/>
            <color rgb="FF000000"/>
            <rFont val="Arial"/>
            <scheme val="minor"/>
          </rPr>
          <t>Responder updated this value.</t>
        </r>
      </text>
    </comment>
    <comment ref="AJ24" authorId="0" shapeId="0" xr:uid="{00000000-0006-0000-0400-0000E1010000}">
      <text>
        <r>
          <rPr>
            <sz val="10"/>
            <color rgb="FF000000"/>
            <rFont val="Arial"/>
            <scheme val="minor"/>
          </rPr>
          <t>Responder updated this value.</t>
        </r>
      </text>
    </comment>
    <comment ref="AK24" authorId="0" shapeId="0" xr:uid="{00000000-0006-0000-0400-0000E2010000}">
      <text>
        <r>
          <rPr>
            <sz val="10"/>
            <color rgb="FF000000"/>
            <rFont val="Arial"/>
            <scheme val="minor"/>
          </rPr>
          <t>Responder updated this value.</t>
        </r>
      </text>
    </comment>
    <comment ref="AL24" authorId="0" shapeId="0" xr:uid="{00000000-0006-0000-0400-0000E3010000}">
      <text>
        <r>
          <rPr>
            <sz val="10"/>
            <color rgb="FF000000"/>
            <rFont val="Arial"/>
            <scheme val="minor"/>
          </rPr>
          <t>Responder updated this value.</t>
        </r>
      </text>
    </comment>
    <comment ref="AM24" authorId="0" shapeId="0" xr:uid="{00000000-0006-0000-0400-0000E4010000}">
      <text>
        <r>
          <rPr>
            <sz val="10"/>
            <color rgb="FF000000"/>
            <rFont val="Arial"/>
            <scheme val="minor"/>
          </rPr>
          <t>Responder updated this value.</t>
        </r>
      </text>
    </comment>
    <comment ref="AN24" authorId="0" shapeId="0" xr:uid="{00000000-0006-0000-0400-0000E5010000}">
      <text>
        <r>
          <rPr>
            <sz val="10"/>
            <color rgb="FF000000"/>
            <rFont val="Arial"/>
            <scheme val="minor"/>
          </rPr>
          <t>Responder updated this value.</t>
        </r>
      </text>
    </comment>
    <comment ref="AP24" authorId="0" shapeId="0" xr:uid="{00000000-0006-0000-0400-0000E6010000}">
      <text>
        <r>
          <rPr>
            <sz val="10"/>
            <color rgb="FF000000"/>
            <rFont val="Arial"/>
            <scheme val="minor"/>
          </rPr>
          <t>Responder updated this value.</t>
        </r>
      </text>
    </comment>
    <comment ref="D25" authorId="0" shapeId="0" xr:uid="{00000000-0006-0000-0400-0000E7010000}">
      <text>
        <r>
          <rPr>
            <sz val="10"/>
            <color rgb="FF000000"/>
            <rFont val="Arial"/>
            <scheme val="minor"/>
          </rPr>
          <t>Responder updated this value.</t>
        </r>
      </text>
    </comment>
    <comment ref="J25" authorId="0" shapeId="0" xr:uid="{00000000-0006-0000-0400-0000E8010000}">
      <text>
        <r>
          <rPr>
            <sz val="10"/>
            <color rgb="FF000000"/>
            <rFont val="Arial"/>
            <scheme val="minor"/>
          </rPr>
          <t>Responder updated this value.</t>
        </r>
      </text>
    </comment>
    <comment ref="K25" authorId="0" shapeId="0" xr:uid="{00000000-0006-0000-0400-0000E9010000}">
      <text>
        <r>
          <rPr>
            <sz val="10"/>
            <color rgb="FF000000"/>
            <rFont val="Arial"/>
            <scheme val="minor"/>
          </rPr>
          <t>Responder updated this value.</t>
        </r>
      </text>
    </comment>
    <comment ref="L25" authorId="0" shapeId="0" xr:uid="{00000000-0006-0000-0400-0000EA010000}">
      <text>
        <r>
          <rPr>
            <sz val="10"/>
            <color rgb="FF000000"/>
            <rFont val="Arial"/>
            <scheme val="minor"/>
          </rPr>
          <t>Responder updated this value.</t>
        </r>
      </text>
    </comment>
    <comment ref="M25" authorId="0" shapeId="0" xr:uid="{00000000-0006-0000-0400-0000EB010000}">
      <text>
        <r>
          <rPr>
            <sz val="10"/>
            <color rgb="FF000000"/>
            <rFont val="Arial"/>
            <scheme val="minor"/>
          </rPr>
          <t>Responder updated this value.</t>
        </r>
      </text>
    </comment>
    <comment ref="N25" authorId="0" shapeId="0" xr:uid="{00000000-0006-0000-0400-0000EC010000}">
      <text>
        <r>
          <rPr>
            <sz val="10"/>
            <color rgb="FF000000"/>
            <rFont val="Arial"/>
            <scheme val="minor"/>
          </rPr>
          <t>Responder updated this value.</t>
        </r>
      </text>
    </comment>
    <comment ref="O25" authorId="0" shapeId="0" xr:uid="{00000000-0006-0000-0400-0000ED010000}">
      <text>
        <r>
          <rPr>
            <sz val="10"/>
            <color rgb="FF000000"/>
            <rFont val="Arial"/>
            <scheme val="minor"/>
          </rPr>
          <t>Responder updated this value.</t>
        </r>
      </text>
    </comment>
    <comment ref="P25" authorId="0" shapeId="0" xr:uid="{00000000-0006-0000-0400-0000EE010000}">
      <text>
        <r>
          <rPr>
            <sz val="10"/>
            <color rgb="FF000000"/>
            <rFont val="Arial"/>
            <scheme val="minor"/>
          </rPr>
          <t>Responder updated this value.</t>
        </r>
      </text>
    </comment>
    <comment ref="Q25" authorId="0" shapeId="0" xr:uid="{00000000-0006-0000-0400-0000EF010000}">
      <text>
        <r>
          <rPr>
            <sz val="10"/>
            <color rgb="FF000000"/>
            <rFont val="Arial"/>
            <scheme val="minor"/>
          </rPr>
          <t>Responder updated this value.</t>
        </r>
      </text>
    </comment>
    <comment ref="R25" authorId="0" shapeId="0" xr:uid="{00000000-0006-0000-0400-0000F0010000}">
      <text>
        <r>
          <rPr>
            <sz val="10"/>
            <color rgb="FF000000"/>
            <rFont val="Arial"/>
            <scheme val="minor"/>
          </rPr>
          <t>Responder updated this value.</t>
        </r>
      </text>
    </comment>
    <comment ref="T25" authorId="0" shapeId="0" xr:uid="{00000000-0006-0000-0400-0000F1010000}">
      <text>
        <r>
          <rPr>
            <sz val="10"/>
            <color rgb="FF000000"/>
            <rFont val="Arial"/>
            <scheme val="minor"/>
          </rPr>
          <t>Responder updated this value.</t>
        </r>
      </text>
    </comment>
    <comment ref="U25" authorId="0" shapeId="0" xr:uid="{00000000-0006-0000-0400-0000F2010000}">
      <text>
        <r>
          <rPr>
            <sz val="10"/>
            <color rgb="FF000000"/>
            <rFont val="Arial"/>
            <scheme val="minor"/>
          </rPr>
          <t>Responder updated this value.</t>
        </r>
      </text>
    </comment>
    <comment ref="W25" authorId="0" shapeId="0" xr:uid="{00000000-0006-0000-0400-0000F3010000}">
      <text>
        <r>
          <rPr>
            <sz val="10"/>
            <color rgb="FF000000"/>
            <rFont val="Arial"/>
            <scheme val="minor"/>
          </rPr>
          <t>Responder updated this value.</t>
        </r>
      </text>
    </comment>
    <comment ref="Y25" authorId="0" shapeId="0" xr:uid="{00000000-0006-0000-0400-0000F4010000}">
      <text>
        <r>
          <rPr>
            <sz val="10"/>
            <color rgb="FF000000"/>
            <rFont val="Arial"/>
            <scheme val="minor"/>
          </rPr>
          <t>Responder updated this value.</t>
        </r>
      </text>
    </comment>
    <comment ref="Z25" authorId="0" shapeId="0" xr:uid="{00000000-0006-0000-0400-0000F5010000}">
      <text>
        <r>
          <rPr>
            <sz val="10"/>
            <color rgb="FF000000"/>
            <rFont val="Arial"/>
            <scheme val="minor"/>
          </rPr>
          <t>Responder updated this value.</t>
        </r>
      </text>
    </comment>
    <comment ref="AA25" authorId="0" shapeId="0" xr:uid="{00000000-0006-0000-0400-0000F6010000}">
      <text>
        <r>
          <rPr>
            <sz val="10"/>
            <color rgb="FF000000"/>
            <rFont val="Arial"/>
            <scheme val="minor"/>
          </rPr>
          <t>Responder updated this value.</t>
        </r>
      </text>
    </comment>
    <comment ref="AB25" authorId="0" shapeId="0" xr:uid="{00000000-0006-0000-0400-0000F7010000}">
      <text>
        <r>
          <rPr>
            <sz val="10"/>
            <color rgb="FF000000"/>
            <rFont val="Arial"/>
            <scheme val="minor"/>
          </rPr>
          <t>Responder updated this value.</t>
        </r>
      </text>
    </comment>
    <comment ref="AC25" authorId="0" shapeId="0" xr:uid="{00000000-0006-0000-0400-0000F8010000}">
      <text>
        <r>
          <rPr>
            <sz val="10"/>
            <color rgb="FF000000"/>
            <rFont val="Arial"/>
            <scheme val="minor"/>
          </rPr>
          <t>Responder updated this value.</t>
        </r>
      </text>
    </comment>
    <comment ref="AD25" authorId="0" shapeId="0" xr:uid="{00000000-0006-0000-0400-0000F9010000}">
      <text>
        <r>
          <rPr>
            <sz val="10"/>
            <color rgb="FF000000"/>
            <rFont val="Arial"/>
            <scheme val="minor"/>
          </rPr>
          <t>Responder updated this value.</t>
        </r>
      </text>
    </comment>
    <comment ref="AE25" authorId="0" shapeId="0" xr:uid="{00000000-0006-0000-0400-0000FA010000}">
      <text>
        <r>
          <rPr>
            <sz val="10"/>
            <color rgb="FF000000"/>
            <rFont val="Arial"/>
            <scheme val="minor"/>
          </rPr>
          <t>Responder updated this value.</t>
        </r>
      </text>
    </comment>
    <comment ref="AF25" authorId="0" shapeId="0" xr:uid="{00000000-0006-0000-0400-0000FB010000}">
      <text>
        <r>
          <rPr>
            <sz val="10"/>
            <color rgb="FF000000"/>
            <rFont val="Arial"/>
            <scheme val="minor"/>
          </rPr>
          <t>Responder updated this value.</t>
        </r>
      </text>
    </comment>
    <comment ref="AI25" authorId="0" shapeId="0" xr:uid="{00000000-0006-0000-0400-0000FC010000}">
      <text>
        <r>
          <rPr>
            <sz val="10"/>
            <color rgb="FF000000"/>
            <rFont val="Arial"/>
            <scheme val="minor"/>
          </rPr>
          <t>Responder updated this value.</t>
        </r>
      </text>
    </comment>
    <comment ref="AJ25" authorId="0" shapeId="0" xr:uid="{00000000-0006-0000-0400-0000FD010000}">
      <text>
        <r>
          <rPr>
            <sz val="10"/>
            <color rgb="FF000000"/>
            <rFont val="Arial"/>
            <scheme val="minor"/>
          </rPr>
          <t>Responder updated this value.</t>
        </r>
      </text>
    </comment>
    <comment ref="AK25" authorId="0" shapeId="0" xr:uid="{00000000-0006-0000-0400-0000FE010000}">
      <text>
        <r>
          <rPr>
            <sz val="10"/>
            <color rgb="FF000000"/>
            <rFont val="Arial"/>
            <scheme val="minor"/>
          </rPr>
          <t>Responder updated this value.</t>
        </r>
      </text>
    </comment>
    <comment ref="AL25" authorId="0" shapeId="0" xr:uid="{00000000-0006-0000-0400-0000FF010000}">
      <text>
        <r>
          <rPr>
            <sz val="10"/>
            <color rgb="FF000000"/>
            <rFont val="Arial"/>
            <scheme val="minor"/>
          </rPr>
          <t>Responder updated this value.</t>
        </r>
      </text>
    </comment>
    <comment ref="AM25" authorId="0" shapeId="0" xr:uid="{00000000-0006-0000-0400-000000020000}">
      <text>
        <r>
          <rPr>
            <sz val="10"/>
            <color rgb="FF000000"/>
            <rFont val="Arial"/>
            <scheme val="minor"/>
          </rPr>
          <t>Responder updated this value.</t>
        </r>
      </text>
    </comment>
    <comment ref="AN25" authorId="0" shapeId="0" xr:uid="{00000000-0006-0000-0400-000001020000}">
      <text>
        <r>
          <rPr>
            <sz val="10"/>
            <color rgb="FF000000"/>
            <rFont val="Arial"/>
            <scheme val="minor"/>
          </rPr>
          <t>Responder updated this value.</t>
        </r>
      </text>
    </comment>
    <comment ref="AO25" authorId="0" shapeId="0" xr:uid="{00000000-0006-0000-0400-000002020000}">
      <text>
        <r>
          <rPr>
            <sz val="10"/>
            <color rgb="FF000000"/>
            <rFont val="Arial"/>
            <scheme val="minor"/>
          </rPr>
          <t>Responder updated this value.</t>
        </r>
      </text>
    </comment>
    <comment ref="AP25" authorId="0" shapeId="0" xr:uid="{00000000-0006-0000-0400-000003020000}">
      <text>
        <r>
          <rPr>
            <sz val="10"/>
            <color rgb="FF000000"/>
            <rFont val="Arial"/>
            <scheme val="minor"/>
          </rPr>
          <t>Responder updated this value.</t>
        </r>
      </text>
    </comment>
    <comment ref="D26" authorId="0" shapeId="0" xr:uid="{00000000-0006-0000-0400-000004020000}">
      <text>
        <r>
          <rPr>
            <sz val="10"/>
            <color rgb="FF000000"/>
            <rFont val="Arial"/>
            <scheme val="minor"/>
          </rPr>
          <t>Responder updated this value.</t>
        </r>
      </text>
    </comment>
    <comment ref="D27" authorId="0" shapeId="0" xr:uid="{00000000-0006-0000-0400-000005020000}">
      <text>
        <r>
          <rPr>
            <sz val="10"/>
            <color rgb="FF000000"/>
            <rFont val="Arial"/>
            <scheme val="minor"/>
          </rPr>
          <t>Responder updated this value.</t>
        </r>
      </text>
    </comment>
    <comment ref="J27" authorId="0" shapeId="0" xr:uid="{00000000-0006-0000-0400-000006020000}">
      <text>
        <r>
          <rPr>
            <sz val="10"/>
            <color rgb="FF000000"/>
            <rFont val="Arial"/>
            <scheme val="minor"/>
          </rPr>
          <t>Responder updated this value.</t>
        </r>
      </text>
    </comment>
    <comment ref="K27" authorId="0" shapeId="0" xr:uid="{00000000-0006-0000-0400-000007020000}">
      <text>
        <r>
          <rPr>
            <sz val="10"/>
            <color rgb="FF000000"/>
            <rFont val="Arial"/>
            <scheme val="minor"/>
          </rPr>
          <t>Responder updated this value.</t>
        </r>
      </text>
    </comment>
    <comment ref="N27" authorId="0" shapeId="0" xr:uid="{00000000-0006-0000-0400-000008020000}">
      <text>
        <r>
          <rPr>
            <sz val="10"/>
            <color rgb="FF000000"/>
            <rFont val="Arial"/>
            <scheme val="minor"/>
          </rPr>
          <t>Responder updated this value.</t>
        </r>
      </text>
    </comment>
    <comment ref="O27" authorId="0" shapeId="0" xr:uid="{00000000-0006-0000-0400-000009020000}">
      <text>
        <r>
          <rPr>
            <sz val="10"/>
            <color rgb="FF000000"/>
            <rFont val="Arial"/>
            <scheme val="minor"/>
          </rPr>
          <t>Responder updated this value.</t>
        </r>
      </text>
    </comment>
    <comment ref="P27" authorId="0" shapeId="0" xr:uid="{00000000-0006-0000-0400-00000A020000}">
      <text>
        <r>
          <rPr>
            <sz val="10"/>
            <color rgb="FF000000"/>
            <rFont val="Arial"/>
            <scheme val="minor"/>
          </rPr>
          <t>Responder updated this value.</t>
        </r>
      </text>
    </comment>
    <comment ref="Q27" authorId="0" shapeId="0" xr:uid="{00000000-0006-0000-0400-00000B020000}">
      <text>
        <r>
          <rPr>
            <sz val="10"/>
            <color rgb="FF000000"/>
            <rFont val="Arial"/>
            <scheme val="minor"/>
          </rPr>
          <t>Responder updated this value.</t>
        </r>
      </text>
    </comment>
    <comment ref="R27" authorId="0" shapeId="0" xr:uid="{00000000-0006-0000-0400-00000C020000}">
      <text>
        <r>
          <rPr>
            <sz val="10"/>
            <color rgb="FF000000"/>
            <rFont val="Arial"/>
            <scheme val="minor"/>
          </rPr>
          <t>Responder updated this value.</t>
        </r>
      </text>
    </comment>
    <comment ref="U27" authorId="0" shapeId="0" xr:uid="{00000000-0006-0000-0400-00000D020000}">
      <text>
        <r>
          <rPr>
            <sz val="10"/>
            <color rgb="FF000000"/>
            <rFont val="Arial"/>
            <scheme val="minor"/>
          </rPr>
          <t>Responder updated this value.</t>
        </r>
      </text>
    </comment>
    <comment ref="W27" authorId="0" shapeId="0" xr:uid="{00000000-0006-0000-0400-00000E020000}">
      <text>
        <r>
          <rPr>
            <sz val="10"/>
            <color rgb="FF000000"/>
            <rFont val="Arial"/>
            <scheme val="minor"/>
          </rPr>
          <t>Responder updated this value.</t>
        </r>
      </text>
    </comment>
    <comment ref="X27" authorId="0" shapeId="0" xr:uid="{00000000-0006-0000-0400-00000F020000}">
      <text>
        <r>
          <rPr>
            <sz val="10"/>
            <color rgb="FF000000"/>
            <rFont val="Arial"/>
            <scheme val="minor"/>
          </rPr>
          <t>Responder updated this value.</t>
        </r>
      </text>
    </comment>
    <comment ref="Y27" authorId="0" shapeId="0" xr:uid="{00000000-0006-0000-0400-000010020000}">
      <text>
        <r>
          <rPr>
            <sz val="10"/>
            <color rgb="FF000000"/>
            <rFont val="Arial"/>
            <scheme val="minor"/>
          </rPr>
          <t>Responder updated this value.</t>
        </r>
      </text>
    </comment>
    <comment ref="Z27" authorId="0" shapeId="0" xr:uid="{00000000-0006-0000-0400-000011020000}">
      <text>
        <r>
          <rPr>
            <sz val="10"/>
            <color rgb="FF000000"/>
            <rFont val="Arial"/>
            <scheme val="minor"/>
          </rPr>
          <t>Responder updated this value.</t>
        </r>
      </text>
    </comment>
    <comment ref="AA27" authorId="0" shapeId="0" xr:uid="{00000000-0006-0000-0400-000012020000}">
      <text>
        <r>
          <rPr>
            <sz val="10"/>
            <color rgb="FF000000"/>
            <rFont val="Arial"/>
            <scheme val="minor"/>
          </rPr>
          <t>Responder updated this value.</t>
        </r>
      </text>
    </comment>
    <comment ref="AB27" authorId="0" shapeId="0" xr:uid="{00000000-0006-0000-0400-000013020000}">
      <text>
        <r>
          <rPr>
            <sz val="10"/>
            <color rgb="FF000000"/>
            <rFont val="Arial"/>
            <scheme val="minor"/>
          </rPr>
          <t>Responder updated this value.</t>
        </r>
      </text>
    </comment>
    <comment ref="AC27" authorId="0" shapeId="0" xr:uid="{00000000-0006-0000-0400-000014020000}">
      <text>
        <r>
          <rPr>
            <sz val="10"/>
            <color rgb="FF000000"/>
            <rFont val="Arial"/>
            <scheme val="minor"/>
          </rPr>
          <t>Responder updated this value.</t>
        </r>
      </text>
    </comment>
    <comment ref="AD27" authorId="0" shapeId="0" xr:uid="{00000000-0006-0000-0400-000015020000}">
      <text>
        <r>
          <rPr>
            <sz val="10"/>
            <color rgb="FF000000"/>
            <rFont val="Arial"/>
            <scheme val="minor"/>
          </rPr>
          <t>Responder updated this value.</t>
        </r>
      </text>
    </comment>
    <comment ref="D28" authorId="0" shapeId="0" xr:uid="{00000000-0006-0000-0400-000016020000}">
      <text>
        <r>
          <rPr>
            <sz val="10"/>
            <color rgb="FF000000"/>
            <rFont val="Arial"/>
            <scheme val="minor"/>
          </rPr>
          <t>Responder updated this value.</t>
        </r>
      </text>
    </comment>
    <comment ref="J28" authorId="0" shapeId="0" xr:uid="{00000000-0006-0000-0400-000017020000}">
      <text>
        <r>
          <rPr>
            <sz val="10"/>
            <color rgb="FF000000"/>
            <rFont val="Arial"/>
            <scheme val="minor"/>
          </rPr>
          <t>Responder updated this value.</t>
        </r>
      </text>
    </comment>
    <comment ref="K28" authorId="0" shapeId="0" xr:uid="{00000000-0006-0000-0400-000018020000}">
      <text>
        <r>
          <rPr>
            <sz val="10"/>
            <color rgb="FF000000"/>
            <rFont val="Arial"/>
            <scheme val="minor"/>
          </rPr>
          <t>Responder updated this value.</t>
        </r>
      </text>
    </comment>
    <comment ref="L28" authorId="0" shapeId="0" xr:uid="{00000000-0006-0000-0400-000019020000}">
      <text>
        <r>
          <rPr>
            <sz val="10"/>
            <color rgb="FF000000"/>
            <rFont val="Arial"/>
            <scheme val="minor"/>
          </rPr>
          <t>Responder updated this value.</t>
        </r>
      </text>
    </comment>
    <comment ref="M28" authorId="0" shapeId="0" xr:uid="{00000000-0006-0000-0400-00001A020000}">
      <text>
        <r>
          <rPr>
            <sz val="10"/>
            <color rgb="FF000000"/>
            <rFont val="Arial"/>
            <scheme val="minor"/>
          </rPr>
          <t>Responder updated this value.</t>
        </r>
      </text>
    </comment>
    <comment ref="N28" authorId="0" shapeId="0" xr:uid="{00000000-0006-0000-0400-00001B020000}">
      <text>
        <r>
          <rPr>
            <sz val="10"/>
            <color rgb="FF000000"/>
            <rFont val="Arial"/>
            <scheme val="minor"/>
          </rPr>
          <t>Responder updated this value.</t>
        </r>
      </text>
    </comment>
    <comment ref="O28" authorId="0" shapeId="0" xr:uid="{00000000-0006-0000-0400-00001C020000}">
      <text>
        <r>
          <rPr>
            <sz val="10"/>
            <color rgb="FF000000"/>
            <rFont val="Arial"/>
            <scheme val="minor"/>
          </rPr>
          <t>Responder updated this value.</t>
        </r>
      </text>
    </comment>
    <comment ref="P28" authorId="0" shapeId="0" xr:uid="{00000000-0006-0000-0400-00001D020000}">
      <text>
        <r>
          <rPr>
            <sz val="10"/>
            <color rgb="FF000000"/>
            <rFont val="Arial"/>
            <scheme val="minor"/>
          </rPr>
          <t>Responder updated this value.</t>
        </r>
      </text>
    </comment>
    <comment ref="R28" authorId="0" shapeId="0" xr:uid="{00000000-0006-0000-0400-00001E020000}">
      <text>
        <r>
          <rPr>
            <sz val="10"/>
            <color rgb="FF000000"/>
            <rFont val="Arial"/>
            <scheme val="minor"/>
          </rPr>
          <t>Responder updated this value.</t>
        </r>
      </text>
    </comment>
    <comment ref="T28" authorId="0" shapeId="0" xr:uid="{00000000-0006-0000-0400-00001F020000}">
      <text>
        <r>
          <rPr>
            <sz val="10"/>
            <color rgb="FF000000"/>
            <rFont val="Arial"/>
            <scheme val="minor"/>
          </rPr>
          <t>Responder updated this value.</t>
        </r>
      </text>
    </comment>
    <comment ref="U28" authorId="0" shapeId="0" xr:uid="{00000000-0006-0000-0400-000020020000}">
      <text>
        <r>
          <rPr>
            <sz val="10"/>
            <color rgb="FF000000"/>
            <rFont val="Arial"/>
            <scheme val="minor"/>
          </rPr>
          <t>Responder updated this value.</t>
        </r>
      </text>
    </comment>
    <comment ref="W28" authorId="0" shapeId="0" xr:uid="{00000000-0006-0000-0400-000021020000}">
      <text>
        <r>
          <rPr>
            <sz val="10"/>
            <color rgb="FF000000"/>
            <rFont val="Arial"/>
            <scheme val="minor"/>
          </rPr>
          <t>Responder updated this value.</t>
        </r>
      </text>
    </comment>
    <comment ref="X28" authorId="0" shapeId="0" xr:uid="{00000000-0006-0000-0400-000022020000}">
      <text>
        <r>
          <rPr>
            <sz val="10"/>
            <color rgb="FF000000"/>
            <rFont val="Arial"/>
            <scheme val="minor"/>
          </rPr>
          <t>Responder updated this value.</t>
        </r>
      </text>
    </comment>
    <comment ref="Y28" authorId="0" shapeId="0" xr:uid="{00000000-0006-0000-0400-000023020000}">
      <text>
        <r>
          <rPr>
            <sz val="10"/>
            <color rgb="FF000000"/>
            <rFont val="Arial"/>
            <scheme val="minor"/>
          </rPr>
          <t>Responder updated this value.</t>
        </r>
      </text>
    </comment>
    <comment ref="Z28" authorId="0" shapeId="0" xr:uid="{00000000-0006-0000-0400-000024020000}">
      <text>
        <r>
          <rPr>
            <sz val="10"/>
            <color rgb="FF000000"/>
            <rFont val="Arial"/>
            <scheme val="minor"/>
          </rPr>
          <t>Responder updated this value.</t>
        </r>
      </text>
    </comment>
    <comment ref="AA28" authorId="0" shapeId="0" xr:uid="{00000000-0006-0000-0400-000025020000}">
      <text>
        <r>
          <rPr>
            <sz val="10"/>
            <color rgb="FF000000"/>
            <rFont val="Arial"/>
            <scheme val="minor"/>
          </rPr>
          <t>Responder updated this value.</t>
        </r>
      </text>
    </comment>
    <comment ref="AB28" authorId="0" shapeId="0" xr:uid="{00000000-0006-0000-0400-000026020000}">
      <text>
        <r>
          <rPr>
            <sz val="10"/>
            <color rgb="FF000000"/>
            <rFont val="Arial"/>
            <scheme val="minor"/>
          </rPr>
          <t>Responder updated this value.</t>
        </r>
      </text>
    </comment>
    <comment ref="AC28" authorId="0" shapeId="0" xr:uid="{00000000-0006-0000-0400-000027020000}">
      <text>
        <r>
          <rPr>
            <sz val="10"/>
            <color rgb="FF000000"/>
            <rFont val="Arial"/>
            <scheme val="minor"/>
          </rPr>
          <t>Responder updated this value.</t>
        </r>
      </text>
    </comment>
    <comment ref="AD28" authorId="0" shapeId="0" xr:uid="{00000000-0006-0000-0400-000028020000}">
      <text>
        <r>
          <rPr>
            <sz val="10"/>
            <color rgb="FF000000"/>
            <rFont val="Arial"/>
            <scheme val="minor"/>
          </rPr>
          <t>Responder updated this value.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D3" authorId="0" shapeId="0" xr:uid="{00000000-0006-0000-0500-000001000000}">
      <text>
        <r>
          <rPr>
            <sz val="10"/>
            <color rgb="FF000000"/>
            <rFont val="Arial"/>
            <scheme val="minor"/>
          </rPr>
          <t>Responder updated this value.</t>
        </r>
      </text>
    </comment>
    <comment ref="J3" authorId="0" shapeId="0" xr:uid="{00000000-0006-0000-0500-000002000000}">
      <text>
        <r>
          <rPr>
            <sz val="10"/>
            <color rgb="FF000000"/>
            <rFont val="Arial"/>
            <scheme val="minor"/>
          </rPr>
          <t>Responder updated this value.</t>
        </r>
      </text>
    </comment>
    <comment ref="K3" authorId="0" shapeId="0" xr:uid="{00000000-0006-0000-0500-000003000000}">
      <text>
        <r>
          <rPr>
            <sz val="10"/>
            <color rgb="FF000000"/>
            <rFont val="Arial"/>
            <scheme val="minor"/>
          </rPr>
          <t>Responder updated this value.</t>
        </r>
      </text>
    </comment>
    <comment ref="L3" authorId="0" shapeId="0" xr:uid="{00000000-0006-0000-0500-000004000000}">
      <text>
        <r>
          <rPr>
            <sz val="10"/>
            <color rgb="FF000000"/>
            <rFont val="Arial"/>
            <scheme val="minor"/>
          </rPr>
          <t>Responder updated this value.</t>
        </r>
      </text>
    </comment>
    <comment ref="M3" authorId="0" shapeId="0" xr:uid="{00000000-0006-0000-0500-000005000000}">
      <text>
        <r>
          <rPr>
            <sz val="10"/>
            <color rgb="FF000000"/>
            <rFont val="Arial"/>
            <scheme val="minor"/>
          </rPr>
          <t>Responder updated this value.</t>
        </r>
      </text>
    </comment>
    <comment ref="N3" authorId="0" shapeId="0" xr:uid="{00000000-0006-0000-0500-000006000000}">
      <text>
        <r>
          <rPr>
            <sz val="10"/>
            <color rgb="FF000000"/>
            <rFont val="Arial"/>
            <scheme val="minor"/>
          </rPr>
          <t>Responder updated this value.</t>
        </r>
      </text>
    </comment>
    <comment ref="O3" authorId="0" shapeId="0" xr:uid="{00000000-0006-0000-0500-000007000000}">
      <text>
        <r>
          <rPr>
            <sz val="10"/>
            <color rgb="FF000000"/>
            <rFont val="Arial"/>
            <scheme val="minor"/>
          </rPr>
          <t>Responder updated this value.</t>
        </r>
      </text>
    </comment>
    <comment ref="P3" authorId="0" shapeId="0" xr:uid="{00000000-0006-0000-0500-000008000000}">
      <text>
        <r>
          <rPr>
            <sz val="10"/>
            <color rgb="FF000000"/>
            <rFont val="Arial"/>
            <scheme val="minor"/>
          </rPr>
          <t>Responder updated this value.</t>
        </r>
      </text>
    </comment>
    <comment ref="D4" authorId="0" shapeId="0" xr:uid="{00000000-0006-0000-0500-000009000000}">
      <text>
        <r>
          <rPr>
            <sz val="10"/>
            <color rgb="FF000000"/>
            <rFont val="Arial"/>
            <scheme val="minor"/>
          </rPr>
          <t>Responder updated this value.</t>
        </r>
      </text>
    </comment>
    <comment ref="F4" authorId="0" shapeId="0" xr:uid="{00000000-0006-0000-0500-00000A000000}">
      <text>
        <r>
          <rPr>
            <sz val="10"/>
            <color rgb="FF000000"/>
            <rFont val="Arial"/>
            <scheme val="minor"/>
          </rPr>
          <t>Responder updated this value.</t>
        </r>
      </text>
    </comment>
    <comment ref="K4" authorId="0" shapeId="0" xr:uid="{00000000-0006-0000-0500-00000B000000}">
      <text>
        <r>
          <rPr>
            <sz val="10"/>
            <color rgb="FF000000"/>
            <rFont val="Arial"/>
            <scheme val="minor"/>
          </rPr>
          <t>Responder updated this value.</t>
        </r>
      </text>
    </comment>
    <comment ref="L4" authorId="0" shapeId="0" xr:uid="{00000000-0006-0000-0500-00000C000000}">
      <text>
        <r>
          <rPr>
            <sz val="10"/>
            <color rgb="FF000000"/>
            <rFont val="Arial"/>
            <scheme val="minor"/>
          </rPr>
          <t>Responder updated this value.</t>
        </r>
      </text>
    </comment>
    <comment ref="N4" authorId="0" shapeId="0" xr:uid="{00000000-0006-0000-0500-00000D000000}">
      <text>
        <r>
          <rPr>
            <sz val="10"/>
            <color rgb="FF000000"/>
            <rFont val="Arial"/>
            <scheme val="minor"/>
          </rPr>
          <t>Responder updated this value.</t>
        </r>
      </text>
    </comment>
    <comment ref="O4" authorId="0" shapeId="0" xr:uid="{00000000-0006-0000-0500-00000E000000}">
      <text>
        <r>
          <rPr>
            <sz val="10"/>
            <color rgb="FF000000"/>
            <rFont val="Arial"/>
            <scheme val="minor"/>
          </rPr>
          <t>Responder updated this value.</t>
        </r>
      </text>
    </comment>
    <comment ref="D7" authorId="0" shapeId="0" xr:uid="{00000000-0006-0000-0500-00000F000000}">
      <text>
        <r>
          <rPr>
            <sz val="10"/>
            <color rgb="FF000000"/>
            <rFont val="Arial"/>
            <scheme val="minor"/>
          </rPr>
          <t>Responder updated this value.</t>
        </r>
      </text>
    </comment>
    <comment ref="J7" authorId="0" shapeId="0" xr:uid="{00000000-0006-0000-0500-000010000000}">
      <text>
        <r>
          <rPr>
            <sz val="10"/>
            <color rgb="FF000000"/>
            <rFont val="Arial"/>
            <scheme val="minor"/>
          </rPr>
          <t>Responder updated this value.</t>
        </r>
      </text>
    </comment>
    <comment ref="K7" authorId="0" shapeId="0" xr:uid="{00000000-0006-0000-0500-000011000000}">
      <text>
        <r>
          <rPr>
            <sz val="10"/>
            <color rgb="FF000000"/>
            <rFont val="Arial"/>
            <scheme val="minor"/>
          </rPr>
          <t>Responder updated this value.</t>
        </r>
      </text>
    </comment>
    <comment ref="M7" authorId="0" shapeId="0" xr:uid="{00000000-0006-0000-0500-000012000000}">
      <text>
        <r>
          <rPr>
            <sz val="10"/>
            <color rgb="FF000000"/>
            <rFont val="Arial"/>
            <scheme val="minor"/>
          </rPr>
          <t>Responder updated this value.</t>
        </r>
      </text>
    </comment>
    <comment ref="N7" authorId="0" shapeId="0" xr:uid="{00000000-0006-0000-0500-000013000000}">
      <text>
        <r>
          <rPr>
            <sz val="10"/>
            <color rgb="FF000000"/>
            <rFont val="Arial"/>
            <scheme val="minor"/>
          </rPr>
          <t>Responder updated this value.</t>
        </r>
      </text>
    </comment>
    <comment ref="O7" authorId="0" shapeId="0" xr:uid="{00000000-0006-0000-0500-000014000000}">
      <text>
        <r>
          <rPr>
            <sz val="10"/>
            <color rgb="FF000000"/>
            <rFont val="Arial"/>
            <scheme val="minor"/>
          </rPr>
          <t>Responder updated this value.</t>
        </r>
      </text>
    </comment>
    <comment ref="P7" authorId="0" shapeId="0" xr:uid="{00000000-0006-0000-0500-000015000000}">
      <text>
        <r>
          <rPr>
            <sz val="10"/>
            <color rgb="FF000000"/>
            <rFont val="Arial"/>
            <scheme val="minor"/>
          </rPr>
          <t>Responder updated this value.</t>
        </r>
      </text>
    </comment>
    <comment ref="D8" authorId="0" shapeId="0" xr:uid="{00000000-0006-0000-0500-000016000000}">
      <text>
        <r>
          <rPr>
            <sz val="10"/>
            <color rgb="FF000000"/>
            <rFont val="Arial"/>
            <scheme val="minor"/>
          </rPr>
          <t>Responder updated this value.</t>
        </r>
      </text>
    </comment>
    <comment ref="D9" authorId="0" shapeId="0" xr:uid="{00000000-0006-0000-0500-000017000000}">
      <text>
        <r>
          <rPr>
            <sz val="10"/>
            <color rgb="FF000000"/>
            <rFont val="Arial"/>
            <scheme val="minor"/>
          </rPr>
          <t>Responder updated this value.</t>
        </r>
      </text>
    </comment>
    <comment ref="O9" authorId="0" shapeId="0" xr:uid="{00000000-0006-0000-0500-000018000000}">
      <text>
        <r>
          <rPr>
            <sz val="10"/>
            <color rgb="FF000000"/>
            <rFont val="Arial"/>
            <scheme val="minor"/>
          </rPr>
          <t>Responder updated this value.</t>
        </r>
      </text>
    </comment>
    <comment ref="D10" authorId="0" shapeId="0" xr:uid="{00000000-0006-0000-0500-000019000000}">
      <text>
        <r>
          <rPr>
            <sz val="10"/>
            <color rgb="FF000000"/>
            <rFont val="Arial"/>
            <scheme val="minor"/>
          </rPr>
          <t>Responder updated this value.</t>
        </r>
      </text>
    </comment>
    <comment ref="J10" authorId="0" shapeId="0" xr:uid="{00000000-0006-0000-0500-00001A000000}">
      <text>
        <r>
          <rPr>
            <sz val="10"/>
            <color rgb="FF000000"/>
            <rFont val="Arial"/>
            <scheme val="minor"/>
          </rPr>
          <t>Responder updated this value.</t>
        </r>
      </text>
    </comment>
    <comment ref="M10" authorId="0" shapeId="0" xr:uid="{00000000-0006-0000-0500-00001B000000}">
      <text>
        <r>
          <rPr>
            <sz val="10"/>
            <color rgb="FF000000"/>
            <rFont val="Arial"/>
            <scheme val="minor"/>
          </rPr>
          <t>Responder updated this value.</t>
        </r>
      </text>
    </comment>
    <comment ref="N10" authorId="0" shapeId="0" xr:uid="{00000000-0006-0000-0500-00001C000000}">
      <text>
        <r>
          <rPr>
            <sz val="10"/>
            <color rgb="FF000000"/>
            <rFont val="Arial"/>
            <scheme val="minor"/>
          </rPr>
          <t>Responder updated this value.</t>
        </r>
      </text>
    </comment>
    <comment ref="O10" authorId="0" shapeId="0" xr:uid="{00000000-0006-0000-0500-00001D000000}">
      <text>
        <r>
          <rPr>
            <sz val="10"/>
            <color rgb="FF000000"/>
            <rFont val="Arial"/>
            <scheme val="minor"/>
          </rPr>
          <t>Responder updated this value.</t>
        </r>
      </text>
    </comment>
    <comment ref="P10" authorId="0" shapeId="0" xr:uid="{00000000-0006-0000-0500-00001E000000}">
      <text>
        <r>
          <rPr>
            <sz val="10"/>
            <color rgb="FF000000"/>
            <rFont val="Arial"/>
            <scheme val="minor"/>
          </rPr>
          <t>Responder updated this value.</t>
        </r>
      </text>
    </comment>
    <comment ref="D11" authorId="0" shapeId="0" xr:uid="{00000000-0006-0000-0500-00001F000000}">
      <text>
        <r>
          <rPr>
            <sz val="10"/>
            <color rgb="FF000000"/>
            <rFont val="Arial"/>
            <scheme val="minor"/>
          </rPr>
          <t>Responder updated this value.</t>
        </r>
      </text>
    </comment>
    <comment ref="K11" authorId="0" shapeId="0" xr:uid="{00000000-0006-0000-0500-000020000000}">
      <text>
        <r>
          <rPr>
            <sz val="10"/>
            <color rgb="FF000000"/>
            <rFont val="Arial"/>
            <scheme val="minor"/>
          </rPr>
          <t>Responder updated this value.</t>
        </r>
      </text>
    </comment>
    <comment ref="M11" authorId="0" shapeId="0" xr:uid="{00000000-0006-0000-0500-000021000000}">
      <text>
        <r>
          <rPr>
            <sz val="10"/>
            <color rgb="FF000000"/>
            <rFont val="Arial"/>
            <scheme val="minor"/>
          </rPr>
          <t>Responder updated this value.</t>
        </r>
      </text>
    </comment>
    <comment ref="N11" authorId="0" shapeId="0" xr:uid="{00000000-0006-0000-0500-000022000000}">
      <text>
        <r>
          <rPr>
            <sz val="10"/>
            <color rgb="FF000000"/>
            <rFont val="Arial"/>
            <scheme val="minor"/>
          </rPr>
          <t>Responder updated this value.</t>
        </r>
      </text>
    </comment>
    <comment ref="O11" authorId="0" shapeId="0" xr:uid="{00000000-0006-0000-0500-000023000000}">
      <text>
        <r>
          <rPr>
            <sz val="10"/>
            <color rgb="FF000000"/>
            <rFont val="Arial"/>
            <scheme val="minor"/>
          </rPr>
          <t>Responder updated this value.</t>
        </r>
      </text>
    </comment>
    <comment ref="P11" authorId="0" shapeId="0" xr:uid="{00000000-0006-0000-0500-000024000000}">
      <text>
        <r>
          <rPr>
            <sz val="10"/>
            <color rgb="FF000000"/>
            <rFont val="Arial"/>
            <scheme val="minor"/>
          </rPr>
          <t>Responder updated this value.</t>
        </r>
      </text>
    </comment>
    <comment ref="D12" authorId="0" shapeId="0" xr:uid="{00000000-0006-0000-0500-000025000000}">
      <text>
        <r>
          <rPr>
            <sz val="10"/>
            <color rgb="FF000000"/>
            <rFont val="Arial"/>
            <scheme val="minor"/>
          </rPr>
          <t>Responder updated this value.</t>
        </r>
      </text>
    </comment>
    <comment ref="K12" authorId="0" shapeId="0" xr:uid="{00000000-0006-0000-0500-000026000000}">
      <text>
        <r>
          <rPr>
            <sz val="10"/>
            <color rgb="FF000000"/>
            <rFont val="Arial"/>
            <scheme val="minor"/>
          </rPr>
          <t>Responder updated this value.</t>
        </r>
      </text>
    </comment>
    <comment ref="M12" authorId="0" shapeId="0" xr:uid="{00000000-0006-0000-0500-000027000000}">
      <text>
        <r>
          <rPr>
            <sz val="10"/>
            <color rgb="FF000000"/>
            <rFont val="Arial"/>
            <scheme val="minor"/>
          </rPr>
          <t>Responder updated this value.</t>
        </r>
      </text>
    </comment>
    <comment ref="O12" authorId="0" shapeId="0" xr:uid="{00000000-0006-0000-0500-000028000000}">
      <text>
        <r>
          <rPr>
            <sz val="10"/>
            <color rgb="FF000000"/>
            <rFont val="Arial"/>
            <scheme val="minor"/>
          </rPr>
          <t>Responder updated this value.</t>
        </r>
      </text>
    </comment>
    <comment ref="P12" authorId="0" shapeId="0" xr:uid="{00000000-0006-0000-0500-000029000000}">
      <text>
        <r>
          <rPr>
            <sz val="10"/>
            <color rgb="FF000000"/>
            <rFont val="Arial"/>
            <scheme val="minor"/>
          </rPr>
          <t>Responder updated this value.</t>
        </r>
      </text>
    </comment>
    <comment ref="D13" authorId="0" shapeId="0" xr:uid="{00000000-0006-0000-0500-00002A000000}">
      <text>
        <r>
          <rPr>
            <sz val="10"/>
            <color rgb="FF000000"/>
            <rFont val="Arial"/>
            <scheme val="minor"/>
          </rPr>
          <t>Responder updated this value.</t>
        </r>
      </text>
    </comment>
    <comment ref="J13" authorId="0" shapeId="0" xr:uid="{00000000-0006-0000-0500-00002B000000}">
      <text>
        <r>
          <rPr>
            <sz val="10"/>
            <color rgb="FF000000"/>
            <rFont val="Arial"/>
            <scheme val="minor"/>
          </rPr>
          <t>Responder updated this value.</t>
        </r>
      </text>
    </comment>
    <comment ref="O13" authorId="0" shapeId="0" xr:uid="{00000000-0006-0000-0500-00002C000000}">
      <text>
        <r>
          <rPr>
            <sz val="10"/>
            <color rgb="FF000000"/>
            <rFont val="Arial"/>
            <scheme val="minor"/>
          </rPr>
          <t>Responder updated this value.</t>
        </r>
      </text>
    </comment>
    <comment ref="D14" authorId="0" shapeId="0" xr:uid="{00000000-0006-0000-0500-00002D000000}">
      <text>
        <r>
          <rPr>
            <sz val="10"/>
            <color rgb="FF000000"/>
            <rFont val="Arial"/>
            <scheme val="minor"/>
          </rPr>
          <t>Responder updated this value.</t>
        </r>
      </text>
    </comment>
    <comment ref="D15" authorId="0" shapeId="0" xr:uid="{00000000-0006-0000-0500-00002E000000}">
      <text>
        <r>
          <rPr>
            <sz val="10"/>
            <color rgb="FF000000"/>
            <rFont val="Arial"/>
            <scheme val="minor"/>
          </rPr>
          <t>Responder updated this value.</t>
        </r>
      </text>
    </comment>
    <comment ref="K15" authorId="0" shapeId="0" xr:uid="{00000000-0006-0000-0500-00002F000000}">
      <text>
        <r>
          <rPr>
            <sz val="10"/>
            <color rgb="FF000000"/>
            <rFont val="Arial"/>
            <scheme val="minor"/>
          </rPr>
          <t>Responder updated this value.</t>
        </r>
      </text>
    </comment>
    <comment ref="M15" authorId="0" shapeId="0" xr:uid="{00000000-0006-0000-0500-000030000000}">
      <text>
        <r>
          <rPr>
            <sz val="10"/>
            <color rgb="FF000000"/>
            <rFont val="Arial"/>
            <scheme val="minor"/>
          </rPr>
          <t>Responder updated this value.</t>
        </r>
      </text>
    </comment>
    <comment ref="O15" authorId="0" shapeId="0" xr:uid="{00000000-0006-0000-0500-000031000000}">
      <text>
        <r>
          <rPr>
            <sz val="10"/>
            <color rgb="FF000000"/>
            <rFont val="Arial"/>
            <scheme val="minor"/>
          </rPr>
          <t>Responder updated this value.</t>
        </r>
      </text>
    </comment>
    <comment ref="P15" authorId="0" shapeId="0" xr:uid="{00000000-0006-0000-0500-000032000000}">
      <text>
        <r>
          <rPr>
            <sz val="10"/>
            <color rgb="FF000000"/>
            <rFont val="Arial"/>
            <scheme val="minor"/>
          </rPr>
          <t>Responder updated this value.</t>
        </r>
      </text>
    </comment>
    <comment ref="D16" authorId="0" shapeId="0" xr:uid="{00000000-0006-0000-0500-000033000000}">
      <text>
        <r>
          <rPr>
            <sz val="10"/>
            <color rgb="FF000000"/>
            <rFont val="Arial"/>
            <scheme val="minor"/>
          </rPr>
          <t>Responder updated this value.</t>
        </r>
      </text>
    </comment>
    <comment ref="K16" authorId="0" shapeId="0" xr:uid="{00000000-0006-0000-0500-000034000000}">
      <text>
        <r>
          <rPr>
            <sz val="10"/>
            <color rgb="FF000000"/>
            <rFont val="Arial"/>
            <scheme val="minor"/>
          </rPr>
          <t>Responder updated this value.</t>
        </r>
      </text>
    </comment>
    <comment ref="L16" authorId="0" shapeId="0" xr:uid="{00000000-0006-0000-0500-000035000000}">
      <text>
        <r>
          <rPr>
            <sz val="10"/>
            <color rgb="FF000000"/>
            <rFont val="Arial"/>
            <scheme val="minor"/>
          </rPr>
          <t>Responder updated this value.</t>
        </r>
      </text>
    </comment>
    <comment ref="M16" authorId="0" shapeId="0" xr:uid="{00000000-0006-0000-0500-000036000000}">
      <text>
        <r>
          <rPr>
            <sz val="10"/>
            <color rgb="FF000000"/>
            <rFont val="Arial"/>
            <scheme val="minor"/>
          </rPr>
          <t>Responder updated this value.</t>
        </r>
      </text>
    </comment>
    <comment ref="N16" authorId="0" shapeId="0" xr:uid="{00000000-0006-0000-0500-000037000000}">
      <text>
        <r>
          <rPr>
            <sz val="10"/>
            <color rgb="FF000000"/>
            <rFont val="Arial"/>
            <scheme val="minor"/>
          </rPr>
          <t>Responder updated this value.</t>
        </r>
      </text>
    </comment>
    <comment ref="O16" authorId="0" shapeId="0" xr:uid="{00000000-0006-0000-0500-000038000000}">
      <text>
        <r>
          <rPr>
            <sz val="10"/>
            <color rgb="FF000000"/>
            <rFont val="Arial"/>
            <scheme val="minor"/>
          </rPr>
          <t>Responder updated this value.</t>
        </r>
      </text>
    </comment>
    <comment ref="P16" authorId="0" shapeId="0" xr:uid="{00000000-0006-0000-0500-000039000000}">
      <text>
        <r>
          <rPr>
            <sz val="10"/>
            <color rgb="FF000000"/>
            <rFont val="Arial"/>
            <scheme val="minor"/>
          </rPr>
          <t>Responder updated this value.</t>
        </r>
      </text>
    </comment>
    <comment ref="D17" authorId="0" shapeId="0" xr:uid="{00000000-0006-0000-0500-00003A000000}">
      <text>
        <r>
          <rPr>
            <sz val="10"/>
            <color rgb="FF000000"/>
            <rFont val="Arial"/>
            <scheme val="minor"/>
          </rPr>
          <t>Responder updated this value.</t>
        </r>
      </text>
    </comment>
    <comment ref="H17" authorId="0" shapeId="0" xr:uid="{00000000-0006-0000-0500-00003B000000}">
      <text>
        <r>
          <rPr>
            <sz val="10"/>
            <color rgb="FF000000"/>
            <rFont val="Arial"/>
            <scheme val="minor"/>
          </rPr>
          <t>Responder updated this value.</t>
        </r>
      </text>
    </comment>
    <comment ref="L17" authorId="0" shapeId="0" xr:uid="{00000000-0006-0000-0500-00003C000000}">
      <text>
        <r>
          <rPr>
            <sz val="10"/>
            <color rgb="FF000000"/>
            <rFont val="Arial"/>
            <scheme val="minor"/>
          </rPr>
          <t>Responder updated this value.</t>
        </r>
      </text>
    </comment>
    <comment ref="M17" authorId="0" shapeId="0" xr:uid="{00000000-0006-0000-0500-00003D000000}">
      <text>
        <r>
          <rPr>
            <sz val="10"/>
            <color rgb="FF000000"/>
            <rFont val="Arial"/>
            <scheme val="minor"/>
          </rPr>
          <t>Responder updated this value.</t>
        </r>
      </text>
    </comment>
    <comment ref="N17" authorId="0" shapeId="0" xr:uid="{00000000-0006-0000-0500-00003E000000}">
      <text>
        <r>
          <rPr>
            <sz val="10"/>
            <color rgb="FF000000"/>
            <rFont val="Arial"/>
            <scheme val="minor"/>
          </rPr>
          <t>Responder updated this value.</t>
        </r>
      </text>
    </comment>
    <comment ref="O17" authorId="0" shapeId="0" xr:uid="{00000000-0006-0000-0500-00003F000000}">
      <text>
        <r>
          <rPr>
            <sz val="10"/>
            <color rgb="FF000000"/>
            <rFont val="Arial"/>
            <scheme val="minor"/>
          </rPr>
          <t>Responder updated this value.</t>
        </r>
      </text>
    </comment>
    <comment ref="P17" authorId="0" shapeId="0" xr:uid="{00000000-0006-0000-0500-000040000000}">
      <text>
        <r>
          <rPr>
            <sz val="10"/>
            <color rgb="FF000000"/>
            <rFont val="Arial"/>
            <scheme val="minor"/>
          </rPr>
          <t>Responder updated this value.</t>
        </r>
      </text>
    </comment>
    <comment ref="D18" authorId="0" shapeId="0" xr:uid="{00000000-0006-0000-0500-000041000000}">
      <text>
        <r>
          <rPr>
            <sz val="10"/>
            <color rgb="FF000000"/>
            <rFont val="Arial"/>
            <scheme val="minor"/>
          </rPr>
          <t>Responder updated this value.</t>
        </r>
      </text>
    </comment>
    <comment ref="H18" authorId="0" shapeId="0" xr:uid="{00000000-0006-0000-0500-000042000000}">
      <text>
        <r>
          <rPr>
            <sz val="10"/>
            <color rgb="FF000000"/>
            <rFont val="Arial"/>
            <scheme val="minor"/>
          </rPr>
          <t>Responder updated this value.</t>
        </r>
      </text>
    </comment>
    <comment ref="N18" authorId="0" shapeId="0" xr:uid="{00000000-0006-0000-0500-000043000000}">
      <text>
        <r>
          <rPr>
            <sz val="10"/>
            <color rgb="FF000000"/>
            <rFont val="Arial"/>
            <scheme val="minor"/>
          </rPr>
          <t>Responder updated this value.</t>
        </r>
      </text>
    </comment>
    <comment ref="O18" authorId="0" shapeId="0" xr:uid="{00000000-0006-0000-0500-000044000000}">
      <text>
        <r>
          <rPr>
            <sz val="10"/>
            <color rgb="FF000000"/>
            <rFont val="Arial"/>
            <scheme val="minor"/>
          </rPr>
          <t>Responder updated this value.</t>
        </r>
      </text>
    </comment>
  </commentList>
</comments>
</file>

<file path=xl/sharedStrings.xml><?xml version="1.0" encoding="utf-8"?>
<sst xmlns="http://schemas.openxmlformats.org/spreadsheetml/2006/main" count="5269" uniqueCount="927">
  <si>
    <t>Unit</t>
  </si>
  <si>
    <t>Calling</t>
  </si>
  <si>
    <t>Charlotte</t>
  </si>
  <si>
    <t>YSA</t>
  </si>
  <si>
    <t>Holt</t>
  </si>
  <si>
    <t>Jackson</t>
  </si>
  <si>
    <t>Lansing</t>
  </si>
  <si>
    <t>Owosso</t>
  </si>
  <si>
    <t>Portland</t>
  </si>
  <si>
    <t>St Johns</t>
  </si>
  <si>
    <t>Williamston</t>
  </si>
  <si>
    <t>Stake Relief Society 2nd Counselor</t>
  </si>
  <si>
    <t>Complete</t>
  </si>
  <si>
    <t>Holly Hickman</t>
  </si>
  <si>
    <t>Curtis Ferrin</t>
  </si>
  <si>
    <t>Stephanie Farero</t>
  </si>
  <si>
    <t>Brandon Howard</t>
  </si>
  <si>
    <t>Stake YM Secretary</t>
  </si>
  <si>
    <t>Stake Primary 2nd Counselor</t>
  </si>
  <si>
    <t>Kirsten Rawson</t>
  </si>
  <si>
    <t>Stake High Councilor</t>
  </si>
  <si>
    <t>David Hall</t>
  </si>
  <si>
    <t>Stake Single Adult Representative</t>
  </si>
  <si>
    <t>Seminary Teacher</t>
  </si>
  <si>
    <t>Bonnie Robison</t>
  </si>
  <si>
    <t>Stake Primary Secretary</t>
  </si>
  <si>
    <t>Karen Fitch</t>
  </si>
  <si>
    <t>Calvin Vos</t>
  </si>
  <si>
    <t>Allen Scheck</t>
  </si>
  <si>
    <t>Chris Hilgendorf</t>
  </si>
  <si>
    <t>Stake Executive Secretary</t>
  </si>
  <si>
    <t>Callings / Releases</t>
  </si>
  <si>
    <t>Ordinations</t>
  </si>
  <si>
    <t>Step</t>
  </si>
  <si>
    <t>Who</t>
  </si>
  <si>
    <t>Callings Releases Instructions</t>
  </si>
  <si>
    <t>Ordination Instructions</t>
  </si>
  <si>
    <t>Enter New Calling</t>
  </si>
  <si>
    <t>Stake Clerk</t>
  </si>
  <si>
    <r>
      <rPr>
        <u/>
        <sz val="10"/>
        <color theme="1"/>
        <rFont val="Arial"/>
      </rPr>
      <t xml:space="preserve">Callings Releases tab
</t>
    </r>
    <r>
      <rPr>
        <sz val="10"/>
        <color theme="1"/>
        <rFont val="Arial"/>
      </rPr>
      <t xml:space="preserve">- Click "Enter New Calling" ... this launches the Callings Releases Form (google form)
</t>
    </r>
    <r>
      <rPr>
        <u/>
        <sz val="10"/>
        <color theme="1"/>
        <rFont val="Arial"/>
      </rPr>
      <t>Google Form</t>
    </r>
    <r>
      <rPr>
        <sz val="10"/>
        <color theme="1"/>
        <rFont val="Arial"/>
      </rPr>
      <t xml:space="preserve">
- Fill in Member and Calling Info
- Submit the Form
- Capture "Edit Response" link (on google form or in the confirmation email)
</t>
    </r>
    <r>
      <rPr>
        <u/>
        <sz val="10"/>
        <color theme="1"/>
        <rFont val="Arial"/>
      </rPr>
      <t>Callings Releases tab</t>
    </r>
    <r>
      <rPr>
        <sz val="10"/>
        <color theme="1"/>
        <rFont val="Arial"/>
      </rPr>
      <t xml:space="preserve">
-  Paste "Edit Response" link in the first column of the new record. </t>
    </r>
    <r>
      <rPr>
        <sz val="10"/>
        <color rgb="FFFF0000"/>
        <rFont val="Arial"/>
      </rPr>
      <t>This link will be used throughout the rest of the process.</t>
    </r>
  </si>
  <si>
    <t>Enter New Ordination</t>
  </si>
  <si>
    <r>
      <rPr>
        <u/>
        <sz val="10"/>
        <color theme="1"/>
        <rFont val="Arial"/>
      </rPr>
      <t xml:space="preserve">Ordinations tab
</t>
    </r>
    <r>
      <rPr>
        <sz val="10"/>
        <color theme="1"/>
        <rFont val="Arial"/>
      </rPr>
      <t xml:space="preserve">- Click "Enter New Ordination" ... this launches the Ordination Form (google form)
</t>
    </r>
    <r>
      <rPr>
        <u/>
        <sz val="10"/>
        <color theme="1"/>
        <rFont val="Arial"/>
      </rPr>
      <t>Google Form</t>
    </r>
    <r>
      <rPr>
        <sz val="10"/>
        <color theme="1"/>
        <rFont val="Arial"/>
      </rPr>
      <t xml:space="preserve">
- Fill in Member and Ordination Info
- Submit the Form
- Capture "Edit Response" link (on google form or in the confirmation email)
</t>
    </r>
    <r>
      <rPr>
        <u/>
        <sz val="10"/>
        <color theme="1"/>
        <rFont val="Arial"/>
      </rPr>
      <t>Callings Releases tab</t>
    </r>
    <r>
      <rPr>
        <sz val="10"/>
        <color theme="1"/>
        <rFont val="Arial"/>
      </rPr>
      <t xml:space="preserve">
-  Paste "Edit Response" link in the first column of the new record. </t>
    </r>
    <r>
      <rPr>
        <sz val="10"/>
        <color rgb="FFFF0000"/>
        <rFont val="Arial"/>
      </rPr>
      <t>This link will be used throughout the rest of the process.</t>
    </r>
  </si>
  <si>
    <t>Submit for Approval (Step 1)</t>
  </si>
  <si>
    <r>
      <rPr>
        <u/>
        <sz val="10"/>
        <color theme="1"/>
        <rFont val="Arial"/>
      </rPr>
      <t>Google Form</t>
    </r>
    <r>
      <rPr>
        <sz val="10"/>
        <color theme="1"/>
        <rFont val="Arial"/>
      </rPr>
      <t xml:space="preserve">
- Record </t>
    </r>
    <r>
      <rPr>
        <b/>
        <sz val="10"/>
        <color theme="1"/>
        <rFont val="Arial"/>
      </rPr>
      <t xml:space="preserve">Stake Presidency Approval Date
</t>
    </r>
    <r>
      <rPr>
        <sz val="10"/>
        <color theme="1"/>
        <rFont val="Arial"/>
      </rPr>
      <t xml:space="preserve">- Record the </t>
    </r>
    <r>
      <rPr>
        <b/>
        <sz val="10"/>
        <color theme="1"/>
        <rFont val="Arial"/>
      </rPr>
      <t xml:space="preserve">Unit Leader Contacted Date
</t>
    </r>
    <r>
      <rPr>
        <sz val="10"/>
        <color theme="1"/>
        <rFont val="Arial"/>
      </rPr>
      <t xml:space="preserve">
Add Approval Request to </t>
    </r>
    <r>
      <rPr>
        <b/>
        <sz val="10"/>
        <color theme="1"/>
        <rFont val="Arial"/>
      </rPr>
      <t>High Council Meeting Agenda</t>
    </r>
    <r>
      <rPr>
        <sz val="10"/>
        <color theme="1"/>
        <rFont val="Arial"/>
      </rPr>
      <t xml:space="preserve"> 
- or - 
</t>
    </r>
    <r>
      <rPr>
        <b/>
        <sz val="10"/>
        <color theme="1"/>
        <rFont val="Arial"/>
      </rPr>
      <t>Email remote approval request</t>
    </r>
    <r>
      <rPr>
        <sz val="10"/>
        <color theme="1"/>
        <rFont val="Arial"/>
      </rPr>
      <t xml:space="preserve"> with link to google form
</t>
    </r>
    <r>
      <rPr>
        <u/>
        <sz val="10"/>
        <color theme="1"/>
        <rFont val="Arial"/>
      </rPr>
      <t xml:space="preserve">Google Form
</t>
    </r>
    <r>
      <rPr>
        <sz val="10"/>
        <color theme="1"/>
        <rFont val="Arial"/>
      </rPr>
      <t xml:space="preserve">- Record </t>
    </r>
    <r>
      <rPr>
        <b/>
        <sz val="10"/>
        <color theme="1"/>
        <rFont val="Arial"/>
      </rPr>
      <t>High Council Approved Date</t>
    </r>
    <r>
      <rPr>
        <sz val="10"/>
        <color theme="1"/>
        <rFont val="Arial"/>
      </rPr>
      <t xml:space="preserve"> in google form
- Change </t>
    </r>
    <r>
      <rPr>
        <b/>
        <sz val="10"/>
        <color theme="1"/>
        <rFont val="Arial"/>
      </rPr>
      <t>Ready to Extend Calling?</t>
    </r>
    <r>
      <rPr>
        <sz val="10"/>
        <color theme="1"/>
        <rFont val="Arial"/>
      </rPr>
      <t xml:space="preserve">" to "Yes" 
... move to next section
</t>
    </r>
  </si>
  <si>
    <t>Interview with Stake President</t>
  </si>
  <si>
    <t>Stake Exe Secretary</t>
  </si>
  <si>
    <t>Assign Call / Release (Step 2)</t>
  </si>
  <si>
    <r>
      <rPr>
        <u/>
        <sz val="10"/>
        <color theme="1"/>
        <rFont val="Arial"/>
      </rPr>
      <t>Google Form</t>
    </r>
    <r>
      <rPr>
        <sz val="10"/>
        <color theme="1"/>
        <rFont val="Arial"/>
      </rPr>
      <t xml:space="preserve">
- Record who has been assigned to extend calling and release
- Record who is being released and their unit
</t>
    </r>
    <r>
      <rPr>
        <u/>
        <sz val="10"/>
        <color theme="1"/>
        <rFont val="Arial"/>
      </rPr>
      <t>Email</t>
    </r>
    <r>
      <rPr>
        <sz val="10"/>
        <color theme="1"/>
        <rFont val="Arial"/>
      </rPr>
      <t xml:space="preserve">
- Notify stake member assigned (send link to google form)</t>
    </r>
  </si>
  <si>
    <t>HC Approval</t>
  </si>
  <si>
    <t>Call / Release (Step 2)</t>
  </si>
  <si>
    <t>Assigned Stake Rep</t>
  </si>
  <si>
    <r>
      <rPr>
        <u/>
        <sz val="10"/>
        <color theme="1"/>
        <rFont val="Arial"/>
      </rPr>
      <t>Google Form</t>
    </r>
    <r>
      <rPr>
        <sz val="10"/>
        <color theme="1"/>
        <rFont val="Arial"/>
      </rPr>
      <t xml:space="preserve">
- Fill in the results of the extended calling / release and remaining items in Step 2
- Click Submit</t>
    </r>
  </si>
  <si>
    <t>Sustain / Ordain</t>
  </si>
  <si>
    <t>Sustain / Set Apart (Step 3)</t>
  </si>
  <si>
    <r>
      <rPr>
        <u/>
        <sz val="10"/>
        <color theme="1"/>
        <rFont val="Arial"/>
      </rPr>
      <t>Google Form</t>
    </r>
    <r>
      <rPr>
        <sz val="10"/>
        <color theme="1"/>
        <rFont val="Arial"/>
      </rPr>
      <t xml:space="preserve">
- Record Sustain Date
- Record Set Apart Date, Set Apart By
</t>
    </r>
  </si>
  <si>
    <t>Certificate</t>
  </si>
  <si>
    <r>
      <rPr>
        <u/>
        <sz val="10"/>
        <color theme="1"/>
        <rFont val="Arial"/>
      </rPr>
      <t>Update LCR
Google Form</t>
    </r>
    <r>
      <rPr>
        <sz val="10"/>
        <color theme="1"/>
        <rFont val="Arial"/>
      </rPr>
      <t xml:space="preserve">
- Change </t>
    </r>
    <r>
      <rPr>
        <b/>
        <sz val="10"/>
        <color theme="1"/>
        <rFont val="Arial"/>
      </rPr>
      <t>LCR Updated?</t>
    </r>
    <r>
      <rPr>
        <sz val="10"/>
        <color theme="1"/>
        <rFont val="Arial"/>
      </rPr>
      <t xml:space="preserve"> to "Yes"
- Update </t>
    </r>
    <r>
      <rPr>
        <b/>
        <sz val="10"/>
        <color theme="1"/>
        <rFont val="Arial"/>
      </rPr>
      <t>Ready for Training</t>
    </r>
    <r>
      <rPr>
        <sz val="10"/>
        <color theme="1"/>
        <rFont val="Arial"/>
      </rPr>
      <t xml:space="preserve"> Question
- Assign Trainer in Step 4</t>
    </r>
  </si>
  <si>
    <t>Training (Step 4)</t>
  </si>
  <si>
    <r>
      <rPr>
        <sz val="10"/>
        <color theme="1"/>
        <rFont val="Arial"/>
      </rPr>
      <t xml:space="preserve">Complete Training
</t>
    </r>
    <r>
      <rPr>
        <u/>
        <sz val="10"/>
        <color theme="1"/>
        <rFont val="Arial"/>
      </rPr>
      <t xml:space="preserve">Google Form
</t>
    </r>
    <r>
      <rPr>
        <sz val="10"/>
        <color theme="1"/>
        <rFont val="Arial"/>
      </rPr>
      <t>- Update Training questions</t>
    </r>
  </si>
  <si>
    <t>Callings / Releasings</t>
  </si>
  <si>
    <t>View Unit Sustainings</t>
  </si>
  <si>
    <t>High Council Approvals</t>
  </si>
  <si>
    <t>Releasing</t>
  </si>
  <si>
    <t>Calling (continued)</t>
  </si>
  <si>
    <t>Training</t>
  </si>
  <si>
    <t>Link to Edit</t>
  </si>
  <si>
    <t>Timestamp</t>
  </si>
  <si>
    <t>Email Address</t>
  </si>
  <si>
    <t>Current Step</t>
  </si>
  <si>
    <t>Member Name</t>
  </si>
  <si>
    <t>Current Calling</t>
  </si>
  <si>
    <t>Need to be Released</t>
  </si>
  <si>
    <t>Recommended By</t>
  </si>
  <si>
    <t>Notes</t>
  </si>
  <si>
    <t>Stake Presidency Date Approved</t>
  </si>
  <si>
    <t>Unit Leader Date Contacted</t>
  </si>
  <si>
    <t>High Council Approval Date</t>
  </si>
  <si>
    <t>Approval [Beam]</t>
  </si>
  <si>
    <t>Approval [Bills]</t>
  </si>
  <si>
    <t>Approval [Joseph]</t>
  </si>
  <si>
    <t>Approval [McCrary]</t>
  </si>
  <si>
    <t>Approval [Doty]</t>
  </si>
  <si>
    <t>Approval [Murdock]</t>
  </si>
  <si>
    <t>Approval [Nelson]</t>
  </si>
  <si>
    <t>Approval [Conn]</t>
  </si>
  <si>
    <t>Approval [Schafer]</t>
  </si>
  <si>
    <t>Approval [B. Thorpe]</t>
  </si>
  <si>
    <t>Approval [D. Thorpe]</t>
  </si>
  <si>
    <t>Approval [Ward]</t>
  </si>
  <si>
    <t>Approvals</t>
  </si>
  <si>
    <t>Votes Against</t>
  </si>
  <si>
    <t>Ready to Extend Calling?</t>
  </si>
  <si>
    <t>Assigned to Extend Calling / Release</t>
  </si>
  <si>
    <t>Calling Accepted?</t>
  </si>
  <si>
    <t>Member to Release</t>
  </si>
  <si>
    <t>Notified of Release?</t>
  </si>
  <si>
    <t>Key Returned?</t>
  </si>
  <si>
    <t>Removed from Google Drive and Calendar Invites?</t>
  </si>
  <si>
    <t>Ready for Sustaining / Setting Apart?</t>
  </si>
  <si>
    <t>Over the Pulpit Sustaining</t>
  </si>
  <si>
    <t>Date Sustained</t>
  </si>
  <si>
    <t>Date Set Apart</t>
  </si>
  <si>
    <t>Set Apart By</t>
  </si>
  <si>
    <t>LCR Updated?</t>
  </si>
  <si>
    <t>Ready for Training?</t>
  </si>
  <si>
    <t>Assigned Trainer</t>
  </si>
  <si>
    <t>Key Provided?</t>
  </si>
  <si>
    <t>Added to Google Drive and Calendar Invites?</t>
  </si>
  <si>
    <t>Training Provided?</t>
  </si>
  <si>
    <t>Hyperlink</t>
  </si>
  <si>
    <t>Ken Bills - High Council</t>
  </si>
  <si>
    <t>lansingstake@gmail.com</t>
  </si>
  <si>
    <t>Ken Bills</t>
  </si>
  <si>
    <t>None</t>
  </si>
  <si>
    <t>No</t>
  </si>
  <si>
    <t>President Rawson</t>
  </si>
  <si>
    <t>Yes</t>
  </si>
  <si>
    <t>Earl</t>
  </si>
  <si>
    <t>Accepted</t>
  </si>
  <si>
    <t>Nick Warren</t>
  </si>
  <si>
    <t>Bro Swejkoski</t>
  </si>
  <si>
    <t>Mark Bell - High Council</t>
  </si>
  <si>
    <t>Mark Bell</t>
  </si>
  <si>
    <t>Stake High Councilor - YM 2nd Counselor</t>
  </si>
  <si>
    <t>Ward Primary Teacher - Activity Days</t>
  </si>
  <si>
    <t>Talk to Bishop Prosser. Must be Ordained as High Priest</t>
  </si>
  <si>
    <t>Pierce</t>
  </si>
  <si>
    <t>Landon Bartlett</t>
  </si>
  <si>
    <t>Brother Coutu</t>
  </si>
  <si>
    <t>Ian McCrary - High Council</t>
  </si>
  <si>
    <t>Ian McCrary</t>
  </si>
  <si>
    <t>Sunday School Teacher</t>
  </si>
  <si>
    <t>Pres Earl</t>
  </si>
  <si>
    <t>Conan Heiselt - Stake Technology Specialist</t>
  </si>
  <si>
    <t>Conan Heiselt</t>
  </si>
  <si>
    <t>Stake Technology Specialist</t>
  </si>
  <si>
    <t>Primary Teacher</t>
  </si>
  <si>
    <t>President Pierce</t>
  </si>
  <si>
    <t>Currently Waiting to be set apart.</t>
  </si>
  <si>
    <t>N/A</t>
  </si>
  <si>
    <t>Tyler Morton - Asst Clerk - Finance</t>
  </si>
  <si>
    <t>usgowen@gmail.com</t>
  </si>
  <si>
    <t>Tyler Morton</t>
  </si>
  <si>
    <t>Ward Asst Clerk - Finance</t>
  </si>
  <si>
    <t>EQP Secretary</t>
  </si>
  <si>
    <t>Bishop Taylor</t>
  </si>
  <si>
    <t>as of 10/13/24, Bro Morton is going to be released from this calling.</t>
  </si>
  <si>
    <t>McCrary</t>
  </si>
  <si>
    <t>Daniel Corbett</t>
  </si>
  <si>
    <t>George Owen</t>
  </si>
  <si>
    <t xml:space="preserve">Earl Ruhf - Asst Clerk Membership </t>
  </si>
  <si>
    <t>Earl Ruhf</t>
  </si>
  <si>
    <t>Assistant Ward Clerk - Membership</t>
  </si>
  <si>
    <t>self reliance instructor</t>
  </si>
  <si>
    <t>Barry Fagan - EQ President</t>
  </si>
  <si>
    <t>Barry Fagan</t>
  </si>
  <si>
    <t>Elders Quorum President</t>
  </si>
  <si>
    <t>EQ presidency 2nd Counselor</t>
  </si>
  <si>
    <t>Bishop Blackmer</t>
  </si>
  <si>
    <t>Rawson</t>
  </si>
  <si>
    <t>Fred Brown</t>
  </si>
  <si>
    <t>President David Rawson</t>
  </si>
  <si>
    <t>Ernie Rivers</t>
  </si>
  <si>
    <t>Landon Bartlett - EQP 2nd Counselor</t>
  </si>
  <si>
    <t>Elders Quorum Presidency 2nd Counselor</t>
  </si>
  <si>
    <t>Stake High Councilor and Stake YM Presidency 2nd Counselor, Stake Auditor</t>
  </si>
  <si>
    <t>Derek Thorpe</t>
  </si>
  <si>
    <t>Bills</t>
  </si>
  <si>
    <t>Brett Thorpe</t>
  </si>
  <si>
    <t>Don Ward - Stake Asst Clerk - Finance</t>
  </si>
  <si>
    <t>Don Ward</t>
  </si>
  <si>
    <t>Asst. Stake Clerk - Finance</t>
  </si>
  <si>
    <t>Stake Auditor, Clothing distribution coordinator</t>
  </si>
  <si>
    <t>Doug Neil</t>
  </si>
  <si>
    <t>Brent Nostrant - EQP 1st Counselor</t>
  </si>
  <si>
    <t>Brent Nostrant</t>
  </si>
  <si>
    <t>EQ Presidency - 1st Counselor</t>
  </si>
  <si>
    <t>EQP 2nd Counselor</t>
  </si>
  <si>
    <t>Bruce Weber</t>
  </si>
  <si>
    <t>Solomon</t>
  </si>
  <si>
    <t>Joe Reed?  Tools shows no current 1st C EQP</t>
  </si>
  <si>
    <t>Don Solomon</t>
  </si>
  <si>
    <t>Dallas Burdick - St Johns Branch President</t>
  </si>
  <si>
    <t>Dallas Burdick</t>
  </si>
  <si>
    <t>Branch President</t>
  </si>
  <si>
    <t>Branch Presidency 1st Counselor</t>
  </si>
  <si>
    <t>Stake presidency</t>
  </si>
  <si>
    <t>President Mark Joseph</t>
  </si>
  <si>
    <t>Harrison Douglas - YSA Exec Sec</t>
  </si>
  <si>
    <t>Harrison Douglas</t>
  </si>
  <si>
    <t>Ward Executive Secretary</t>
  </si>
  <si>
    <t>Bishop Sybrowsky</t>
  </si>
  <si>
    <t>Rinner</t>
  </si>
  <si>
    <t>McKay Anderson</t>
  </si>
  <si>
    <t>Dennis Rinner</t>
  </si>
  <si>
    <t>Chris Hilgendorf - Stake Exe Secretary</t>
  </si>
  <si>
    <t>Jack Gaskill - Charlotte Asst Br Clerk</t>
  </si>
  <si>
    <t>Jack Gaskill</t>
  </si>
  <si>
    <t>Charlotte Assistant Branch Clerk</t>
  </si>
  <si>
    <t>none</t>
  </si>
  <si>
    <t>Pres Emfield</t>
  </si>
  <si>
    <t>Bro Eschtruth really needs to train a replacement</t>
  </si>
  <si>
    <t>Swejkoski</t>
  </si>
  <si>
    <t>Don Swejkoski</t>
  </si>
  <si>
    <t>Barry Godwin - Stake SA Rep</t>
  </si>
  <si>
    <t>Barry Godwin</t>
  </si>
  <si>
    <t>ward SA rep (defunct calling)</t>
  </si>
  <si>
    <t>Bishop Jeffery</t>
  </si>
  <si>
    <t>was called incorrectly as a ward SA rep.  Now changing to be a stake SA rep</t>
  </si>
  <si>
    <t>??</t>
  </si>
  <si>
    <t>Brian Collier - Branch Clerk</t>
  </si>
  <si>
    <t>Brian Collier</t>
  </si>
  <si>
    <t>Branch Clerk</t>
  </si>
  <si>
    <t>EQ Secretary</t>
  </si>
  <si>
    <t>President Call</t>
  </si>
  <si>
    <t>training appt scheduled for 10/.20 @ 2 PM</t>
  </si>
  <si>
    <t>Doty</t>
  </si>
  <si>
    <t>Bro Steven A Doty</t>
  </si>
  <si>
    <t>Ken Brown - Ward Clerk</t>
  </si>
  <si>
    <t>Ken Brown</t>
  </si>
  <si>
    <t>Ward Clerk</t>
  </si>
  <si>
    <t>Bishop Lewis</t>
  </si>
  <si>
    <t>Clerk training meeting is scheduled for 10/20/24 @ 3 PM</t>
  </si>
  <si>
    <t>Coutu</t>
  </si>
  <si>
    <t>Brendan Coutu</t>
  </si>
  <si>
    <t>Matt Donnellon - Asst Clerk - Finance</t>
  </si>
  <si>
    <t>Matthew Donnellon</t>
  </si>
  <si>
    <t>Asst Ward Clerk - Finance</t>
  </si>
  <si>
    <t>Ward Missionary</t>
  </si>
  <si>
    <t>Ray Pacholek</t>
  </si>
  <si>
    <t>William Tombs - Asst Ward Clerk</t>
  </si>
  <si>
    <t>William Tombs</t>
  </si>
  <si>
    <t>Assistant Ward Clerk</t>
  </si>
  <si>
    <t>-</t>
  </si>
  <si>
    <t>N/a</t>
  </si>
  <si>
    <t xml:space="preserve">Brother McCrary </t>
  </si>
  <si>
    <t>Joseph Trombley - EQP 1st Counselor</t>
  </si>
  <si>
    <t>Joseph Trombley</t>
  </si>
  <si>
    <t>EQ Presidency 1st Counselor</t>
  </si>
  <si>
    <t xml:space="preserve">Bro Fagen </t>
  </si>
  <si>
    <t>Declined</t>
  </si>
  <si>
    <t>Christopher Nye  - St Johns  BP 1st Counselor</t>
  </si>
  <si>
    <t>Christopher Nye</t>
  </si>
  <si>
    <t>Branch SS President</t>
  </si>
  <si>
    <t>TBD</t>
  </si>
  <si>
    <t>Daniel Earl</t>
  </si>
  <si>
    <t>stake presidency</t>
  </si>
  <si>
    <t>Taylor Smith - Asst Clerk - Finance</t>
  </si>
  <si>
    <t>Taylor Smith</t>
  </si>
  <si>
    <t>Asst. Ward Clerk - Finance</t>
  </si>
  <si>
    <t>George Owen / Don Ward</t>
  </si>
  <si>
    <t>Sue Zimmerlee - Stake TFH consultant</t>
  </si>
  <si>
    <t>Sue Zimmerlee</t>
  </si>
  <si>
    <t>Stake Temple and Family History Consultant</t>
  </si>
  <si>
    <t>Cassie Quarnberg</t>
  </si>
  <si>
    <t>Lewis</t>
  </si>
  <si>
    <t>Bro Lewis</t>
  </si>
  <si>
    <t>Brit Fathi - Stake TFH Consultant</t>
  </si>
  <si>
    <t>Brit Fathi</t>
  </si>
  <si>
    <t>Comm. Council Asst Director, SS and RS teacher</t>
  </si>
  <si>
    <t>Teri Bell - Stake TFH Consultant</t>
  </si>
  <si>
    <t>Teri Bell</t>
  </si>
  <si>
    <t>Rick Pardee - EQP 1st Counselor</t>
  </si>
  <si>
    <t>Rick Pardee</t>
  </si>
  <si>
    <t>EQP 1st Counselor</t>
  </si>
  <si>
    <t>Calling was declined</t>
  </si>
  <si>
    <t>Travis Sybrowsky - Stake Seminary Teacher</t>
  </si>
  <si>
    <t>Travis Sybrowsky</t>
  </si>
  <si>
    <t>Stake Seminary Teacher</t>
  </si>
  <si>
    <t>YSA Ward Bishop</t>
  </si>
  <si>
    <t>self</t>
  </si>
  <si>
    <t>Bishop Sybrowsky has asked permission to be his grandson's seminary teacher</t>
  </si>
  <si>
    <t>Bro Gentile</t>
  </si>
  <si>
    <t>Laura Lucci - Stake Seminary Teacher</t>
  </si>
  <si>
    <t>Laura Lucci</t>
  </si>
  <si>
    <t>Branch YW First Counselor</t>
  </si>
  <si>
    <t>President Earl</t>
  </si>
  <si>
    <t>Matthew Pace - St Johns BP 2nd Counselor</t>
  </si>
  <si>
    <t>Matthew Pace</t>
  </si>
  <si>
    <t>Branch Presidency 2nd Counselor</t>
  </si>
  <si>
    <t>Church Service ARP Missionary, Priest Quorum Advisor</t>
  </si>
  <si>
    <t>Lowell Conklin</t>
  </si>
  <si>
    <t>Stake Presidency</t>
  </si>
  <si>
    <t>Sylvina Taylor - Stake BYU Pathway specialist</t>
  </si>
  <si>
    <t>Sylvina Taylor</t>
  </si>
  <si>
    <t>Stake BYU Pathway Specialist</t>
  </si>
  <si>
    <t>Ward Primary 1st Counselor</t>
  </si>
  <si>
    <t>Pres Rawson</t>
  </si>
  <si>
    <t>Learning as they go</t>
  </si>
  <si>
    <t>Noah Wood - EQP 1st Counselor</t>
  </si>
  <si>
    <t>Noah Wood</t>
  </si>
  <si>
    <t>Elders Quorum Presidency 1st Counselor</t>
  </si>
  <si>
    <t>None-</t>
  </si>
  <si>
    <t>President Erekson</t>
  </si>
  <si>
    <t>Robert Conner</t>
  </si>
  <si>
    <t>Bob Saterelli - EQP 2nd Counselor</t>
  </si>
  <si>
    <t>Bob Saterelli</t>
  </si>
  <si>
    <t>Bruce Crews</t>
  </si>
  <si>
    <t>Steven Wright - EQP 2nd Coun.</t>
  </si>
  <si>
    <t>Steven Wright</t>
  </si>
  <si>
    <t>President Jones</t>
  </si>
  <si>
    <t>Bro Rinner</t>
  </si>
  <si>
    <t>Eric Royal - St Johns Branch Exec Secretary</t>
  </si>
  <si>
    <t>Eric Royal</t>
  </si>
  <si>
    <t>Executive Secretary</t>
  </si>
  <si>
    <t>Jacob Kirkham</t>
  </si>
  <si>
    <t>Whitney Kirkham - Stake YW Asst Camp Dir</t>
  </si>
  <si>
    <t>Whitney Kirkham</t>
  </si>
  <si>
    <t>Stake Young Women Assistant Camp Director</t>
  </si>
  <si>
    <t>SS Teacher, Primary Activities Leader</t>
  </si>
  <si>
    <t>Sis Stump</t>
  </si>
  <si>
    <t>Stephanie Prosser</t>
  </si>
  <si>
    <t>Sister Gentile</t>
  </si>
  <si>
    <t>Skyler Roper - Portland Branch Presidency 2nd Counselor</t>
  </si>
  <si>
    <t>Skyler Roper</t>
  </si>
  <si>
    <t>Branch Executive Secretary</t>
  </si>
  <si>
    <t xml:space="preserve">Brother Robert Lindsay </t>
  </si>
  <si>
    <t>Steve Doty/Mike Beam</t>
  </si>
  <si>
    <t>Israel Sheber - Porland Branch Exec. Secretary</t>
  </si>
  <si>
    <t>Israel Sheber</t>
  </si>
  <si>
    <t>Primary Teacher, Self Reliance Group Coord</t>
  </si>
  <si>
    <t>Israel serves in the military</t>
  </si>
  <si>
    <t>Steven A Doty</t>
  </si>
  <si>
    <t>Val Nelson - Asst Branch Clerk</t>
  </si>
  <si>
    <t>Val Nelson</t>
  </si>
  <si>
    <t>Assistant Branch Clerk</t>
  </si>
  <si>
    <t>stk choir dir, temple worker, building rep.</t>
  </si>
  <si>
    <t>President Emfield</t>
  </si>
  <si>
    <t>Donald Swejkoski</t>
  </si>
  <si>
    <t>Will Tombs - Lansing Ward Clerk</t>
  </si>
  <si>
    <t>Will Tombs</t>
  </si>
  <si>
    <t>Current Ward Clerk - Chris Jones need to be released also</t>
  </si>
  <si>
    <t>Chris Jones</t>
  </si>
  <si>
    <t xml:space="preserve">Ian McCrary </t>
  </si>
  <si>
    <t>Owen</t>
  </si>
  <si>
    <t>Joseph Monsen - YSA Ward Clerk</t>
  </si>
  <si>
    <t>Joseph Monsen</t>
  </si>
  <si>
    <t>Linger Longer Committee Co-chair</t>
  </si>
  <si>
    <t>Bishop Sybrowski</t>
  </si>
  <si>
    <t>Initial training info and links sent to Joseph on 12/8/24</t>
  </si>
  <si>
    <t>Grant Davis</t>
  </si>
  <si>
    <t>Michael Pokorny - YSA Asst Clerk</t>
  </si>
  <si>
    <t>Michael Pokorny</t>
  </si>
  <si>
    <t>Initial training info and links sent to Michael on 12/8/24</t>
  </si>
  <si>
    <t>Gavin Johnson - Lansing Exec. Secretary</t>
  </si>
  <si>
    <t>Gavin Johnson</t>
  </si>
  <si>
    <t>Mike Carter</t>
  </si>
  <si>
    <t>John Ropp - Lansing EQ President</t>
  </si>
  <si>
    <t>John Ropp</t>
  </si>
  <si>
    <t>EQ President</t>
  </si>
  <si>
    <t>Ward SS President</t>
  </si>
  <si>
    <t>Chris Schafer</t>
  </si>
  <si>
    <t>Bro Mcrary</t>
  </si>
  <si>
    <t>David Hall - Stake YM Specialist</t>
  </si>
  <si>
    <t>Stake YM Specialist - Camping Coordinator</t>
  </si>
  <si>
    <t>Stake High Councilor, Stake Auditor</t>
  </si>
  <si>
    <t>Maggie Gambill - Stake JustServe Coord.</t>
  </si>
  <si>
    <t>kleifson82@gmail.com</t>
  </si>
  <si>
    <t>Maggie Gambill</t>
  </si>
  <si>
    <t>Stake JustServe Coordinator</t>
  </si>
  <si>
    <t>RS Teacher</t>
  </si>
  <si>
    <t>Scarlett Sybrowsky</t>
  </si>
  <si>
    <t>All Units</t>
  </si>
  <si>
    <t>Steven Stradley - EQP 2nd Counselor</t>
  </si>
  <si>
    <t>Steven Stradley</t>
  </si>
  <si>
    <t>EQ Presidency 2nd Counselor</t>
  </si>
  <si>
    <t>Primary Teacher - Lansing Ward</t>
  </si>
  <si>
    <t>Barry Fagen</t>
  </si>
  <si>
    <t>Bro Stradley is in Lansing Ward, but is 
soon moving to Owosso Ward.</t>
  </si>
  <si>
    <t>Rivers</t>
  </si>
  <si>
    <t>Colton Prete - EQP 1st Coun.</t>
  </si>
  <si>
    <t>Colton Prete</t>
  </si>
  <si>
    <t>William Tombs - EQP 2nd Counselor</t>
  </si>
  <si>
    <t>John Ropp / Bishop Taylor</t>
  </si>
  <si>
    <t>He also works as a middle school teacher under my supervision - Ferrin</t>
  </si>
  <si>
    <t>Bro Keith Carsten</t>
  </si>
  <si>
    <t>Bro McCrary</t>
  </si>
  <si>
    <t>Colton Prete - EQP 1st Counselor</t>
  </si>
  <si>
    <t>Currently is EQP 1st Counselor - Being called again under the new EQ President</t>
  </si>
  <si>
    <t>Himself</t>
  </si>
  <si>
    <t>Mark and Susan Joseph - Stake Welfare and Self Reliance Specialists</t>
  </si>
  <si>
    <t>Mark and Susan Joseph</t>
  </si>
  <si>
    <t>Stake Welfare and Self Reliance Specialists</t>
  </si>
  <si>
    <t>Branch President / Primary Teacher</t>
  </si>
  <si>
    <t>?????</t>
  </si>
  <si>
    <t>Brent Nostrant - St Johns EQ President</t>
  </si>
  <si>
    <t>EQ 2nd Counselor</t>
  </si>
  <si>
    <t>President Weber has health issues and needs released</t>
  </si>
  <si>
    <t>Home Unit Only</t>
  </si>
  <si>
    <t>Joseph</t>
  </si>
  <si>
    <t>https://docs.google.com/forms/d/e/1FAIpQLSd37AKX0Ca1Yeje6eC6NuliFZj5Spn7I7mXRsa9kBsXMqB-Ag/viewform?edit2=2_ABaOnudWylz-N1brbnTL28kF5bF6e1dxnhA2Q37Althy3VAa_Lka6LX6nBQK3plxVt4RPjk</t>
  </si>
  <si>
    <t>Ben McElroy - High Councilor</t>
  </si>
  <si>
    <t>Ben McElroy</t>
  </si>
  <si>
    <t>Stake communication specialist, technology specialist</t>
  </si>
  <si>
    <t>David Knighton - Jackson EQ 1st Counselor</t>
  </si>
  <si>
    <t>David Knighton</t>
  </si>
  <si>
    <t>EQ 1st Counselor</t>
  </si>
  <si>
    <t>Jacob Kirkham - St Johns EQ 1st Counselor</t>
  </si>
  <si>
    <t>Bro Nostrant</t>
  </si>
  <si>
    <t>https://docs.google.com/forms/d/e/1FAIpQLSd37AKX0Ca1Yeje6eC6NuliFZj5Spn7I7mXRsa9kBsXMqB-Ag/viewform?edit2=2_ABaOnueU6CV0L6qzYn4M7aGmwgquZmZu_wiXdlo63ftKLtzBRvGCv_JpzcPEO4tG3a6TmJo</t>
  </si>
  <si>
    <t>Dan Rathka - St Johns EQ 2nd Counselor</t>
  </si>
  <si>
    <t>Dan Rathka</t>
  </si>
  <si>
    <t>https://docs.google.com/forms/d/e/1FAIpQLSd37AKX0Ca1Yeje6eC6NuliFZj5Spn7I7mXRsa9kBsXMqB-Ag/viewform?edit2=2_ABaOnueEPwh1foCkF5p13wFtRWpghPhSqtbCjBXGJ58UvmEhVSHxI8HVV_XNL4yER31Pfss</t>
  </si>
  <si>
    <t>Taylor Smith - Lansing Ward Clerk</t>
  </si>
  <si>
    <t>Earl Ruhf - Lansing Asst Ward Clerk - Finance</t>
  </si>
  <si>
    <t>Asst Ward Clerk - Membership</t>
  </si>
  <si>
    <t>Bro Ward</t>
  </si>
  <si>
    <t>Charles Harper - Lansing Asst Ward Clerk - Membership</t>
  </si>
  <si>
    <t>Charles Harper</t>
  </si>
  <si>
    <t>Ward Mission Leader</t>
  </si>
  <si>
    <t>Steven Wright - YSA Ward EQ President</t>
  </si>
  <si>
    <t>Matthew Jones</t>
  </si>
  <si>
    <t>Brother Rinner</t>
  </si>
  <si>
    <t>Keeley Condie - Stake Primary President</t>
  </si>
  <si>
    <t xml:space="preserve">Keeley Condie </t>
  </si>
  <si>
    <t>Stake Primary President</t>
  </si>
  <si>
    <t>Temple worker and Ward YW 1st Counselor</t>
  </si>
  <si>
    <t>Marjorie Knighton</t>
  </si>
  <si>
    <t>Asked Sister Knighton to provide to Sister Condie</t>
  </si>
  <si>
    <t>Schafer</t>
  </si>
  <si>
    <t>https://docs.google.com/forms/d/e/1FAIpQLSd37AKX0Ca1Yeje6eC6NuliFZj5Spn7I7mXRsa9kBsXMqB-Ag/viewform?edit2=2_ABaOnudPhJxPi-s6Hxz1T94O7eJHvc2vL6-lmN1KDpQ-VjVgY28VI3YP71BRdl6Wj6SLGek</t>
  </si>
  <si>
    <t>Kirk Leifson - Stake Clerk</t>
  </si>
  <si>
    <t>Kirk Leifson</t>
  </si>
  <si>
    <t>SS 1st counselor, Teacher council coordinator</t>
  </si>
  <si>
    <t>Stake President</t>
  </si>
  <si>
    <t>Max Fernandez - YSA EQ 1st Counselor</t>
  </si>
  <si>
    <t>Max Fernandez</t>
  </si>
  <si>
    <t>Elders Quorum presidency 1st Counselor</t>
  </si>
  <si>
    <t>Pres Wright</t>
  </si>
  <si>
    <t>Logan Fuller</t>
  </si>
  <si>
    <t>Michael Pokorny - YSA EQ 2nd Counselor</t>
  </si>
  <si>
    <t>Ward assistant clerk</t>
  </si>
  <si>
    <t>Rocky Shephard - Williamston EQ President</t>
  </si>
  <si>
    <t>Rocky Shephard</t>
  </si>
  <si>
    <t>Bishop Child</t>
  </si>
  <si>
    <t>Currently dealing with health issues</t>
  </si>
  <si>
    <t>Brother Bills</t>
  </si>
  <si>
    <t>Derek Thorpe - Stake High Councilor</t>
  </si>
  <si>
    <t>Ward EQ President</t>
  </si>
  <si>
    <t>Pres Pierce</t>
  </si>
  <si>
    <t>Sarah Stradley - Stake Primary 1st Counselor</t>
  </si>
  <si>
    <t>Sarah Stradley</t>
  </si>
  <si>
    <t>Stake Primary 1st Counselor</t>
  </si>
  <si>
    <t>Primary 1st Counselor</t>
  </si>
  <si>
    <t>Sister Condie</t>
  </si>
  <si>
    <t>Debra Bingham</t>
  </si>
  <si>
    <t>https://docs.google.com/forms/d/e/1FAIpQLSd37AKX0Ca1Yeje6eC6NuliFZj5Spn7I7mXRsa9kBsXMqB-Ag/viewform?edit2=2_ABaOnudSaiTPxaFtHrreY46BnXEqShox50Z2ak0rHpewn71vVfmjiHgqI2ff57yXQ6YzcfA</t>
  </si>
  <si>
    <t>Bailey Douglas - Stake Primary 2nd Counselor</t>
  </si>
  <si>
    <t>Bailey Douglas</t>
  </si>
  <si>
    <t>Temple Ordinance Worker</t>
  </si>
  <si>
    <t>Cheryl Kelley</t>
  </si>
  <si>
    <t>https://docs.google.com/forms/d/e/1FAIpQLSd37AKX0Ca1Yeje6eC6NuliFZj5Spn7I7mXRsa9kBsXMqB-Ag/viewform?edit2=2_ABaOnueKgqULeg8fIiucHcnX3HqJHzYNTk4rqINxF7ZIUn06UwtQLeolsXXTOdNfPiq1mAU</t>
  </si>
  <si>
    <t>Angie Brantley - Stake Primary Secretary</t>
  </si>
  <si>
    <t>Angie Brantley</t>
  </si>
  <si>
    <t>Relief Society Teacher</t>
  </si>
  <si>
    <t>https://docs.google.com/forms/d/e/1FAIpQLSd37AKX0Ca1Yeje6eC6NuliFZj5Spn7I7mXRsa9kBsXMqB-Ag/viewform?edit2=2_ABaOnufInSSzuHK0ymI3Fy1IGVCRCSAvpdzG556xi_OsvoFWA9spEFXOOdsQgO-nNUjADxg</t>
  </si>
  <si>
    <t>Chris Schafer - Lansing Asst Ward Clerk - Membership</t>
  </si>
  <si>
    <t>Steven Stradley - Owosso Bishopric 1st Counselor</t>
  </si>
  <si>
    <t>Bishopric 1st Counselor</t>
  </si>
  <si>
    <t>Ernie Rivers III</t>
  </si>
  <si>
    <t>Gaston G Gosselin</t>
  </si>
  <si>
    <t>Scot Moncur - Owosso Bishopric 2nd Counselor</t>
  </si>
  <si>
    <t>Scot Moncur</t>
  </si>
  <si>
    <t>Bishopric 2nd Counselor</t>
  </si>
  <si>
    <t>Assistant clerk Membership</t>
  </si>
  <si>
    <t>Jason McEntire</t>
  </si>
  <si>
    <t>James Lewis - Prison Ministry Leader</t>
  </si>
  <si>
    <t>James Lewis</t>
  </si>
  <si>
    <t>Prison Ministry Leader</t>
  </si>
  <si>
    <t>Thomas Erekson - Prison Ministry Leader</t>
  </si>
  <si>
    <t>Thomas Erekson</t>
  </si>
  <si>
    <t>EQ president</t>
  </si>
  <si>
    <t>Bell</t>
  </si>
  <si>
    <t>Cheryl Smith - Stake Food Delivery Coordinator</t>
  </si>
  <si>
    <t>Cheryl Smith</t>
  </si>
  <si>
    <t>Stake Food Delivery Coordinator</t>
  </si>
  <si>
    <t>Sandra Reed</t>
  </si>
  <si>
    <t>Kenneth Bills</t>
  </si>
  <si>
    <t>John Foltz - Asst Ward Clerk, Membership</t>
  </si>
  <si>
    <t>John Foltz</t>
  </si>
  <si>
    <t>Asst Ward Clerk, Membership</t>
  </si>
  <si>
    <t>Bishop Rivers</t>
  </si>
  <si>
    <t>Donald Ward</t>
  </si>
  <si>
    <t>Donald Ward - Stake High Councilor/SS Pres</t>
  </si>
  <si>
    <t>Stake High Councilor/Sunday School Pres</t>
  </si>
  <si>
    <t>Stake Financial Clerk</t>
  </si>
  <si>
    <t>Ernest Rivers</t>
  </si>
  <si>
    <t>David Rawson</t>
  </si>
  <si>
    <t>Samuel Casellas - Stake YM Sec</t>
  </si>
  <si>
    <t>Kleifson82@GMAIL.COM</t>
  </si>
  <si>
    <t>Samuel Casellas</t>
  </si>
  <si>
    <t>President Ferrin</t>
  </si>
  <si>
    <t>Ferrin</t>
  </si>
  <si>
    <t>David Quarnberg - Williamston Elders Quorum President</t>
  </si>
  <si>
    <t>David Quarnberg</t>
  </si>
  <si>
    <t>Ward Assistant Clerk - Finance</t>
  </si>
  <si>
    <t>Trinette Bartlett - Stake Seminary Teacher</t>
  </si>
  <si>
    <t>Trinette Bartlett</t>
  </si>
  <si>
    <t xml:space="preserve">Seminary Teacher </t>
  </si>
  <si>
    <t>YW Secretary</t>
  </si>
  <si>
    <t>George &amp; Colleen Owen</t>
  </si>
  <si>
    <t>Pres Gentile</t>
  </si>
  <si>
    <t>Charles Harper - ARP Group Leader</t>
  </si>
  <si>
    <t>ARP Group Leader - Service Missionary</t>
  </si>
  <si>
    <t>Elder Oliver contacted to provide training</t>
  </si>
  <si>
    <t>https://docs.google.com/forms/d/e/1FAIpQLSd37AKX0Ca1Yeje6eC6NuliFZj5Spn7I7mXRsa9kBsXMqB-Ag/viewform?edit2=2_ABaOnudXRG2Jwf0piX_HQSxUMHaFfZFf_zx8hjkhhFOzfWSHZQBU_Kr5WzdcVpA0V8amUX4</t>
  </si>
  <si>
    <t>John Cochrane - S.S. 1st Counselor</t>
  </si>
  <si>
    <t>John Cochran</t>
  </si>
  <si>
    <t>S.S. 1st Counselor</t>
  </si>
  <si>
    <t>Ward</t>
  </si>
  <si>
    <t>Rene Solomon - Stake Seminary Teacher</t>
  </si>
  <si>
    <t>Renee Solomon</t>
  </si>
  <si>
    <t>Young Women President</t>
  </si>
  <si>
    <t>President Burdick</t>
  </si>
  <si>
    <t>Julie Nye</t>
  </si>
  <si>
    <t>Don Solomon - Stake Seminary Teacher</t>
  </si>
  <si>
    <t>High Councilor, YM 1st Counselor</t>
  </si>
  <si>
    <t>Harrison McKnight - EQ 1st Counselor</t>
  </si>
  <si>
    <t>Harrison McKnight</t>
  </si>
  <si>
    <t>Ward Temple &amp; Family History Leader</t>
  </si>
  <si>
    <t xml:space="preserve">Rocky Shepard </t>
  </si>
  <si>
    <t>Dustin Horlacher - EQ 2nd Counselor</t>
  </si>
  <si>
    <t>Dustin Horlacher</t>
  </si>
  <si>
    <t>Technology Specialist</t>
  </si>
  <si>
    <t>Nicholas Pomroy - EQ 2nd Counselor</t>
  </si>
  <si>
    <t>Nicholas Vernon Pomroy</t>
  </si>
  <si>
    <t>Pres Fagan</t>
  </si>
  <si>
    <t>Calling requires ordination to Melchizedek priesthood</t>
  </si>
  <si>
    <t>https://docs.google.com/forms/d/e/1FAIpQLSd37AKX0Ca1Yeje6eC6NuliFZj5Spn7I7mXRsa9kBsXMqB-Ag/viewform?edit2=2_ABaOnuf3RQD9xnlEVNEmdONsLpkXUQJ9qpVEJnJgh7KiGjXh_c9HZ6vF_CpBHi15w-gFsn8</t>
  </si>
  <si>
    <t>Robert Ash - EQ 1st Counselor</t>
  </si>
  <si>
    <t>Robert Ash</t>
  </si>
  <si>
    <t>https://docs.google.com/forms/d/e/1FAIpQLSd37AKX0Ca1Yeje6eC6NuliFZj5Spn7I7mXRsa9kBsXMqB-Ag/viewform?edit2=2_ABaOnuc2ce1OsnN4egnCH4EpgfP2ZGzmFF0P7bp3mPH7vn6kJ6Ik4LRVglrukwYZUMRxKVA</t>
  </si>
  <si>
    <t>Dan Murdock - Stake High Councilor &amp; Stake YM President</t>
  </si>
  <si>
    <t>Dan Murdock</t>
  </si>
  <si>
    <t>High Councilor &amp; Stake YM President</t>
  </si>
  <si>
    <t>https://docs.google.com/forms/d/e/1FAIpQLSd37AKX0Ca1Yeje6eC6NuliFZj5Spn7I7mXRsa9kBsXMqB-Ag/viewform?edit2=2_ABaOnueQifeXrb58f2l-fn4zj1w6xN1zs3ijczgGpF_vSkGeA1cb48Av_vY2C04VZEkZzz4</t>
  </si>
  <si>
    <t>Christopher Schafer - Stake High Councilor &amp; Stake YM 1st Counselor</t>
  </si>
  <si>
    <t>Christopher Schafer</t>
  </si>
  <si>
    <t>High Council &amp; Stake YM Counselor</t>
  </si>
  <si>
    <t>Ward Assistant Clerk - membership</t>
  </si>
  <si>
    <t>https://docs.google.com/forms/d/e/1FAIpQLSd37AKX0Ca1Yeje6eC6NuliFZj5Spn7I7mXRsa9kBsXMqB-Ag/viewform?edit2=2_ABaOnudW1H-nhw-T7zEA8a34IzysnsIArmJ9qBn2uDVh9vHWpaFI5zacowSx24UOdHJmwzM</t>
  </si>
  <si>
    <t>Brett Thorpe - Stake High Councilor &amp; Stake YM 2nd Counselor</t>
  </si>
  <si>
    <t>Stake High Councilor &amp; Stake YM Counselor</t>
  </si>
  <si>
    <t>Priest Quorum Advisor</t>
  </si>
  <si>
    <t>https://docs.google.com/forms/d/e/1FAIpQLSd37AKX0Ca1Yeje6eC6NuliFZj5Spn7I7mXRsa9kBsXMqB-Ag/viewform?edit2=2_ABaOnude3YIYds7K8MD9MdM7f73dSR4nCYONQODTboBHgHM-FyGf0NVBzbPlqzgArPfCPjM</t>
  </si>
  <si>
    <t>Mark Joseph - Stake High Councilor</t>
  </si>
  <si>
    <t>Mark Joseph</t>
  </si>
  <si>
    <t>Stake Welfare &amp; Self-Reliance Specialist</t>
  </si>
  <si>
    <t>Jay Lewis</t>
  </si>
  <si>
    <t>https://docs.google.com/forms/d/e/1FAIpQLSd37AKX0Ca1Yeje6eC6NuliFZj5Spn7I7mXRsa9kBsXMqB-Ag/viewform?edit2=2_ABaOnuduAuNuy0LPVF2WvFk0z94zUuE8zokX0hVnLbnIAICBr-sugpCs4I7SQ9GJeE9jGtU</t>
  </si>
  <si>
    <t>Timothy Conn - Stake High Councilor &amp; Stake Single Adult Advisor</t>
  </si>
  <si>
    <t>Timothy Conn</t>
  </si>
  <si>
    <t>Stake High Councilor &amp; Stake Young Single Adult Advisor</t>
  </si>
  <si>
    <t>https://docs.google.com/forms/d/e/1FAIpQLSd37AKX0Ca1Yeje6eC6NuliFZj5Spn7I7mXRsa9kBsXMqB-Ag/viewform?edit2=2_ABaOnuf3ncTLu9rMQrtuYSdYB6wY2MaD6cBPF-ruKky8jNGdipWjeWa1LuFeurdRnHZ53v4</t>
  </si>
  <si>
    <t>Val Nelson - Stake High Councilor</t>
  </si>
  <si>
    <t>Branch Assistant Clerk</t>
  </si>
  <si>
    <t>Potentially retain Stake Choir Director calling</t>
  </si>
  <si>
    <t>https://docs.google.com/forms/d/e/1FAIpQLSd37AKX0Ca1Yeje6eC6NuliFZj5Spn7I7mXRsa9kBsXMqB-Ag/viewform?edit2=2_ABaOnudQe5Oq9buGueatTTD8lsR_7Yj1XLidI8BHf21R3f-FwDdocxmbnq_mTuBdA8-FDik</t>
  </si>
  <si>
    <t>Adam Farero - Elders Quorum President</t>
  </si>
  <si>
    <t>Adam Ferero</t>
  </si>
  <si>
    <t>Primary Teacher &amp; Valient Activities Leader</t>
  </si>
  <si>
    <t>B. Thorpe</t>
  </si>
  <si>
    <t>https://docs.google.com/forms/d/e/1FAIpQLSd37AKX0Ca1Yeje6eC6NuliFZj5Spn7I7mXRsa9kBsXMqB-Ag/viewform?edit2=2_ABaOnuf4xLDAU_tpsM5FswHCkMiBKatekUAKIOk22JwXmcpz6CwHer0sJGeR6cLALX-G5i8</t>
  </si>
  <si>
    <t>Steven Stradley - Stake Seminary Teacher</t>
  </si>
  <si>
    <t>Bishopric First Counselor</t>
  </si>
  <si>
    <t>Travis Archer</t>
  </si>
  <si>
    <t>Sarah Stradley - Stake Seminary Teacher</t>
  </si>
  <si>
    <t xml:space="preserve">Stake Seminary Teacher </t>
  </si>
  <si>
    <t>Stake Primary First Counselor</t>
  </si>
  <si>
    <t>Mayte Archer</t>
  </si>
  <si>
    <t>Amanda Welch - Stake Primary Secretary</t>
  </si>
  <si>
    <t>Amanda Jean Welch</t>
  </si>
  <si>
    <t>Primary Secretary</t>
  </si>
  <si>
    <t>Pres Condie</t>
  </si>
  <si>
    <t>Rocky Shepard - Assistant Ward Clerk - finance</t>
  </si>
  <si>
    <t>Rocky Shepard</t>
  </si>
  <si>
    <t>Assistant Ward Clerk - Finance</t>
  </si>
  <si>
    <t>Lori Conn - Stake Single Adult Advisor</t>
  </si>
  <si>
    <t>Lori Conn</t>
  </si>
  <si>
    <t>Stake Young Single Adult Advisor</t>
  </si>
  <si>
    <t>Relief Society Assistant Secretary</t>
  </si>
  <si>
    <t>Sister Conn will serve with her husband Tim who is the HC Rep for YSA Ward</t>
  </si>
  <si>
    <t>https://docs.google.com/forms/d/e/1FAIpQLSd37AKX0Ca1Yeje6eC6NuliFZj5Spn7I7mXRsa9kBsXMqB-Ag/viewform?edit2=2_ABaOnuccYH0o4h2SxHKKEb1DF41CCIj9Qlcjj535Y-OtOUeelvdwEFGsNYtsH42NN-yaJms</t>
  </si>
  <si>
    <t>Caton Weinberger - YSA Bishopric 1st Counselor</t>
  </si>
  <si>
    <t>Caton Weiberger</t>
  </si>
  <si>
    <t>YSA Bishopric 1st Counselor</t>
  </si>
  <si>
    <t>2nd Counselor</t>
  </si>
  <si>
    <t>Rowan Bauer - YSA Bishopric 2nd Counselor</t>
  </si>
  <si>
    <t>Rowan Bauer</t>
  </si>
  <si>
    <t>YSA Bishopric 2nd Counselor</t>
  </si>
  <si>
    <t>Temple Family History committee co-chair</t>
  </si>
  <si>
    <t>Caton Weinberger</t>
  </si>
  <si>
    <t>Conn</t>
  </si>
  <si>
    <t>https://docs.google.com/forms/d/e/1FAIpQLSd37AKX0Ca1Yeje6eC6NuliFZj5Spn7I7mXRsa9kBsXMqB-Ag/viewform?edit2=2_ABaOnucxId1hmpsDz6gRK7hNV_VfYF7Ljm--qJMJ1WHEGYrYk6cqVqaqC_ZrAoVuuRa0OZs</t>
  </si>
  <si>
    <t>Jeffrey Herrmann - EQ 1st Counselor</t>
  </si>
  <si>
    <t>Jeffrey Herrmann</t>
  </si>
  <si>
    <t>Sunday School 1st Counselor</t>
  </si>
  <si>
    <t>Pres Farero</t>
  </si>
  <si>
    <t>Robert Berger</t>
  </si>
  <si>
    <t>https://docs.google.com/forms/d/e/1FAIpQLSd37AKX0Ca1Yeje6eC6NuliFZj5Spn7I7mXRsa9kBsXMqB-Ag/viewform?edit2=2_ABaOnue66NZ8CHKfjK3R7gTxdxgvrjGpG3tqvtkmrm6FPFcQf-lImxmTrUVk97eWDxwsCdE</t>
  </si>
  <si>
    <t>Nikolaus Schafer - EQ 2nd Counselor</t>
  </si>
  <si>
    <t>Nikolaus Schafer</t>
  </si>
  <si>
    <t>Service Missionary</t>
  </si>
  <si>
    <t>Caleb Parent</t>
  </si>
  <si>
    <t>https://docs.google.com/forms/d/e/1FAIpQLSd37AKX0Ca1Yeje6eC6NuliFZj5Spn7I7mXRsa9kBsXMqB-Ag/viewform?edit2=2_ABaOnuf8c0icYyUPFHPd2h3zuTjDR-l6zOTIgLwInEiTpumMyjH86_Ipsc_T5CuYxODQ120</t>
  </si>
  <si>
    <t>Grayson Gambill - Stake Temple and Family History - Youth Leader</t>
  </si>
  <si>
    <t>Grayson Gambill</t>
  </si>
  <si>
    <t>Stake Temple and Family History - Youth Leader</t>
  </si>
  <si>
    <t>Teachers Quorum President</t>
  </si>
  <si>
    <t>https://docs.google.com/forms/d/e/1FAIpQLSd37AKX0Ca1Yeje6eC6NuliFZj5Spn7I7mXRsa9kBsXMqB-Ag/viewform?edit2=2_ABaOnue3Jad5W9Uar32FIQIIrw-Mr5hDOEOwWLRFXGzjIm6vlllA3_MpAdkc1Fc6niJcSVM</t>
  </si>
  <si>
    <t>Temple McCrary - Stake Auditor</t>
  </si>
  <si>
    <t>Call / Release</t>
  </si>
  <si>
    <t>Temple McCrary</t>
  </si>
  <si>
    <t>Stake Auditor</t>
  </si>
  <si>
    <t>https://docs.google.com/forms/d/e/1FAIpQLSd37AKX0Ca1Yeje6eC6NuliFZj5Spn7I7mXRsa9kBsXMqB-Ag/viewform?edit2=2_ABaOnuc084FrjG7zAzRmpPq49Y4JP88xiAcq-g7-VvQwWFeceQLWBMs_PDHeU79-Vo2bATc</t>
  </si>
  <si>
    <t>Glen Cluff - Lansing Asst Ward Clerk - Membership</t>
  </si>
  <si>
    <t>Glen Cluff</t>
  </si>
  <si>
    <t>Bro Cluff volunteered to serve in both callings.</t>
  </si>
  <si>
    <t>Leifson</t>
  </si>
  <si>
    <t>https://docs.google.com/forms/d/e/1FAIpQLSd37AKX0Ca1Yeje6eC6NuliFZj5Spn7I7mXRsa9kBsXMqB-Ag/viewform?edit2=2_ABaOnudSPtf3N8SrkyU-NZ4noLqUaeQxb1pg_AcQiDTDSH1P5hEUdmsI32UCDPXITJ435Hs</t>
  </si>
  <si>
    <t>Gaylynn Doty - Stake Relief Society President</t>
  </si>
  <si>
    <t>Gaylynn Doty</t>
  </si>
  <si>
    <t>Stake Relief Society President</t>
  </si>
  <si>
    <t>YW 1st Counselor</t>
  </si>
  <si>
    <t>Kathy Schafer</t>
  </si>
  <si>
    <t>https://docs.google.com/forms/d/e/1FAIpQLSd37AKX0Ca1Yeje6eC6NuliFZj5Spn7I7mXRsa9kBsXMqB-Ag/viewform?edit2=2_ABaOnuc_fh3vMbyRgn43S5eCZwRDFgXS68lbvKe-_HVrVzwtCgXEVaKf_p0nJWByALtUk9w</t>
  </si>
  <si>
    <t>David Judd - Branch President</t>
  </si>
  <si>
    <t>Cancelled</t>
  </si>
  <si>
    <t>David Judd</t>
  </si>
  <si>
    <t>Did not proceed with extending the call. Pres Emfield to continue as Branch President</t>
  </si>
  <si>
    <t>Grant Emfield</t>
  </si>
  <si>
    <t>https://docs.google.com/forms/d/e/1FAIpQLSd37AKX0Ca1Yeje6eC6NuliFZj5Spn7I7mXRsa9kBsXMqB-Ag/viewform?edit2=2_ABaOnufa2u84Z9CN6X3pn2WNK3cgotIWLVUteaxy9v8K82fxhORjkSTo3bK92F89vvmHQQY</t>
  </si>
  <si>
    <t>Christina Gentile - Stake Relief Society 1st Counselor</t>
  </si>
  <si>
    <t>Christina Gentile</t>
  </si>
  <si>
    <t>Stake Relief Society 1st Counselor</t>
  </si>
  <si>
    <t>Primary President, Camp Director</t>
  </si>
  <si>
    <t>Release from Primary Pres, transition period to release as Camp Director</t>
  </si>
  <si>
    <t>Emily Scheck</t>
  </si>
  <si>
    <t>https://docs.google.com/forms/d/e/1FAIpQLSd37AKX0Ca1Yeje6eC6NuliFZj5Spn7I7mXRsa9kBsXMqB-Ag/viewform?edit2=2_ABaOnudoNBvw3THZ41dqtCsdUKuAuJjB0DS61NMmaPCGruHj-T9AWO-iGHiUD40ToAaN_9I</t>
  </si>
  <si>
    <t>Tammy Emfield - Stake Relief Society 2nd Counselor</t>
  </si>
  <si>
    <t>Tammy Emfield</t>
  </si>
  <si>
    <t>Just Serve Specialist, R.S. Service Coord, S.S. Teacher</t>
  </si>
  <si>
    <t>Craig Walker</t>
  </si>
  <si>
    <t>n/a</t>
  </si>
  <si>
    <t>https://docs.google.com/forms/d/e/1FAIpQLSd37AKX0Ca1Yeje6eC6NuliFZj5Spn7I7mXRsa9kBsXMqB-Ag/viewform?edit2=2_ABaOnuevPvgCpRTtXzF_nEg8ubPB1kpyPumvlKqedug0yXA_NBt_zSEQ5A5elQPQn8Pz8MI</t>
  </si>
  <si>
    <t>Mark Witbeck</t>
  </si>
  <si>
    <t>Pres Phillips &amp; President Call</t>
  </si>
  <si>
    <t>Bruce Dvorak</t>
  </si>
  <si>
    <t>https://docs.google.com/forms/d/e/1FAIpQLSd37AKX0Ca1Yeje6eC6NuliFZj5Spn7I7mXRsa9kBsXMqB-Ag/viewform?edit2=2_ABaOnuestmawDRwNCrwWBbcFzvUi4IXI1Xou83xweNeZQ-Dv589ktMYRHtyGkw0HL1Ct-jc</t>
  </si>
  <si>
    <t>Del Stirling</t>
  </si>
  <si>
    <t>Primary Pianist &amp; Teacher</t>
  </si>
  <si>
    <t>President Phillips &amp; President Call</t>
  </si>
  <si>
    <t>https://docs.google.com/forms/d/e/1FAIpQLSd37AKX0Ca1Yeje6eC6NuliFZj5Spn7I7mXRsa9kBsXMqB-Ag/viewform?edit2=2_ABaOnueqQ5WD4kzs8XFkpGxeBrDewIQChFYFkeCcx-r4wFHBdNPG4t_O0JkGnrd6V5GB4rY</t>
  </si>
  <si>
    <t>Lee Ann Laukka</t>
  </si>
  <si>
    <t>Owosso Ward R.S. 1st Counselor</t>
  </si>
  <si>
    <t>Pres Doty</t>
  </si>
  <si>
    <t>https://docs.google.com/forms/d/e/1FAIpQLSd37AKX0Ca1Yeje6eC6NuliFZj5Spn7I7mXRsa9kBsXMqB-Ag/viewform?edit2=2_ABaOnueQXAYHk584kJhjy388LUqazq7e-U9SR8htrfX_qegV5t1VyfqM-vER3RMIdSMR100</t>
  </si>
  <si>
    <t>Assistant Executive Secretary</t>
  </si>
  <si>
    <t>Linger Longer co-chair</t>
  </si>
  <si>
    <t>Hilgendorf</t>
  </si>
  <si>
    <t>https://docs.google.com/forms/d/e/1FAIpQLSd37AKX0Ca1Yeje6eC6NuliFZj5Spn7I7mXRsa9kBsXMqB-Ag/viewform?edit2=2_ABaOnufWFP9HETYNJ3J5EUfjOIhDoa5KZFj2apAnrBOV6JXJzgQYkHtCfkj4lP4wohCMwtE</t>
  </si>
  <si>
    <t>Wendy Wiersma</t>
  </si>
  <si>
    <t>Stake Relief Society Secretary</t>
  </si>
  <si>
    <t>R.S. Teacher, Ward Activities Committee Member</t>
  </si>
  <si>
    <t>Pres Gaylynn Doty</t>
  </si>
  <si>
    <t>Kindoo</t>
  </si>
  <si>
    <t>Covered by Stake R.S. Presidency</t>
  </si>
  <si>
    <t>https://docs.google.com/forms/d/e/1FAIpQLSd37AKX0Ca1Yeje6eC6NuliFZj5Spn7I7mXRsa9kBsXMqB-Ag/viewform?edit2=2_ABaOnueGV1D7Xj7a5UiuNCsQBshom47Y4WPZn3PVWIRvV1ezyWBf4nAw1EfV1ynT_mKjcGA</t>
  </si>
  <si>
    <t>Bill Blackmer</t>
  </si>
  <si>
    <t>Bishopric wants Bro Blackmer to manage ward website and technology specialist calling doesn't give full access, therefore, also called as assist ward clerk</t>
  </si>
  <si>
    <t>Role specific to ward website/technology</t>
  </si>
  <si>
    <t>https://docs.google.com/forms/d/e/1FAIpQLSd37AKX0Ca1Yeje6eC6NuliFZj5Spn7I7mXRsa9kBsXMqB-Ag/viewform?edit2=2_ABaOnuds8n1cXqEQges1keQ6gII34Wl56T73IIC2Ms4ZzOmva2PGEpao-nbgJlaOlo6WGJk</t>
  </si>
  <si>
    <t>Cynthia Watson - Stake FamilySearch Coordinator - Jackson Center</t>
  </si>
  <si>
    <t>Cynthia Watson</t>
  </si>
  <si>
    <t>Stake FamilySearch Coordinator - Jackson Center</t>
  </si>
  <si>
    <t>FamilySearch Coordinator, R.S. 1st Counselor, YW adviser, FH Consultant</t>
  </si>
  <si>
    <t>Changing from Ward to Stake Calling as FamilySearch Director for Jackson</t>
  </si>
  <si>
    <t>D. Thorpe</t>
  </si>
  <si>
    <t>https://docs.google.com/forms/d/e/1FAIpQLSd37AKX0Ca1Yeje6eC6NuliFZj5Spn7I7mXRsa9kBsXMqB-Ag/viewform?edit2=2_ABaOnufDbwsAVAzVxdhcVcQPdr8KBiuCeP-KzqSydcuXV8bbcLj1GK3eHoRfDXLLb8m1RjU</t>
  </si>
  <si>
    <t>Eugene Rivers - Stake FamilySearch Coordinator - Owosso Center</t>
  </si>
  <si>
    <t>Eugene Rivers</t>
  </si>
  <si>
    <t>Stake FamilySearch Coordinator - Owosso Center</t>
  </si>
  <si>
    <t>Temple Worker, Ward Temple &amp; Family History Leader</t>
  </si>
  <si>
    <t>changing from ward to stake calling as FamilySearch Director</t>
  </si>
  <si>
    <t>https://docs.google.com/forms/d/e/1FAIpQLSd37AKX0Ca1Yeje6eC6NuliFZj5Spn7I7mXRsa9kBsXMqB-Ag/viewform?edit2=2_ABaOnudAISoAiJoYPkJ2lu_q6gzTXwxsNXRzhLbYLaXYKzI8S6S1y9cf6QT8xeUl9qJhAC4</t>
  </si>
  <si>
    <t>Matt Merkley</t>
  </si>
  <si>
    <t>Stake Senior Missionary Specialist</t>
  </si>
  <si>
    <t>TFH Committee Chair, Temple Worker, Service Missionary</t>
  </si>
  <si>
    <t>https://docs.google.com/forms/d/e/1FAIpQLSd37AKX0Ca1Yeje6eC6NuliFZj5Spn7I7mXRsa9kBsXMqB-Ag/viewform?edit2=2_ABaOnue59nTKwmLOFBeEDNy4A4E50G9m4_Taygd-t5Jtfj3LUJtYDs4lyYyNgEvaenq_DkA</t>
  </si>
  <si>
    <t>Cindy Merkley</t>
  </si>
  <si>
    <t>Stake Senior Missionary Specialists</t>
  </si>
  <si>
    <t>Primary 2nd Counselor, Temple Worker, Service Missionary</t>
  </si>
  <si>
    <t>Bishop Rivers supports the call and indicated changes in Primary Presidency are forthcoming</t>
  </si>
  <si>
    <t>https://docs.google.com/forms/d/e/1FAIpQLSd37AKX0Ca1Yeje6eC6NuliFZj5Spn7I7mXRsa9kBsXMqB-Ag/viewform?edit2=2_ABaOnuciQxC4eTTBKIRCx9VtdD5b4Aw4GHipS6jqTlBmttCZv1BkF15QgwkCKnZEb9zBjUI</t>
  </si>
  <si>
    <t>Steven Coy - EQ 1st Counselor</t>
  </si>
  <si>
    <t>Steven Coy</t>
  </si>
  <si>
    <t>Building Representative</t>
  </si>
  <si>
    <t>https://docs.google.com/forms/d/e/1FAIpQLSd37AKX0Ca1Yeje6eC6NuliFZj5Spn7I7mXRsa9kBsXMqB-Ag/viewform?edit2=2_ABaOnuf1iClOzJhfEbDLVFFuk-RnA6L6BlaBrlXqRxJ2NuDHdspMURjFlJG0-iCLxv4fzTk</t>
  </si>
  <si>
    <t>Stephne Hilgendorf</t>
  </si>
  <si>
    <t>Stake Young Women Camp Director</t>
  </si>
  <si>
    <t>Primary Teacher, Service Missionary</t>
  </si>
  <si>
    <t>Pres Stump</t>
  </si>
  <si>
    <t>Received information from Sister Gentile</t>
  </si>
  <si>
    <t>https://docs.google.com/forms/d/e/1FAIpQLSd37AKX0Ca1Yeje6eC6NuliFZj5Spn7I7mXRsa9kBsXMqB-Ag/viewform?edit2=2_ABaOnudDxXSRl5DbWNRLf0wn5v-nqeGjP0LiosAd6ThAG-F4xBoZQW8FXAUDTOqFq6dVLwI</t>
  </si>
  <si>
    <t>Kleifson82@gmail.com</t>
  </si>
  <si>
    <t>Jordan Coker</t>
  </si>
  <si>
    <t>Boyd Lichtenberg</t>
  </si>
  <si>
    <t>Nelson</t>
  </si>
  <si>
    <t>https://docs.google.com/forms/d/e/1FAIpQLSd37AKX0Ca1Yeje6eC6NuliFZj5Spn7I7mXRsa9kBsXMqB-Ag/viewform?edit2=2_ABaOnucjwEQQpKVtkpHfLLSdr7wlsJ123jmny_Y0VAZ3t1dzFLz17xf1AylOpEj0gIyz5Dg</t>
  </si>
  <si>
    <t>Lawrence Barrett</t>
  </si>
  <si>
    <t>Self Reliance Facilitator</t>
  </si>
  <si>
    <t>Teacher for English Connect</t>
  </si>
  <si>
    <t>https://docs.google.com/forms/d/e/1FAIpQLSd37AKX0Ca1Yeje6eC6NuliFZj5Spn7I7mXRsa9kBsXMqB-Ag/viewform?edit2=2_ABaOnufxkc3tlHnwqQgLBNKZgEJCUxXYMRiEDNla6guit9NDZ30z5t7XPOkPUIpmZDTO4O8</t>
  </si>
  <si>
    <t>Bryce Scott</t>
  </si>
  <si>
    <t>Nicholas Pomroy</t>
  </si>
  <si>
    <t>https://docs.google.com/forms/d/e/1FAIpQLSd37AKX0Ca1Yeje6eC6NuliFZj5Spn7I7mXRsa9kBsXMqB-Ag/viewform?edit2=2_ABaOnufbV03AkBo9RdW1eUM4xxihGZCxZxrtpDHuj_Qa9D8X4Cfiemy7NEM7mIZWM42VFyA</t>
  </si>
  <si>
    <t>Previous Executive Secretary moved</t>
  </si>
  <si>
    <t>https://docs.google.com/forms/d/e/1FAIpQLSd37AKX0Ca1Yeje6eC6NuliFZj5Spn7I7mXRsa9kBsXMqB-Ag/viewform?edit2=2_ABaOnucZs_yyqG64TTPx-HI7iKA2OneWgrigcOPOBMu_J3Zl1ZdW363tYAP1Ym-CI38rmSE</t>
  </si>
  <si>
    <t>Andrea Lowder</t>
  </si>
  <si>
    <t>Stake YW 1st Counselor</t>
  </si>
  <si>
    <t>Holt Ward YW President</t>
  </si>
  <si>
    <t>https://docs.google.com/forms/d/e/1FAIpQLSd37AKX0Ca1Yeje6eC6NuliFZj5Spn7I7mXRsa9kBsXMqB-Ag/viewform?edit2=2_ABaOnudeQNpZK8qo5P01o5m8u1nK-nidTP440bH0iWjs2673t7t6cup8pQiFCCzYZAU0aPQ</t>
  </si>
  <si>
    <t>Rebecca Eschtruth</t>
  </si>
  <si>
    <t>Sister Tuell</t>
  </si>
  <si>
    <t>https://docs.google.com/forms/d/e/1FAIpQLSd37AKX0Ca1Yeje6eC6NuliFZj5Spn7I7mXRsa9kBsXMqB-Ag/viewform?edit2=2_ABaOnudWeTedu4RM0xhhpxcAAl1Lm1czJ_a-WZCRd0yTmaIgnUPy2sTcZ0gkt0RadE-JDWc</t>
  </si>
  <si>
    <t>Barbara Miller</t>
  </si>
  <si>
    <t>Stake YW Secretary</t>
  </si>
  <si>
    <t>https://docs.google.com/forms/d/e/1FAIpQLSd37AKX0Ca1Yeje6eC6NuliFZj5Spn7I7mXRsa9kBsXMqB-Ag/viewform?edit2=2_ABaOnueqOA9jOURj75fgFVzTPRoS4CvrWRrmHCOIfJ0-em66xU40R2VatgNoW4WQt5tTjMU</t>
  </si>
  <si>
    <t>Jonathan Boegler</t>
  </si>
  <si>
    <t>Temple Worker</t>
  </si>
  <si>
    <t>Pres Erekson</t>
  </si>
  <si>
    <t>https://docs.google.com/forms/d/e/1FAIpQLSd37AKX0Ca1Yeje6eC6NuliFZj5Spn7I7mXRsa9kBsXMqB-Ag/viewform?edit2=2_ABaOnuff1NqAKnZeZFWYAZ37X-J5lZZRuI-4HxjIyakngMffc9MgN7mqhOsy4yZwbSwlM5A</t>
  </si>
  <si>
    <t>Justin Call</t>
  </si>
  <si>
    <t>https://docs.google.com/forms/d/e/1FAIpQLSd37AKX0Ca1Yeje6eC6NuliFZj5Spn7I7mXRsa9kBsXMqB-Ag/viewform?edit2=2_ABaOnueza0QWbrwz8T7sWbuoj8RQ0uTYVPMjIOquJLrwomLqVasBXKQ7q4oPdU42q5sebnY</t>
  </si>
  <si>
    <t>Del Sterling</t>
  </si>
  <si>
    <t>President Roper</t>
  </si>
  <si>
    <t>Kevin Cramer</t>
  </si>
  <si>
    <t>https://docs.google.com/forms/d/e/1FAIpQLSd37AKX0Ca1Yeje6eC6NuliFZj5Spn7I7mXRsa9kBsXMqB-Ag/viewform?edit2=2_ABaOnucXYh7TXzTa8Eiqh6G2iI9SDkB9z7HxXc-muPtZY1lxw5j5SfdnONWyGViUYdQGjOE</t>
  </si>
  <si>
    <t>Pres Roper</t>
  </si>
  <si>
    <t>https://docs.google.com/forms/d/e/1FAIpQLSd37AKX0Ca1Yeje6eC6NuliFZj5Spn7I7mXRsa9kBsXMqB-Ag/viewform?edit2=2_ABaOnuf6drCWA-IZBlNqDAotDEssKORUs-S1i6ryHOYbNmm5r74FiPSdK2RgyzyGz8V24y8</t>
  </si>
  <si>
    <t>Giacinto Lucci Sr.</t>
  </si>
  <si>
    <t>Building Security Coordinator</t>
  </si>
  <si>
    <t>Giacinto Lucci Jr.</t>
  </si>
  <si>
    <t>https://docs.google.com/forms/d/e/1FAIpQLSd37AKX0Ca1Yeje6eC6NuliFZj5Spn7I7mXRsa9kBsXMqB-Ag/viewform?edit2=2_ABaOnufG4qkFQOtlvqNs92E6J7QIRFpabq77LhYs1EKoIUylzebWNv8mFo_PoidwofkyZ0Y</t>
  </si>
  <si>
    <t>David Polhamus</t>
  </si>
  <si>
    <t>Assistant Branch Mission Leader</t>
  </si>
  <si>
    <t>Ricky Henry</t>
  </si>
  <si>
    <t>https://docs.google.com/forms/d/e/1FAIpQLSd37AKX0Ca1Yeje6eC6NuliFZj5Spn7I7mXRsa9kBsXMqB-Ag/viewform?edit2=2_ABaOnueYWLUCkhOyJAhdd6sl35WX-SzQl1fVfL0acBK39C3PrSGDfh5FKCpV-EWK10pwrqQ</t>
  </si>
  <si>
    <t>Christina Cochrane</t>
  </si>
  <si>
    <t>Sister Hilgendorf</t>
  </si>
  <si>
    <t>Will receive training from Sister Hilgendorf</t>
  </si>
  <si>
    <t>https://docs.google.com/forms/d/e/1FAIpQLSd37AKX0Ca1Yeje6eC6NuliFZj5Spn7I7mXRsa9kBsXMqB-Ag/viewform?edit2=2_ABaOnucA31zacn3JFu1qCuYTqRLZNhaLtSeyINIUJtzNgoY7EQeqtKu9wLz4rw9WsHG_BPs</t>
  </si>
  <si>
    <t>Jonathan Fowler</t>
  </si>
  <si>
    <t>Bishop Hickman</t>
  </si>
  <si>
    <t>Waiting for Answer</t>
  </si>
  <si>
    <t>Tanner Hickman</t>
  </si>
  <si>
    <t>https://docs.google.com/forms/d/e/1FAIpQLSd37AKX0Ca1Yeje6eC6NuliFZj5Spn7I7mXRsa9kBsXMqB-Ag/viewform?edit2=2_ABaOnucRe9f_0GBTCwiHzMMmuvvc9b4qJ4soH6HsG-cy5Ec9DICJs5nC7loZPIoO4xbzc_M</t>
  </si>
  <si>
    <t>https://docs.google.com/forms/d/e/1FAIpQLSd37AKX0Ca1Yeje6eC6NuliFZj5Spn7I7mXRsa9kBsXMqB-Ag/viewform?edit2=2_ABaOnudH55SYZfYSmbkIYwQkkht9AvvLykPnN9qHu--msSdQL8xr-twF84PLxu7NEweRgsA</t>
  </si>
  <si>
    <t>Set Apart</t>
  </si>
  <si>
    <t>Tristan Packard</t>
  </si>
  <si>
    <t>https://docs.google.com/forms/d/e/1FAIpQLSd37AKX0Ca1Yeje6eC6NuliFZj5Spn7I7mXRsa9kBsXMqB-Ag/viewform?edit2=2_ABaOnucU6DOq6qcvz42zkHjhZlqUckdI_P7WQvTHT6kRvXPS0nedw-Lqwshw-TPP60rFl40</t>
  </si>
  <si>
    <t>Bishop</t>
  </si>
  <si>
    <t>Brad Taylor</t>
  </si>
  <si>
    <t>https://docs.google.com/forms/d/e/1FAIpQLSd37AKX0Ca1Yeje6eC6NuliFZj5Spn7I7mXRsa9kBsXMqB-Ag/viewform?edit2=2_ABaOnuf2j7989Basd7RqeWk5ShbfC9vglbQAYME_8G0y9KgxN5a2Sxu33yjZSF-7UYqZu8U</t>
  </si>
  <si>
    <t>https://docs.google.com/forms/d/e/1FAIpQLSd37AKX0Ca1Yeje6eC6NuliFZj5Spn7I7mXRsa9kBsXMqB-Ag/viewform?edit2=2_ABaOnuerF-9S-0PUnAo-xLIpSHuJa6TuFg8a5-HK4pKoELYuVYouRoOvSYDtqHqjDqv1WPE</t>
  </si>
  <si>
    <t>Sawyer Barney</t>
  </si>
  <si>
    <t>https://docs.google.com/forms/d/e/1FAIpQLSd37AKX0Ca1Yeje6eC6NuliFZj5Spn7I7mXRsa9kBsXMqB-Ag/viewform?edit2=2_ABaOnue8mI5AYqilJnQ-23IHeU09ipqfAONkBPAhQ3a3okU2s71v_L1uHn7A2GfefVIT5vE</t>
  </si>
  <si>
    <t>Priesthood Office</t>
  </si>
  <si>
    <t>Bishop / Stake President Approved Date</t>
  </si>
  <si>
    <t>Interview Status</t>
  </si>
  <si>
    <t>Interview Date</t>
  </si>
  <si>
    <t>Ready for High Council Approval?</t>
  </si>
  <si>
    <t>Approval [Rivers]</t>
  </si>
  <si>
    <t>Ready for Sustaining?</t>
  </si>
  <si>
    <t>Assigned to Oversee Sustaining / Ordination</t>
  </si>
  <si>
    <t>Sustained Date</t>
  </si>
  <si>
    <t>Ordained Date</t>
  </si>
  <si>
    <t>Ordained By</t>
  </si>
  <si>
    <t>Out of Unit Member Info</t>
  </si>
  <si>
    <t>Ordination Notes</t>
  </si>
  <si>
    <t>Ready for Certificate?</t>
  </si>
  <si>
    <t>Entered By</t>
  </si>
  <si>
    <t>Date Entered</t>
  </si>
  <si>
    <t>Certificate Printed?</t>
  </si>
  <si>
    <t>Certificate Signed?</t>
  </si>
  <si>
    <t>Certificate Delivered?</t>
  </si>
  <si>
    <t>Stake Conference Sustaining</t>
  </si>
  <si>
    <t>Elliott Earl - Elder</t>
  </si>
  <si>
    <t>Elliott Renin Earl</t>
  </si>
  <si>
    <t>Elder</t>
  </si>
  <si>
    <t>Do not ordain until after June 15th</t>
  </si>
  <si>
    <t>Mark Bell - High Priest</t>
  </si>
  <si>
    <t>High Priest</t>
  </si>
  <si>
    <t>Jarin Kevin Murray</t>
  </si>
  <si>
    <t>Mason Lewis - Elder</t>
  </si>
  <si>
    <t>Mason Zachary Lewis</t>
  </si>
  <si>
    <t>Matthew Allen Lewis</t>
  </si>
  <si>
    <t>Noah Wood - Elder</t>
  </si>
  <si>
    <t>Elder Daniel Cruz (000-9700-0345)</t>
  </si>
  <si>
    <t>000-9700-0345 Elder Daniel Joseph Cruz</t>
  </si>
  <si>
    <t>Jesse Ward - Elder</t>
  </si>
  <si>
    <t>Jesse Ward</t>
  </si>
  <si>
    <t>Beam</t>
  </si>
  <si>
    <t>Michael Beam</t>
  </si>
  <si>
    <t>Pending</t>
  </si>
  <si>
    <t>Rusty Joseph King - Elder</t>
  </si>
  <si>
    <t>Rusty Joseph King</t>
  </si>
  <si>
    <t>Bryant Ray Baum</t>
  </si>
  <si>
    <t>Record number: 001-2705-8995</t>
  </si>
  <si>
    <t>Steven Stradley - High Priest</t>
  </si>
  <si>
    <t xml:space="preserve">	Marlo Sam Stradley</t>
  </si>
  <si>
    <t>Christopher Nye - High Priest</t>
  </si>
  <si>
    <t>David Judd Pace (Father)</t>
  </si>
  <si>
    <t>Dallas Burkick - High Priest</t>
  </si>
  <si>
    <t>Phillip Miles Jeffrey</t>
  </si>
  <si>
    <t>Matthew Pace - High Priest</t>
  </si>
  <si>
    <t>Nicholas Pomroy - Elder</t>
  </si>
  <si>
    <t>Spent a short time with him on the last night of the High Adventure.  Enjoy the spirit that he had.  I could see that he was moved by the testimonies of the boys.  He was willing to give of his time even when he didn't have a boy attending.</t>
  </si>
  <si>
    <t>William Pomroy (father)</t>
  </si>
  <si>
    <t>William Paul Pomroy, Westland Stake Livonia Ward, 29 May 1945</t>
  </si>
  <si>
    <t>Brett Thorpe - High Priest</t>
  </si>
  <si>
    <t>Ordination required for serving in High Council</t>
  </si>
  <si>
    <t>Noah Lewis - Elder</t>
  </si>
  <si>
    <t>Noah Lewis</t>
  </si>
  <si>
    <t>James Ray Lewis (father)</t>
  </si>
  <si>
    <t>Steven Coy - Elder</t>
  </si>
  <si>
    <t>David Cramer - Elder</t>
  </si>
  <si>
    <t>David Cramer</t>
  </si>
  <si>
    <t>Ian Webster - Elder</t>
  </si>
  <si>
    <t>Ian Webster</t>
  </si>
  <si>
    <t xml:space="preserve">David Polhamus - Elder </t>
  </si>
  <si>
    <t>https://docs.google.com/forms/d/e/1FAIpQLScKfK1Xq_AfFRyZkOlyT2n4Ugr8FdePyUxPct4kYLgKJ3YlMQ/viewform?edit2=2_ABaOnucfG3bYGvshe4WwfOGUK3uVop5MwarUCM8Dz2zoZnlJ3EKFUr5l140YAU18grrR6Jg</t>
  </si>
  <si>
    <t>Sean Potter</t>
  </si>
  <si>
    <t>Donald Edward Swejkoski</t>
  </si>
  <si>
    <t>https://docs.google.com/forms/d/e/1FAIpQLScKfK1Xq_AfFRyZkOlyT2n4Ugr8FdePyUxPct4kYLgKJ3YlMQ/viewform?edit2=2_ABaOnucoVVW69SVQ3gNVqXcMOXeDIKpQsj0faJz8KwXftEjdhci2kGRFvnbK77xCKE72FXU</t>
  </si>
  <si>
    <t>Travis Stanton</t>
  </si>
  <si>
    <t>Adam Farero</t>
  </si>
  <si>
    <t>https://docs.google.com/forms/d/e/1FAIpQLScKfK1Xq_AfFRyZkOlyT2n4Ugr8FdePyUxPct4kYLgKJ3YlMQ/viewform?edit2=2_ABaOnueaQXOBWtLHbkKogiRYZwa9VzkGBCpJmWiZkzVO4au5iwOSPC1mbMUGgNtfFagtNIs</t>
  </si>
  <si>
    <t>Kenneth Vansconis</t>
  </si>
  <si>
    <t>Steven Doty</t>
  </si>
  <si>
    <t>https://docs.google.com/forms/d/e/1FAIpQLScKfK1Xq_AfFRyZkOlyT2n4Ugr8FdePyUxPct4kYLgKJ3YlMQ/viewform?edit2=2_ABaOnufLliA2CJi29kg7rYKT-h87l0w8X4u7qJ1sLy7FAlkOe3QXfjX1FkbVGDpHIm5JPxk</t>
  </si>
  <si>
    <t>Clayton Hoekwater</t>
  </si>
  <si>
    <t>https://docs.google.com/forms/d/e/1FAIpQLScKfK1Xq_AfFRyZkOlyT2n4Ugr8FdePyUxPct4kYLgKJ3YlMQ/viewform?edit2=2_ABaOnufjK8xhuiFA2hyUBTaEq6LVGLdbtrDPBexyDuYH7Ij3F2jxWiXRsszKp7UkAhq6w2w</t>
  </si>
  <si>
    <t>Bruce Black Roper (father)</t>
  </si>
  <si>
    <t>https://docs.google.com/forms/d/e/1FAIpQLScKfK1Xq_AfFRyZkOlyT2n4Ugr8FdePyUxPct4kYLgKJ3YlMQ/viewform?edit2=2_ABaOnucvgZ8hcmHj8eo8Gttfaa2Xb_k25Mz2N0V6ThqYfwGsiep8vt9_VOKJTNSs6iScXCU</t>
  </si>
  <si>
    <t>Travis Dennis Sybrowsky</t>
  </si>
  <si>
    <t>https://docs.google.com/forms/d/e/1FAIpQLScKfK1Xq_AfFRyZkOlyT2n4Ugr8FdePyUxPct4kYLgKJ3YlMQ/viewform?edit2=2_ABaOnucIF0bUlpImPx8G5Cbwlu76fG6A5FGJO9bhSnfweqQLIYVGJ5NGuH1wd-Vrzig1ARY</t>
  </si>
  <si>
    <t>https://docs.google.com/forms/d/e/1FAIpQLScKfK1Xq_AfFRyZkOlyT2n4Ugr8FdePyUxPct4kYLgKJ3YlMQ/viewform?edit2=2_ABaOnufrbZEpQ1VYeN9BXUBQ6v1OzvXmTFVGlu68JTR1rShH00C-sT1ViaSxcZ8c5g36hTc</t>
  </si>
  <si>
    <t>Ordination</t>
  </si>
  <si>
    <t>https://docs.google.com/forms/d/e/1FAIpQLScKfK1Xq_AfFRyZkOlyT2n4Ugr8FdePyUxPct4kYLgKJ3YlMQ/viewform?edit2=2_ABaOnucINqfbL2HNtyT2-rdXO1PHIOPKQtPP-hALfOhqsXkOd_XPh6FLRTCqadIMuXnaou0</t>
  </si>
  <si>
    <t>Contingent of calling to Lansing Bishopric</t>
  </si>
  <si>
    <t>https://docs.google.com/forms/d/e/1FAIpQLScKfK1Xq_AfFRyZkOlyT2n4Ugr8FdePyUxPct4kYLgKJ3YlMQ/viewform?edit2=2_ABaOnucYlNz1YoXLPBAYyST6WlmELb1kBnM9BfkUaTxKov-rM8gB0ieRnkyVKFnayrBrwdE</t>
  </si>
  <si>
    <t xml:space="preserve">  Release Only</t>
  </si>
  <si>
    <t>Enter New Release</t>
  </si>
  <si>
    <t>Calling to be Released From</t>
  </si>
  <si>
    <t>Reason for Release</t>
  </si>
  <si>
    <t>Stake Presidency Approved Date</t>
  </si>
  <si>
    <t>Assigned to Extend Release</t>
  </si>
  <si>
    <t>Date Released</t>
  </si>
  <si>
    <t>Release Complete?</t>
  </si>
  <si>
    <t>Removed from Google Drive and Calendar Invites (if applicable)?</t>
  </si>
  <si>
    <t>Stake-Wide Unit Release Required?</t>
  </si>
  <si>
    <t>Tom and Stephanie Smith - SA Rep</t>
  </si>
  <si>
    <t>Tom and Stephanie Smith</t>
  </si>
  <si>
    <t>Stake Single Adult Advisers</t>
  </si>
  <si>
    <t>Asked to be released</t>
  </si>
  <si>
    <t>Calvin Vos - Stake Asst exec sec</t>
  </si>
  <si>
    <t>Stake Assistant executive secretary</t>
  </si>
  <si>
    <t>requested</t>
  </si>
  <si>
    <t>David Hall - Release Stake HC</t>
  </si>
  <si>
    <t>Stake High Council</t>
  </si>
  <si>
    <t>new calling to Stake YM specialist</t>
  </si>
  <si>
    <t>Fred Stephens - Stk Technology Specialist</t>
  </si>
  <si>
    <t>Fred Stephens</t>
  </si>
  <si>
    <t>health reasons</t>
  </si>
  <si>
    <t>Ethan Fletcher YSA EQP 2nd Counselor</t>
  </si>
  <si>
    <t>Ethan Fletcher</t>
  </si>
  <si>
    <t>YSA EQ Presidency 2nd Counselor</t>
  </si>
  <si>
    <t>requested by Bishop Sybrowsky</t>
  </si>
  <si>
    <t>Brandon Howard - Stake YM Secretary</t>
  </si>
  <si>
    <t>Stake Young Men Secretary</t>
  </si>
  <si>
    <t>Requested by Beandon</t>
  </si>
  <si>
    <t>Elliott Earl - Stake Temple and Family History Consultant</t>
  </si>
  <si>
    <t>Elliott Earl</t>
  </si>
  <si>
    <t>release for mission</t>
  </si>
  <si>
    <t>Tyler Morton - Lansing Asst Clerk - Finance</t>
  </si>
  <si>
    <t>Lansing Ward Assistant Cllerk - Finance</t>
  </si>
  <si>
    <t>requested due to lack of time</t>
  </si>
  <si>
    <t>Stephanie Prosser - Stake YW Asst Camp Director</t>
  </si>
  <si>
    <t>Stake YW Assistant Camp Director</t>
  </si>
  <si>
    <t>Served her time and is being replaced</t>
  </si>
  <si>
    <t>Barry Godwin - Stake Single Adult Rep</t>
  </si>
  <si>
    <t>falls</t>
  </si>
  <si>
    <t>David Knighton - Stake Assistant Clerk</t>
  </si>
  <si>
    <t>Assistant Stake Clerk</t>
  </si>
  <si>
    <t>Time</t>
  </si>
  <si>
    <t>Angie Brantley - release</t>
  </si>
  <si>
    <t>Stake Welfare and Self-Reliance Specialist</t>
  </si>
  <si>
    <t>Chris Jones - Release</t>
  </si>
  <si>
    <t>Christopher Jones</t>
  </si>
  <si>
    <t>Moving</t>
  </si>
  <si>
    <t>Elizabeth Shawl - Stake Disability Specialist</t>
  </si>
  <si>
    <t>Elizabeth Shawl</t>
  </si>
  <si>
    <t>Stake Disability Specialist</t>
  </si>
  <si>
    <t>inactivity</t>
  </si>
  <si>
    <t>Lynda Redding - Stake Food Assignment Specialist</t>
  </si>
  <si>
    <t>Lynda Redding</t>
  </si>
  <si>
    <t>Stake Food Assignment Specialist</t>
  </si>
  <si>
    <t>Released 2 years ago but never removed from LCR</t>
  </si>
  <si>
    <t>Lindon Robison - Stake Young Single Adult Advisor</t>
  </si>
  <si>
    <t>Lindon Robison</t>
  </si>
  <si>
    <t>Fulfilled calling and released with Conn's being called to YSA</t>
  </si>
  <si>
    <t>Name Search</t>
  </si>
  <si>
    <t xml:space="preserve"> ⬅️ Enter a name here (partial name is ok)</t>
  </si>
  <si>
    <t>Below, you can change what the subject and body of the email looks like that goes out to the high council.</t>
  </si>
  <si>
    <t>Subject</t>
  </si>
  <si>
    <t>Request for Remote Approval</t>
  </si>
  <si>
    <t>Greeting</t>
  </si>
  <si>
    <t>Dear High Council Members,</t>
  </si>
  <si>
    <t>Message</t>
  </si>
  <si>
    <r>
      <rPr>
        <sz val="10"/>
        <color theme="1"/>
        <rFont val="Arial"/>
      </rPr>
      <t xml:space="preserve">We would like to request your approval to move forward with the items below. Please click on each individual item, review it, an indicate your vote on the 2nd page of the form.
</t>
    </r>
    <r>
      <rPr>
        <b/>
        <sz val="10"/>
        <color rgb="FFFF0000"/>
        <rFont val="Arial"/>
      </rPr>
      <t>*** Please make sure you click the SUBMIT button to send your reponse (click NEXT until you see SUBMIT)***</t>
    </r>
  </si>
  <si>
    <t>Link</t>
  </si>
  <si>
    <t>Salutation</t>
  </si>
  <si>
    <t>With Love,</t>
  </si>
  <si>
    <t>From</t>
  </si>
  <si>
    <t>The Lansing Stake Presidency</t>
  </si>
  <si>
    <t>Unit Voting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</si>
</sst>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m&quot;/&quot;d&quot;/&quot;yyyy&quot; at &quot;h&quot;:&quot;mm&quot; &quot;AM/PM"/>
    <numFmt numFmtId="166" formatCode="m/d/yyyy\ h:mm:ss"/>
  </numFmts>
  <fonts count="34" x14ac:knownFonts="1">
    <font>
      <sz val="10"/>
      <color rgb="FF000000"/>
      <name val="Arial"/>
      <scheme val="minor"/>
    </font>
    <font>
      <sz val="10"/>
      <color theme="1"/>
      <name val="Arial"/>
    </font>
    <font>
      <b/>
      <sz val="13"/>
      <color theme="1"/>
      <name val="Arial"/>
      <scheme val="minor"/>
    </font>
    <font>
      <b/>
      <sz val="10"/>
      <color theme="1"/>
      <name val="Arial"/>
      <scheme val="minor"/>
    </font>
    <font>
      <b/>
      <sz val="10"/>
      <color rgb="FFFFFFFF"/>
      <name val="Arial"/>
      <scheme val="minor"/>
    </font>
    <font>
      <sz val="10"/>
      <color theme="1"/>
      <name val="Arial"/>
      <scheme val="minor"/>
    </font>
    <font>
      <u/>
      <sz val="10"/>
      <color rgb="FF0000FF"/>
      <name val="Arial"/>
    </font>
    <font>
      <b/>
      <sz val="12"/>
      <color theme="1"/>
      <name val="Arial"/>
      <scheme val="minor"/>
    </font>
    <font>
      <u/>
      <sz val="11"/>
      <color rgb="FF0000FF"/>
      <name val="Arial"/>
    </font>
    <font>
      <u/>
      <sz val="10"/>
      <color rgb="FF0000FF"/>
      <name val="Arial"/>
    </font>
    <font>
      <sz val="10"/>
      <name val="Arial"/>
    </font>
    <font>
      <sz val="15"/>
      <color theme="1"/>
      <name val="Arial"/>
      <scheme val="minor"/>
    </font>
    <font>
      <b/>
      <sz val="10"/>
      <color theme="1"/>
      <name val="Arial"/>
    </font>
    <font>
      <sz val="10"/>
      <color rgb="FFFFFFFF"/>
      <name val="Arial"/>
      <scheme val="minor"/>
    </font>
    <font>
      <sz val="10"/>
      <color rgb="FF000000"/>
      <name val="Arial"/>
      <scheme val="minor"/>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sz val="19"/>
      <color theme="1"/>
      <name val="Arial"/>
      <scheme val="minor"/>
    </font>
    <font>
      <u/>
      <sz val="10"/>
      <color rgb="FF0000FF"/>
      <name val="Arial"/>
    </font>
    <font>
      <u/>
      <sz val="10"/>
      <color rgb="FF0000FF"/>
      <name val="Arial"/>
    </font>
    <font>
      <u/>
      <sz val="10"/>
      <color rgb="FF0000FF"/>
      <name val="Arial"/>
    </font>
    <font>
      <u/>
      <sz val="10"/>
      <color rgb="FF0000FF"/>
      <name val="Arial"/>
    </font>
    <font>
      <b/>
      <sz val="15"/>
      <color theme="1"/>
      <name val="Arial"/>
      <scheme val="minor"/>
    </font>
    <font>
      <u/>
      <sz val="10"/>
      <color rgb="FF0000FF"/>
      <name val="Arial"/>
    </font>
    <font>
      <b/>
      <sz val="12"/>
      <color rgb="FFFFFFFF"/>
      <name val="Arial"/>
      <scheme val="minor"/>
    </font>
    <font>
      <u/>
      <sz val="10"/>
      <color rgb="FF0000FF"/>
      <name val="Arial"/>
    </font>
    <font>
      <sz val="13"/>
      <color theme="1"/>
      <name val="Arial"/>
    </font>
    <font>
      <u/>
      <sz val="10"/>
      <color theme="1"/>
      <name val="Arial"/>
    </font>
    <font>
      <sz val="10"/>
      <color rgb="FFFF0000"/>
      <name val="Arial"/>
    </font>
    <font>
      <b/>
      <sz val="10"/>
      <color rgb="FFFF0000"/>
      <name val="Arial"/>
    </font>
  </fonts>
  <fills count="19">
    <fill>
      <patternFill patternType="none"/>
    </fill>
    <fill>
      <patternFill patternType="gray125"/>
    </fill>
    <fill>
      <patternFill patternType="solid">
        <fgColor rgb="FFD9EAD3"/>
        <bgColor rgb="FFD9EAD3"/>
      </patternFill>
    </fill>
    <fill>
      <patternFill patternType="solid">
        <fgColor rgb="FF0B5394"/>
        <bgColor rgb="FF0B5394"/>
      </patternFill>
    </fill>
    <fill>
      <patternFill patternType="solid">
        <fgColor rgb="FFFCE5CD"/>
        <bgColor rgb="FFFCE5CD"/>
      </patternFill>
    </fill>
    <fill>
      <patternFill patternType="solid">
        <fgColor rgb="FFCFE2F3"/>
        <bgColor rgb="FFCFE2F3"/>
      </patternFill>
    </fill>
    <fill>
      <patternFill patternType="solid">
        <fgColor rgb="FFEFEFEF"/>
        <bgColor rgb="FFEFEFEF"/>
      </patternFill>
    </fill>
    <fill>
      <patternFill patternType="solid">
        <fgColor rgb="FFCCCCCC"/>
        <bgColor rgb="FFCCCCCC"/>
      </patternFill>
    </fill>
    <fill>
      <patternFill patternType="solid">
        <fgColor rgb="FFD5A6BD"/>
        <bgColor rgb="FFD5A6BD"/>
      </patternFill>
    </fill>
    <fill>
      <patternFill patternType="solid">
        <fgColor rgb="FF9FC5E8"/>
        <bgColor rgb="FF9FC5E8"/>
      </patternFill>
    </fill>
    <fill>
      <patternFill patternType="solid">
        <fgColor rgb="FFD9D2E9"/>
        <bgColor rgb="FFD9D2E9"/>
      </patternFill>
    </fill>
    <fill>
      <patternFill patternType="solid">
        <fgColor rgb="FF666666"/>
        <bgColor rgb="FF666666"/>
      </patternFill>
    </fill>
    <fill>
      <patternFill patternType="solid">
        <fgColor rgb="FF93C47D"/>
        <bgColor rgb="FF93C47D"/>
      </patternFill>
    </fill>
    <fill>
      <patternFill patternType="solid">
        <fgColor rgb="FFF6B26B"/>
        <bgColor rgb="FFF6B26B"/>
      </patternFill>
    </fill>
    <fill>
      <patternFill patternType="solid">
        <fgColor rgb="FFFFF2CC"/>
        <bgColor rgb="FFFFF2CC"/>
      </patternFill>
    </fill>
    <fill>
      <patternFill patternType="solid">
        <fgColor rgb="FF8E7CC3"/>
        <bgColor rgb="FF8E7CC3"/>
      </patternFill>
    </fill>
    <fill>
      <patternFill patternType="solid">
        <fgColor rgb="FFD9D9D9"/>
        <bgColor rgb="FFD9D9D9"/>
      </patternFill>
    </fill>
    <fill>
      <patternFill patternType="solid">
        <fgColor rgb="FFA61C00"/>
        <bgColor rgb="FFA61C00"/>
      </patternFill>
    </fill>
    <fill>
      <patternFill patternType="solid">
        <fgColor rgb="FFE69138"/>
        <bgColor rgb="FFE69138"/>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right style="thin">
        <color rgb="FFFFFFFF"/>
      </right>
      <top/>
      <bottom/>
      <diagonal/>
    </border>
    <border>
      <left style="thin">
        <color rgb="FFFFFFFF"/>
      </left>
      <right style="thin">
        <color rgb="FFFFFFFF"/>
      </right>
      <top/>
      <bottom/>
      <diagonal/>
    </border>
    <border>
      <left style="thin">
        <color rgb="FFFFFFFF"/>
      </left>
      <right/>
      <top/>
      <bottom/>
      <diagonal/>
    </border>
  </borders>
  <cellStyleXfs count="1">
    <xf numFmtId="0" fontId="0" fillId="0" borderId="0"/>
  </cellStyleXfs>
  <cellXfs count="125">
    <xf numFmtId="0" fontId="0" fillId="0" borderId="0" xfId="0"/>
    <xf numFmtId="0" fontId="3" fillId="0" borderId="0" xfId="0" applyFont="1" applyAlignment="1">
      <alignment vertical="top" wrapText="1"/>
    </xf>
    <xf numFmtId="0" fontId="4" fillId="3" borderId="0" xfId="0" applyFont="1" applyFill="1" applyAlignment="1">
      <alignment horizontal="center" vertical="top" wrapText="1"/>
    </xf>
    <xf numFmtId="0" fontId="4" fillId="3" borderId="0" xfId="0" applyFont="1" applyFill="1" applyAlignment="1">
      <alignment vertical="top" wrapText="1"/>
    </xf>
    <xf numFmtId="0" fontId="3" fillId="4" borderId="1" xfId="0" applyFont="1" applyFill="1" applyBorder="1" applyAlignment="1">
      <alignment vertical="top" wrapText="1"/>
    </xf>
    <xf numFmtId="0" fontId="3" fillId="0" borderId="1" xfId="0" applyFont="1" applyBorder="1" applyAlignment="1">
      <alignment horizontal="center" vertical="top" wrapText="1"/>
    </xf>
    <xf numFmtId="0" fontId="5" fillId="0" borderId="1" xfId="0" applyFont="1" applyBorder="1" applyAlignment="1">
      <alignment vertical="top" wrapText="1"/>
    </xf>
    <xf numFmtId="0" fontId="5" fillId="0" borderId="0" xfId="0" applyFont="1" applyAlignment="1">
      <alignment vertical="top" wrapText="1"/>
    </xf>
    <xf numFmtId="0" fontId="5" fillId="0" borderId="1" xfId="0" applyFont="1" applyBorder="1" applyAlignment="1">
      <alignment vertical="top"/>
    </xf>
    <xf numFmtId="0" fontId="5" fillId="5" borderId="1" xfId="0" applyFont="1" applyFill="1" applyBorder="1" applyAlignment="1">
      <alignment vertical="top" wrapText="1"/>
    </xf>
    <xf numFmtId="0" fontId="3" fillId="0" borderId="0" xfId="0" applyFont="1" applyAlignment="1">
      <alignment horizontal="center" vertical="top" wrapText="1"/>
    </xf>
    <xf numFmtId="0" fontId="3" fillId="6" borderId="2" xfId="0" applyFont="1" applyFill="1" applyBorder="1"/>
    <xf numFmtId="0" fontId="3" fillId="6" borderId="3" xfId="0" applyFont="1" applyFill="1" applyBorder="1"/>
    <xf numFmtId="14" fontId="3" fillId="6" borderId="3" xfId="0" applyNumberFormat="1" applyFont="1" applyFill="1" applyBorder="1"/>
    <xf numFmtId="14" fontId="3" fillId="6" borderId="3" xfId="0" applyNumberFormat="1" applyFont="1" applyFill="1" applyBorder="1" applyAlignment="1">
      <alignment horizontal="center"/>
    </xf>
    <xf numFmtId="14" fontId="3" fillId="6" borderId="3" xfId="0" applyNumberFormat="1" applyFont="1" applyFill="1" applyBorder="1" applyAlignment="1">
      <alignment horizontal="center" wrapText="1"/>
    </xf>
    <xf numFmtId="14" fontId="3" fillId="6" borderId="4" xfId="0" applyNumberFormat="1" applyFont="1" applyFill="1" applyBorder="1" applyAlignment="1">
      <alignment horizontal="left" wrapText="1"/>
    </xf>
    <xf numFmtId="0" fontId="5" fillId="0" borderId="0" xfId="0" applyFont="1"/>
    <xf numFmtId="0" fontId="3" fillId="0" borderId="0" xfId="0" applyFont="1"/>
    <xf numFmtId="14" fontId="5" fillId="0" borderId="0" xfId="0" applyNumberFormat="1" applyFont="1"/>
    <xf numFmtId="165" fontId="5" fillId="0" borderId="0" xfId="0" applyNumberFormat="1" applyFont="1" applyAlignment="1">
      <alignment horizontal="center"/>
    </xf>
    <xf numFmtId="165" fontId="3" fillId="0" borderId="0" xfId="0" applyNumberFormat="1" applyFont="1" applyAlignment="1">
      <alignment horizontal="center"/>
    </xf>
    <xf numFmtId="165" fontId="6" fillId="0" borderId="0" xfId="0" applyNumberFormat="1" applyFont="1" applyAlignment="1">
      <alignment horizontal="left"/>
    </xf>
    <xf numFmtId="165" fontId="5" fillId="0" borderId="0" xfId="0" applyNumberFormat="1" applyFont="1" applyAlignment="1">
      <alignment horizontal="left"/>
    </xf>
    <xf numFmtId="0" fontId="7" fillId="0" borderId="5" xfId="0" applyFont="1" applyBorder="1" applyAlignment="1">
      <alignment vertical="center" wrapText="1"/>
    </xf>
    <xf numFmtId="14" fontId="5" fillId="0" borderId="6" xfId="0" applyNumberFormat="1" applyFont="1" applyBorder="1" applyAlignment="1">
      <alignment horizontal="left" vertical="center" wrapText="1"/>
    </xf>
    <xf numFmtId="0" fontId="5" fillId="0" borderId="0" xfId="0" applyFont="1" applyAlignment="1">
      <alignment wrapText="1"/>
    </xf>
    <xf numFmtId="0" fontId="8" fillId="0" borderId="6" xfId="0" applyFont="1" applyBorder="1" applyAlignment="1">
      <alignment horizontal="center" vertical="center" wrapText="1"/>
    </xf>
    <xf numFmtId="0" fontId="5" fillId="0" borderId="6" xfId="0" applyFont="1" applyBorder="1" applyAlignment="1">
      <alignment wrapText="1"/>
    </xf>
    <xf numFmtId="14" fontId="5" fillId="0" borderId="0" xfId="0" applyNumberFormat="1" applyFont="1" applyAlignment="1">
      <alignment horizontal="right" wrapText="1"/>
    </xf>
    <xf numFmtId="0" fontId="11" fillId="7" borderId="0" xfId="0" applyFont="1" applyFill="1" applyAlignment="1">
      <alignment horizontal="center" vertical="center" wrapText="1"/>
    </xf>
    <xf numFmtId="0" fontId="12" fillId="9" borderId="0" xfId="0" applyFont="1" applyFill="1" applyAlignment="1">
      <alignment horizontal="center" vertical="center" wrapText="1"/>
    </xf>
    <xf numFmtId="0" fontId="3" fillId="0" borderId="0" xfId="0" applyFont="1" applyAlignment="1">
      <alignment wrapText="1"/>
    </xf>
    <xf numFmtId="14" fontId="3" fillId="10" borderId="0" xfId="0" applyNumberFormat="1" applyFont="1" applyFill="1" applyAlignment="1">
      <alignment horizontal="left" wrapText="1"/>
    </xf>
    <xf numFmtId="14" fontId="3" fillId="10" borderId="0" xfId="0" applyNumberFormat="1" applyFont="1" applyFill="1" applyAlignment="1">
      <alignment horizontal="center" wrapText="1"/>
    </xf>
    <xf numFmtId="0" fontId="3" fillId="10" borderId="0" xfId="0" applyFont="1" applyFill="1" applyAlignment="1">
      <alignment horizontal="center" wrapText="1"/>
    </xf>
    <xf numFmtId="0" fontId="2" fillId="10" borderId="0" xfId="0" applyFont="1" applyFill="1" applyAlignment="1">
      <alignment horizontal="center" wrapText="1"/>
    </xf>
    <xf numFmtId="0" fontId="5" fillId="10" borderId="0" xfId="0" applyFont="1" applyFill="1" applyAlignment="1">
      <alignment horizontal="center" wrapText="1"/>
    </xf>
    <xf numFmtId="0" fontId="3" fillId="10" borderId="0" xfId="0" applyFont="1" applyFill="1" applyAlignment="1">
      <alignment wrapText="1"/>
    </xf>
    <xf numFmtId="14" fontId="3" fillId="4" borderId="0" xfId="0" applyNumberFormat="1" applyFont="1" applyFill="1" applyAlignment="1">
      <alignment horizontal="center" wrapText="1"/>
    </xf>
    <xf numFmtId="0" fontId="5" fillId="7" borderId="0" xfId="0" applyFont="1" applyFill="1" applyAlignment="1">
      <alignment textRotation="90" wrapText="1"/>
    </xf>
    <xf numFmtId="0" fontId="13" fillId="11" borderId="0" xfId="0" applyFont="1" applyFill="1" applyAlignment="1">
      <alignment textRotation="90" wrapText="1"/>
    </xf>
    <xf numFmtId="0" fontId="12" fillId="2" borderId="0" xfId="0" applyFont="1" applyFill="1" applyAlignment="1">
      <alignment horizontal="center" wrapText="1"/>
    </xf>
    <xf numFmtId="0" fontId="12" fillId="8" borderId="0" xfId="0" applyFont="1" applyFill="1" applyAlignment="1">
      <alignment horizontal="center" wrapText="1"/>
    </xf>
    <xf numFmtId="0" fontId="1" fillId="8" borderId="0" xfId="0" applyFont="1" applyFill="1" applyAlignment="1">
      <alignment horizontal="center" wrapText="1"/>
    </xf>
    <xf numFmtId="0" fontId="1" fillId="2" borderId="0" xfId="0" applyFont="1" applyFill="1" applyAlignment="1">
      <alignment horizontal="center" wrapText="1"/>
    </xf>
    <xf numFmtId="0" fontId="14" fillId="9" borderId="0" xfId="0" applyFont="1" applyFill="1" applyAlignment="1">
      <alignment horizontal="center" wrapText="1"/>
    </xf>
    <xf numFmtId="0" fontId="15" fillId="0" borderId="0" xfId="0" applyFont="1" applyAlignment="1">
      <alignment horizontal="left" vertical="center" wrapText="1"/>
    </xf>
    <xf numFmtId="166" fontId="5" fillId="0" borderId="0" xfId="0" applyNumberFormat="1" applyFont="1" applyAlignment="1">
      <alignment horizontal="left" vertical="center" wrapText="1"/>
    </xf>
    <xf numFmtId="0" fontId="5" fillId="0" borderId="0" xfId="0" applyFont="1" applyAlignment="1">
      <alignment horizontal="left" vertical="center" wrapText="1"/>
    </xf>
    <xf numFmtId="14" fontId="5" fillId="0" borderId="0" xfId="0" applyNumberFormat="1" applyFont="1" applyAlignment="1">
      <alignment horizontal="right" vertical="center" wrapText="1"/>
    </xf>
    <xf numFmtId="14" fontId="5" fillId="0" borderId="0" xfId="0" applyNumberFormat="1" applyFont="1" applyAlignment="1">
      <alignment horizontal="left" vertical="center" wrapText="1"/>
    </xf>
    <xf numFmtId="0" fontId="16" fillId="0" borderId="0" xfId="0" applyFont="1" applyAlignment="1">
      <alignment horizontal="left" vertical="center"/>
    </xf>
    <xf numFmtId="0" fontId="17" fillId="0" borderId="0" xfId="0" applyFont="1" applyAlignment="1">
      <alignment wrapText="1"/>
    </xf>
    <xf numFmtId="166" fontId="5" fillId="0" borderId="0" xfId="0" applyNumberFormat="1" applyFont="1" applyAlignment="1">
      <alignment horizontal="left" wrapText="1"/>
    </xf>
    <xf numFmtId="14" fontId="5" fillId="0" borderId="0" xfId="0" applyNumberFormat="1" applyFont="1" applyAlignment="1">
      <alignment wrapText="1"/>
    </xf>
    <xf numFmtId="166" fontId="5" fillId="0" borderId="0" xfId="0" applyNumberFormat="1" applyFont="1" applyAlignment="1">
      <alignment wrapText="1"/>
    </xf>
    <xf numFmtId="166" fontId="5" fillId="0" borderId="0" xfId="0" applyNumberFormat="1" applyFont="1"/>
    <xf numFmtId="0" fontId="5" fillId="0" borderId="0" xfId="0" applyFont="1" applyAlignment="1">
      <alignment horizontal="left" vertical="center"/>
    </xf>
    <xf numFmtId="0" fontId="18" fillId="0" borderId="0" xfId="0" applyFont="1"/>
    <xf numFmtId="0" fontId="5" fillId="12" borderId="0" xfId="0" applyFont="1" applyFill="1"/>
    <xf numFmtId="0" fontId="5" fillId="5" borderId="0" xfId="0" applyFont="1" applyFill="1"/>
    <xf numFmtId="0" fontId="5" fillId="13" borderId="0" xfId="0" applyFont="1" applyFill="1"/>
    <xf numFmtId="0" fontId="5" fillId="8" borderId="0" xfId="0" applyFont="1" applyFill="1"/>
    <xf numFmtId="0" fontId="19" fillId="0" borderId="0" xfId="0" applyFont="1"/>
    <xf numFmtId="0" fontId="20" fillId="0" borderId="0" xfId="0" applyFont="1"/>
    <xf numFmtId="0" fontId="21" fillId="0" borderId="5" xfId="0" applyFont="1" applyBorder="1" applyAlignment="1">
      <alignment horizontal="center" vertical="center"/>
    </xf>
    <xf numFmtId="0" fontId="5" fillId="0" borderId="6" xfId="0" applyFont="1" applyBorder="1" applyAlignment="1">
      <alignment horizontal="right" vertical="center"/>
    </xf>
    <xf numFmtId="0" fontId="22" fillId="0" borderId="6" xfId="0" applyFont="1" applyBorder="1" applyAlignment="1">
      <alignment horizontal="center" vertical="center"/>
    </xf>
    <xf numFmtId="0" fontId="5" fillId="0" borderId="7" xfId="0" applyFont="1" applyBorder="1" applyAlignment="1">
      <alignment horizontal="center" vertical="center" wrapText="1"/>
    </xf>
    <xf numFmtId="0" fontId="5" fillId="0" borderId="0" xfId="0" applyFont="1" applyAlignment="1">
      <alignment horizontal="center"/>
    </xf>
    <xf numFmtId="0" fontId="5" fillId="0" borderId="0" xfId="0" applyFont="1" applyAlignment="1">
      <alignment horizontal="right"/>
    </xf>
    <xf numFmtId="0" fontId="5" fillId="0" borderId="0" xfId="0" applyFont="1" applyAlignment="1">
      <alignment horizontal="center" textRotation="90"/>
    </xf>
    <xf numFmtId="0" fontId="3" fillId="0" borderId="0" xfId="0" applyFont="1" applyAlignment="1">
      <alignment horizontal="center" wrapText="1"/>
    </xf>
    <xf numFmtId="0" fontId="3" fillId="14" borderId="0" xfId="0" applyFont="1" applyFill="1" applyAlignment="1">
      <alignment horizontal="center" wrapText="1"/>
    </xf>
    <xf numFmtId="0" fontId="7" fillId="14" borderId="0" xfId="0" applyFont="1" applyFill="1" applyAlignment="1">
      <alignment horizontal="center" wrapText="1"/>
    </xf>
    <xf numFmtId="0" fontId="5" fillId="14" borderId="0" xfId="0" applyFont="1" applyFill="1" applyAlignment="1">
      <alignment horizontal="center" wrapText="1"/>
    </xf>
    <xf numFmtId="0" fontId="4" fillId="15" borderId="0" xfId="0" applyFont="1" applyFill="1" applyAlignment="1">
      <alignment horizontal="center" wrapText="1"/>
    </xf>
    <xf numFmtId="0" fontId="3" fillId="16" borderId="0" xfId="0" applyFont="1" applyFill="1" applyAlignment="1">
      <alignment horizontal="center" wrapText="1"/>
    </xf>
    <xf numFmtId="0" fontId="5" fillId="16" borderId="0" xfId="0" applyFont="1" applyFill="1" applyAlignment="1">
      <alignment horizontal="center" textRotation="90" wrapText="1"/>
    </xf>
    <xf numFmtId="0" fontId="3" fillId="16" borderId="0" xfId="0" applyFont="1" applyFill="1" applyAlignment="1">
      <alignment horizontal="center" textRotation="90" wrapText="1"/>
    </xf>
    <xf numFmtId="0" fontId="3" fillId="5" borderId="0" xfId="0" applyFont="1" applyFill="1" applyAlignment="1">
      <alignment horizontal="center" wrapText="1"/>
    </xf>
    <xf numFmtId="0" fontId="3" fillId="2" borderId="0" xfId="0" applyFont="1" applyFill="1" applyAlignment="1">
      <alignment horizontal="center" wrapText="1"/>
    </xf>
    <xf numFmtId="0" fontId="5" fillId="2" borderId="0" xfId="0" applyFont="1" applyFill="1" applyAlignment="1">
      <alignment horizontal="center" wrapText="1"/>
    </xf>
    <xf numFmtId="0" fontId="23" fillId="0" borderId="0" xfId="0" applyFont="1" applyAlignment="1">
      <alignment horizontal="left" wrapText="1"/>
    </xf>
    <xf numFmtId="166" fontId="5" fillId="0" borderId="0" xfId="0" applyNumberFormat="1" applyFont="1" applyAlignment="1">
      <alignment horizontal="right" wrapText="1"/>
    </xf>
    <xf numFmtId="0" fontId="5" fillId="0" borderId="0" xfId="0" applyFont="1" applyAlignment="1">
      <alignment horizontal="left" wrapText="1"/>
    </xf>
    <xf numFmtId="0" fontId="24" fillId="0" borderId="0" xfId="0" applyFont="1" applyAlignment="1">
      <alignment horizontal="left"/>
    </xf>
    <xf numFmtId="0" fontId="25" fillId="0" borderId="0" xfId="0" applyFont="1" applyAlignment="1">
      <alignment horizontal="left"/>
    </xf>
    <xf numFmtId="166" fontId="5" fillId="0" borderId="0" xfId="0" applyNumberFormat="1" applyFont="1" applyAlignment="1">
      <alignment horizontal="right"/>
    </xf>
    <xf numFmtId="0" fontId="5" fillId="0" borderId="0" xfId="0" applyFont="1" applyAlignment="1">
      <alignment horizontal="left"/>
    </xf>
    <xf numFmtId="14" fontId="5" fillId="0" borderId="0" xfId="0" applyNumberFormat="1" applyFont="1" applyAlignment="1">
      <alignment horizontal="right"/>
    </xf>
    <xf numFmtId="0" fontId="26" fillId="0" borderId="5" xfId="0" applyFont="1" applyBorder="1" applyAlignment="1">
      <alignment vertical="center" wrapText="1"/>
    </xf>
    <xf numFmtId="0" fontId="3" fillId="0" borderId="6" xfId="0" applyFont="1" applyBorder="1" applyAlignment="1">
      <alignment wrapText="1"/>
    </xf>
    <xf numFmtId="0" fontId="27" fillId="0" borderId="6" xfId="0" applyFont="1" applyBorder="1" applyAlignment="1">
      <alignment horizontal="center" vertical="center" wrapText="1"/>
    </xf>
    <xf numFmtId="0" fontId="7" fillId="0" borderId="6" xfId="0" applyFont="1" applyBorder="1" applyAlignment="1">
      <alignment wrapText="1"/>
    </xf>
    <xf numFmtId="0" fontId="3" fillId="0" borderId="7" xfId="0" applyFont="1" applyBorder="1" applyAlignment="1">
      <alignment wrapText="1"/>
    </xf>
    <xf numFmtId="0" fontId="4" fillId="17" borderId="0" xfId="0" applyFont="1" applyFill="1" applyAlignment="1">
      <alignment wrapText="1"/>
    </xf>
    <xf numFmtId="0" fontId="28" fillId="17" borderId="0" xfId="0" applyFont="1" applyFill="1" applyAlignment="1">
      <alignment wrapText="1"/>
    </xf>
    <xf numFmtId="0" fontId="3" fillId="5" borderId="0" xfId="0" applyFont="1" applyFill="1" applyAlignment="1">
      <alignment wrapText="1"/>
    </xf>
    <xf numFmtId="0" fontId="3" fillId="2" borderId="0" xfId="0" applyFont="1" applyFill="1" applyAlignment="1">
      <alignment wrapText="1"/>
    </xf>
    <xf numFmtId="0" fontId="29" fillId="0" borderId="0" xfId="0" applyFont="1"/>
    <xf numFmtId="0" fontId="11" fillId="0" borderId="0" xfId="0" applyFont="1" applyAlignment="1">
      <alignment vertical="center"/>
    </xf>
    <xf numFmtId="0" fontId="5" fillId="14" borderId="0" xfId="0" applyFont="1" applyFill="1" applyAlignment="1">
      <alignment horizontal="center" vertical="center"/>
    </xf>
    <xf numFmtId="0" fontId="4" fillId="18" borderId="2" xfId="0" applyFont="1" applyFill="1" applyBorder="1"/>
    <xf numFmtId="0" fontId="4" fillId="18" borderId="3" xfId="0" applyFont="1" applyFill="1" applyBorder="1"/>
    <xf numFmtId="14" fontId="4" fillId="18" borderId="3" xfId="0" applyNumberFormat="1" applyFont="1" applyFill="1" applyBorder="1"/>
    <xf numFmtId="14" fontId="4" fillId="18" borderId="3" xfId="0" applyNumberFormat="1" applyFont="1" applyFill="1" applyBorder="1" applyAlignment="1">
      <alignment horizontal="center"/>
    </xf>
    <xf numFmtId="14" fontId="4" fillId="18" borderId="3" xfId="0" applyNumberFormat="1" applyFont="1" applyFill="1" applyBorder="1" applyAlignment="1">
      <alignment horizontal="center" wrapText="1"/>
    </xf>
    <xf numFmtId="14" fontId="4" fillId="18" borderId="4" xfId="0" applyNumberFormat="1" applyFont="1" applyFill="1" applyBorder="1" applyAlignment="1">
      <alignment horizontal="left" wrapText="1"/>
    </xf>
    <xf numFmtId="0" fontId="5" fillId="16" borderId="0" xfId="0" applyFont="1" applyFill="1"/>
    <xf numFmtId="0" fontId="3" fillId="16" borderId="0" xfId="0" applyFont="1" applyFill="1"/>
    <xf numFmtId="0" fontId="3" fillId="16" borderId="0" xfId="0" applyFont="1" applyFill="1" applyAlignment="1">
      <alignment vertical="center"/>
    </xf>
    <xf numFmtId="0" fontId="5" fillId="0" borderId="0" xfId="0" applyFont="1" applyAlignment="1">
      <alignment vertical="center"/>
    </xf>
    <xf numFmtId="0" fontId="3" fillId="16" borderId="0" xfId="0" applyFont="1" applyFill="1" applyAlignment="1">
      <alignment vertical="top"/>
    </xf>
    <xf numFmtId="0" fontId="0" fillId="0" borderId="0" xfId="0"/>
    <xf numFmtId="0" fontId="2" fillId="0" borderId="0" xfId="0" applyFont="1" applyAlignment="1">
      <alignment horizontal="center" vertical="top" wrapText="1"/>
    </xf>
    <xf numFmtId="0" fontId="9" fillId="0" borderId="7" xfId="0" applyFont="1" applyBorder="1" applyAlignment="1">
      <alignment horizontal="center" vertical="center" wrapText="1"/>
    </xf>
    <xf numFmtId="0" fontId="10" fillId="0" borderId="5" xfId="0" applyFont="1" applyBorder="1"/>
    <xf numFmtId="0" fontId="11" fillId="7" borderId="0" xfId="0" applyFont="1" applyFill="1" applyAlignment="1">
      <alignment horizontal="center" vertical="center" wrapText="1"/>
    </xf>
    <xf numFmtId="0" fontId="12" fillId="2" borderId="0" xfId="0" applyFont="1" applyFill="1" applyAlignment="1">
      <alignment horizontal="center" vertical="center" wrapText="1"/>
    </xf>
    <xf numFmtId="0" fontId="12" fillId="8" borderId="0" xfId="0" applyFont="1" applyFill="1" applyAlignment="1">
      <alignment horizontal="center" vertical="center" wrapText="1"/>
    </xf>
    <xf numFmtId="0" fontId="12" fillId="9" borderId="0" xfId="0" applyFont="1" applyFill="1" applyAlignment="1">
      <alignment horizontal="center" vertical="center" wrapText="1"/>
    </xf>
    <xf numFmtId="0" fontId="30" fillId="0" borderId="0" xfId="0" applyFont="1" applyAlignment="1">
      <alignment vertical="center" wrapText="1"/>
    </xf>
    <xf numFmtId="0" fontId="0" fillId="9" borderId="0" xfId="0" applyFont="1" applyFill="1" applyAlignment="1">
      <alignment horizontal="center" wrapText="1"/>
    </xf>
  </cellXfs>
  <cellStyles count="1">
    <cellStyle name="Normal" xfId="0" builtinId="0"/>
  </cellStyles>
  <dxfs count="44">
    <dxf>
      <font>
        <color rgb="FFFF6D01"/>
      </font>
      <fill>
        <patternFill patternType="solid">
          <fgColor rgb="FFEFEFEF"/>
          <bgColor rgb="FFEFEFEF"/>
        </patternFill>
      </fill>
    </dxf>
    <dxf>
      <font>
        <color rgb="FF38761D"/>
      </font>
      <fill>
        <patternFill patternType="solid">
          <fgColor rgb="FFEFEFEF"/>
          <bgColor rgb="FFEFEFEF"/>
        </patternFill>
      </fill>
    </dxf>
    <dxf>
      <font>
        <color rgb="FF1155CC"/>
      </font>
      <fill>
        <patternFill patternType="solid">
          <fgColor rgb="FFEFEFEF"/>
          <bgColor rgb="FFEFEFEF"/>
        </patternFill>
      </fill>
    </dxf>
    <dxf>
      <font>
        <color rgb="FFFFFFFF"/>
      </font>
      <fill>
        <patternFill patternType="solid">
          <fgColor rgb="FFFFFFFF"/>
          <bgColor rgb="FFFFFFFF"/>
        </patternFill>
      </fill>
    </dxf>
    <dxf>
      <font>
        <color rgb="FF3C78D8"/>
      </font>
      <fill>
        <patternFill patternType="solid">
          <fgColor rgb="FFFFF2CC"/>
          <bgColor rgb="FFFFF2CC"/>
        </patternFill>
      </fill>
    </dxf>
    <dxf>
      <font>
        <b/>
        <color rgb="FF741B47"/>
      </font>
      <fill>
        <patternFill patternType="solid">
          <fgColor rgb="FFFFF2CC"/>
          <bgColor rgb="FFFFF2CC"/>
        </patternFill>
      </fill>
    </dxf>
    <dxf>
      <font>
        <color rgb="FF6AA84F"/>
      </font>
      <fill>
        <patternFill patternType="solid">
          <fgColor rgb="FFFFF2CC"/>
          <bgColor rgb="FFFFF2CC"/>
        </patternFill>
      </fill>
    </dxf>
    <dxf>
      <font>
        <color rgb="FFCC0000"/>
      </font>
      <fill>
        <patternFill patternType="solid">
          <fgColor rgb="FFFFF2CC"/>
          <bgColor rgb="FFFFF2CC"/>
        </patternFill>
      </fill>
    </dxf>
    <dxf>
      <fill>
        <patternFill patternType="solid">
          <fgColor rgb="FFFFF2CC"/>
          <bgColor rgb="FFFFF2CC"/>
        </patternFill>
      </fill>
    </dxf>
    <dxf>
      <fill>
        <patternFill patternType="solid">
          <fgColor rgb="FFF4CCCC"/>
          <bgColor rgb="FFF4CCCC"/>
        </patternFill>
      </fill>
    </dxf>
    <dxf>
      <fill>
        <patternFill patternType="solid">
          <fgColor rgb="FFB7E1CD"/>
          <bgColor rgb="FFB7E1CD"/>
        </patternFill>
      </fill>
    </dxf>
    <dxf>
      <font>
        <color rgb="FF000000"/>
      </font>
      <fill>
        <patternFill patternType="solid">
          <fgColor rgb="FFCFE2F3"/>
          <bgColor rgb="FFCFE2F3"/>
        </patternFill>
      </fill>
    </dxf>
    <dxf>
      <font>
        <color rgb="FF000000"/>
      </font>
      <fill>
        <patternFill patternType="solid">
          <fgColor rgb="FFFCE5CD"/>
          <bgColor rgb="FFFCE5CD"/>
        </patternFill>
      </fill>
    </dxf>
    <dxf>
      <fill>
        <patternFill patternType="solid">
          <fgColor rgb="FFFFF2CC"/>
          <bgColor rgb="FFFFF2CC"/>
        </patternFill>
      </fill>
    </dxf>
    <dxf>
      <font>
        <color rgb="FFFFFFFF"/>
      </font>
      <fill>
        <patternFill patternType="solid">
          <fgColor rgb="FF6AA84F"/>
          <bgColor rgb="FF6AA84F"/>
        </patternFill>
      </fill>
    </dxf>
    <dxf>
      <fill>
        <patternFill patternType="solid">
          <fgColor rgb="FFCFE2F3"/>
          <bgColor rgb="FFCFE2F3"/>
        </patternFill>
      </fill>
    </dxf>
    <dxf>
      <font>
        <color rgb="FF990000"/>
      </font>
      <fill>
        <patternFill patternType="none"/>
      </fill>
    </dxf>
    <dxf>
      <font>
        <color rgb="FFFFFFFF"/>
      </font>
      <fill>
        <patternFill patternType="solid">
          <fgColor rgb="FF6AA84F"/>
          <bgColor rgb="FF6AA84F"/>
        </patternFill>
      </fill>
    </dxf>
    <dxf>
      <fill>
        <patternFill patternType="solid">
          <fgColor rgb="FFFFFF00"/>
          <bgColor rgb="FFFFFF00"/>
        </patternFill>
      </fill>
    </dxf>
    <dxf>
      <font>
        <color rgb="FFFFFFFF"/>
      </font>
      <fill>
        <patternFill patternType="solid">
          <fgColor rgb="FF38761D"/>
          <bgColor rgb="FF38761D"/>
        </patternFill>
      </fill>
    </dxf>
    <dxf>
      <fill>
        <patternFill patternType="solid">
          <fgColor rgb="FFFFFF00"/>
          <bgColor rgb="FFFFFF00"/>
        </patternFill>
      </fill>
    </dxf>
    <dxf>
      <fill>
        <patternFill patternType="solid">
          <fgColor rgb="FFEA9999"/>
          <bgColor rgb="FFEA9999"/>
        </patternFill>
      </fill>
    </dxf>
    <dxf>
      <font>
        <color rgb="FF990000"/>
      </font>
      <fill>
        <patternFill patternType="none"/>
      </fill>
    </dxf>
    <dxf>
      <font>
        <color rgb="FF38761D"/>
      </font>
      <fill>
        <patternFill patternType="none"/>
      </fill>
    </dxf>
    <dxf>
      <font>
        <b/>
        <color rgb="FFCC0000"/>
      </font>
      <fill>
        <patternFill patternType="solid">
          <fgColor rgb="FFFFFFFF"/>
          <bgColor rgb="FFFFFFFF"/>
        </patternFill>
      </fill>
    </dxf>
    <dxf>
      <font>
        <b/>
        <color rgb="FFCC0000"/>
      </font>
      <fill>
        <patternFill patternType="solid">
          <fgColor rgb="FFFFFFFF"/>
          <bgColor rgb="FFFFFFFF"/>
        </patternFill>
      </fill>
    </dxf>
    <dxf>
      <font>
        <color rgb="FFFFFFFF"/>
      </font>
      <fill>
        <patternFill patternType="solid">
          <fgColor rgb="FF38761D"/>
          <bgColor rgb="FF38761D"/>
        </patternFill>
      </fill>
    </dxf>
    <dxf>
      <fill>
        <patternFill patternType="solid">
          <fgColor rgb="FFCFE2F3"/>
          <bgColor rgb="FFCFE2F3"/>
        </patternFill>
      </fill>
    </dxf>
    <dxf>
      <fill>
        <patternFill patternType="solid">
          <fgColor rgb="FFEAD1DC"/>
          <bgColor rgb="FFEAD1DC"/>
        </patternFill>
      </fill>
    </dxf>
    <dxf>
      <fill>
        <patternFill patternType="solid">
          <fgColor rgb="FFEAD1DC"/>
          <bgColor rgb="FFEAD1DC"/>
        </patternFill>
      </fill>
    </dxf>
    <dxf>
      <fill>
        <patternFill patternType="solid">
          <fgColor rgb="FFD9EAD3"/>
          <bgColor rgb="FFD9EAD3"/>
        </patternFill>
      </fill>
    </dxf>
    <dxf>
      <fill>
        <patternFill patternType="solid">
          <fgColor rgb="FFFFF2CC"/>
          <bgColor rgb="FFFFF2CC"/>
        </patternFill>
      </fill>
    </dxf>
    <dxf>
      <fill>
        <patternFill patternType="solid">
          <fgColor rgb="FF00FF00"/>
          <bgColor rgb="FF00FF00"/>
        </patternFill>
      </fill>
    </dxf>
    <dxf>
      <font>
        <color rgb="FFFF6D01"/>
      </font>
      <fill>
        <patternFill patternType="solid">
          <fgColor rgb="FFEFEFEF"/>
          <bgColor rgb="FFEFEFEF"/>
        </patternFill>
      </fill>
    </dxf>
    <dxf>
      <font>
        <color rgb="FF38761D"/>
      </font>
      <fill>
        <patternFill patternType="solid">
          <fgColor rgb="FFEFEFEF"/>
          <bgColor rgb="FFEFEFEF"/>
        </patternFill>
      </fill>
    </dxf>
    <dxf>
      <font>
        <color rgb="FF1155CC"/>
      </font>
      <fill>
        <patternFill patternType="solid">
          <fgColor rgb="FFEFEFEF"/>
          <bgColor rgb="FFEFEFEF"/>
        </patternFill>
      </fill>
    </dxf>
    <dxf>
      <font>
        <color rgb="FFFFFFFF"/>
      </font>
      <fill>
        <patternFill patternType="solid">
          <fgColor rgb="FFFFFFFF"/>
          <bgColor rgb="FFFFFFFF"/>
        </patternFill>
      </fill>
    </dxf>
    <dxf>
      <font>
        <color rgb="FF3C78D8"/>
      </font>
      <fill>
        <patternFill patternType="solid">
          <fgColor rgb="FFFFF2CC"/>
          <bgColor rgb="FFFFF2CC"/>
        </patternFill>
      </fill>
    </dxf>
    <dxf>
      <font>
        <b/>
        <color rgb="FF741B47"/>
      </font>
      <fill>
        <patternFill patternType="solid">
          <fgColor rgb="FFFFF2CC"/>
          <bgColor rgb="FFFFF2CC"/>
        </patternFill>
      </fill>
    </dxf>
    <dxf>
      <font>
        <color rgb="FF6AA84F"/>
      </font>
      <fill>
        <patternFill patternType="solid">
          <fgColor rgb="FFFFF2CC"/>
          <bgColor rgb="FFFFF2CC"/>
        </patternFill>
      </fill>
    </dxf>
    <dxf>
      <font>
        <color rgb="FFCC0000"/>
      </font>
      <fill>
        <patternFill patternType="solid">
          <fgColor rgb="FFFFF2CC"/>
          <bgColor rgb="FFFFF2CC"/>
        </patternFill>
      </fill>
    </dxf>
    <dxf>
      <fill>
        <patternFill patternType="solid">
          <fgColor rgb="FFFFF2CC"/>
          <bgColor rgb="FFFFF2CC"/>
        </patternFill>
      </fill>
    </dxf>
    <dxf>
      <fill>
        <patternFill patternType="solid">
          <fgColor rgb="FFF4CCCC"/>
          <bgColor rgb="FFF4CCCC"/>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4</xdr:col>
      <xdr:colOff>133350</xdr:colOff>
      <xdr:row>0</xdr:row>
      <xdr:rowOff>85725</xdr:rowOff>
    </xdr:from>
    <xdr:ext cx="1600200" cy="276225"/>
    <xdr:sp macro="" textlink="">
      <xdr:nvSpPr>
        <xdr:cNvPr id="3" name="Shape 3">
          <a:extLst>
            <a:ext uri="{FF2B5EF4-FFF2-40B4-BE49-F238E27FC236}">
              <a16:creationId xmlns:a16="http://schemas.microsoft.com/office/drawing/2014/main" id="{00000000-0008-0000-0300-000003000000}"/>
            </a:ext>
          </a:extLst>
        </xdr:cNvPr>
        <xdr:cNvSpPr/>
      </xdr:nvSpPr>
      <xdr:spPr>
        <a:xfrm>
          <a:off x="111475" y="111450"/>
          <a:ext cx="1582200" cy="258600"/>
        </a:xfrm>
        <a:prstGeom prst="roundRect">
          <a:avLst>
            <a:gd name="adj" fmla="val 16667"/>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200"/>
            <a:t>Add Unit Sustaining</a:t>
          </a:r>
          <a:endParaRPr sz="12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4</xdr:col>
      <xdr:colOff>285750</xdr:colOff>
      <xdr:row>0</xdr:row>
      <xdr:rowOff>85725</xdr:rowOff>
    </xdr:from>
    <xdr:ext cx="1905000" cy="295275"/>
    <xdr:sp macro="" textlink="">
      <xdr:nvSpPr>
        <xdr:cNvPr id="4" name="Shape 4">
          <a:extLst>
            <a:ext uri="{FF2B5EF4-FFF2-40B4-BE49-F238E27FC236}">
              <a16:creationId xmlns:a16="http://schemas.microsoft.com/office/drawing/2014/main" id="{00000000-0008-0000-0400-000004000000}"/>
            </a:ext>
          </a:extLst>
        </xdr:cNvPr>
        <xdr:cNvSpPr/>
      </xdr:nvSpPr>
      <xdr:spPr>
        <a:xfrm>
          <a:off x="81600" y="81600"/>
          <a:ext cx="1841100" cy="278700"/>
        </a:xfrm>
        <a:prstGeom prst="roundRect">
          <a:avLst>
            <a:gd name="adj" fmla="val 16667"/>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200"/>
            <a:t>Add Unit Sustaining</a:t>
          </a:r>
          <a:endParaRPr sz="12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4</xdr:col>
      <xdr:colOff>981075</xdr:colOff>
      <xdr:row>0</xdr:row>
      <xdr:rowOff>133350</xdr:rowOff>
    </xdr:from>
    <xdr:ext cx="2047875" cy="342900"/>
    <xdr:sp macro="" textlink="">
      <xdr:nvSpPr>
        <xdr:cNvPr id="5" name="Shape 5">
          <a:extLst>
            <a:ext uri="{FF2B5EF4-FFF2-40B4-BE49-F238E27FC236}">
              <a16:creationId xmlns:a16="http://schemas.microsoft.com/office/drawing/2014/main" id="{00000000-0008-0000-0500-000005000000}"/>
            </a:ext>
          </a:extLst>
        </xdr:cNvPr>
        <xdr:cNvSpPr/>
      </xdr:nvSpPr>
      <xdr:spPr>
        <a:xfrm>
          <a:off x="178325" y="138700"/>
          <a:ext cx="2031000" cy="327000"/>
        </a:xfrm>
        <a:prstGeom prst="roundRect">
          <a:avLst>
            <a:gd name="adj" fmla="val 16667"/>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200"/>
            <a:t>Add Unit Sustaining</a:t>
          </a:r>
          <a:endParaRPr sz="12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docs.google.com/forms/d/e/1FAIpQLSd37AKX0Ca1Yeje6eC6NuliFZj5Spn7I7mXRsa9kBsXMqB-Ag/viewform?edit2=2_ABaOnueYWLUCkhOyJAhdd6sl35WX-SzQl1fVfL0acBK39C3PrSGDfh5FKCpV-EWK10pwrqQ" TargetMode="External"/><Relationship Id="rId13" Type="http://schemas.openxmlformats.org/officeDocument/2006/relationships/hyperlink" Target="https://docs.google.com/forms/d/e/1FAIpQLSd37AKX0Ca1Yeje6eC6NuliFZj5Spn7I7mXRsa9kBsXMqB-Ag/viewform?edit2=2_ABaOnuff1NqAKnZeZFWYAZ37X-J5lZZRuI-4HxjIyakngMffc9MgN7mqhOsy4yZwbSwlM5A" TargetMode="External"/><Relationship Id="rId18" Type="http://schemas.openxmlformats.org/officeDocument/2006/relationships/hyperlink" Target="https://docs.google.com/forms/d/e/1FAIpQLScKfK1Xq_AfFRyZkOlyT2n4Ugr8FdePyUxPct4kYLgKJ3YlMQ/viewform?edit2=2_ABaOnucvgZ8hcmHj8eo8Gttfaa2Xb_k25Mz2N0V6ThqYfwGsiep8vt9_VOKJTNSs6iScXCU" TargetMode="External"/><Relationship Id="rId3" Type="http://schemas.openxmlformats.org/officeDocument/2006/relationships/hyperlink" Target="https://docs.google.com/forms/d/e/1FAIpQLSd37AKX0Ca1Yeje6eC6NuliFZj5Spn7I7mXRsa9kBsXMqB-Ag/viewform?edit2=2_ABaOnuerF-9S-0PUnAo-xLIpSHuJa6TuFg8a5-HK4pKoELYuVYouRoOvSYDtqHqjDqv1WPE" TargetMode="External"/><Relationship Id="rId7" Type="http://schemas.openxmlformats.org/officeDocument/2006/relationships/hyperlink" Target="https://docs.google.com/forms/d/e/1FAIpQLSd37AKX0Ca1Yeje6eC6NuliFZj5Spn7I7mXRsa9kBsXMqB-Ag/viewform?edit2=2_ABaOnufG4qkFQOtlvqNs92E6J7QIRFpabq77LhYs1EKoIUylzebWNv8mFo_PoidwofkyZ0Y" TargetMode="External"/><Relationship Id="rId12" Type="http://schemas.openxmlformats.org/officeDocument/2006/relationships/hyperlink" Target="https://docs.google.com/forms/d/e/1FAIpQLSd37AKX0Ca1Yeje6eC6NuliFZj5Spn7I7mXRsa9kBsXMqB-Ag/viewform?edit2=2_ABaOnueqOA9jOURj75fgFVzTPRoS4CvrWRrmHCOIfJ0-em66xU40R2VatgNoW4WQt5tTjMU" TargetMode="External"/><Relationship Id="rId17" Type="http://schemas.openxmlformats.org/officeDocument/2006/relationships/hyperlink" Target="https://docs.google.com/forms/d/e/1FAIpQLScKfK1Xq_AfFRyZkOlyT2n4Ugr8FdePyUxPct4kYLgKJ3YlMQ/viewform?edit2=2_ABaOnucIF0bUlpImPx8G5Cbwlu76fG6A5FGJO9bhSnfweqQLIYVGJ5NGuH1wd-Vrzig1ARY" TargetMode="External"/><Relationship Id="rId2" Type="http://schemas.openxmlformats.org/officeDocument/2006/relationships/hyperlink" Target="https://docs.google.com/forms/d/e/1FAIpQLSd37AKX0Ca1Yeje6eC6NuliFZj5Spn7I7mXRsa9kBsXMqB-Ag/viewform?edit2=2_ABaOnucU6DOq6qcvz42zkHjhZlqUckdI_P7WQvTHT6kRvXPS0nedw-Lqwshw-TPP60rFl40" TargetMode="External"/><Relationship Id="rId16" Type="http://schemas.openxmlformats.org/officeDocument/2006/relationships/hyperlink" Target="https://docs.google.com/forms/d/e/1FAIpQLScKfK1Xq_AfFRyZkOlyT2n4Ugr8FdePyUxPct4kYLgKJ3YlMQ/viewform?edit2=2_ABaOnucINqfbL2HNtyT2-rdXO1PHIOPKQtPP-hALfOhqsXkOd_XPh6FLRTCqadIMuXnaou0" TargetMode="External"/><Relationship Id="rId1" Type="http://schemas.openxmlformats.org/officeDocument/2006/relationships/hyperlink" Target="https://docs.google.com/forms/d/e/1FAIpQLSd37AKX0Ca1Yeje6eC6NuliFZj5Spn7I7mXRsa9kBsXMqB-Ag/viewform?edit2=2_ABaOnuc084FrjG7zAzRmpPq49Y4JP88xiAcq-g7-VvQwWFeceQLWBMs_PDHeU79-Vo2bATc" TargetMode="External"/><Relationship Id="rId6" Type="http://schemas.openxmlformats.org/officeDocument/2006/relationships/hyperlink" Target="https://docs.google.com/forms/d/e/1FAIpQLSd37AKX0Ca1Yeje6eC6NuliFZj5Spn7I7mXRsa9kBsXMqB-Ag/viewform?edit2=2_ABaOnueza0QWbrwz8T7sWbuoj8RQ0uTYVPMjIOquJLrwomLqVasBXKQ7q4oPdU42q5sebnY" TargetMode="External"/><Relationship Id="rId11" Type="http://schemas.openxmlformats.org/officeDocument/2006/relationships/hyperlink" Target="https://docs.google.com/forms/d/e/1FAIpQLSd37AKX0Ca1Yeje6eC6NuliFZj5Spn7I7mXRsa9kBsXMqB-Ag/viewform?edit2=2_ABaOnucXYh7TXzTa8Eiqh6G2iI9SDkB9z7HxXc-muPtZY1lxw5j5SfdnONWyGViUYdQGjOE" TargetMode="External"/><Relationship Id="rId5" Type="http://schemas.openxmlformats.org/officeDocument/2006/relationships/hyperlink" Target="https://docs.google.com/forms/d/e/1FAIpQLSd37AKX0Ca1Yeje6eC6NuliFZj5Spn7I7mXRsa9kBsXMqB-Ag/viewform?edit2=2_ABaOnuf2j7989Basd7RqeWk5ShbfC9vglbQAYME_8G0y9KgxN5a2Sxu33yjZSF-7UYqZu8U" TargetMode="External"/><Relationship Id="rId15" Type="http://schemas.openxmlformats.org/officeDocument/2006/relationships/hyperlink" Target="https://docs.google.com/forms/d/e/1FAIpQLScKfK1Xq_AfFRyZkOlyT2n4Ugr8FdePyUxPct4kYLgKJ3YlMQ/viewform?edit2=2_ABaOnucYlNz1YoXLPBAYyST6WlmELb1kBnM9BfkUaTxKov-rM8gB0ieRnkyVKFnayrBrwdE" TargetMode="External"/><Relationship Id="rId10" Type="http://schemas.openxmlformats.org/officeDocument/2006/relationships/hyperlink" Target="https://docs.google.com/forms/d/e/1FAIpQLSd37AKX0Ca1Yeje6eC6NuliFZj5Spn7I7mXRsa9kBsXMqB-Ag/viewform?edit2=2_ABaOnuf6drCWA-IZBlNqDAotDEssKORUs-S1i6ryHOYbNmm5r74FiPSdK2RgyzyGz8V24y8" TargetMode="External"/><Relationship Id="rId19" Type="http://schemas.openxmlformats.org/officeDocument/2006/relationships/hyperlink" Target="https://docs.google.com/forms/d/e/1FAIpQLScKfK1Xq_AfFRyZkOlyT2n4Ugr8FdePyUxPct4kYLgKJ3YlMQ/viewform?edit2=2_ABaOnufrbZEpQ1VYeN9BXUBQ6v1OzvXmTFVGlu68JTR1rShH00C-sT1ViaSxcZ8c5g36hTc" TargetMode="External"/><Relationship Id="rId4" Type="http://schemas.openxmlformats.org/officeDocument/2006/relationships/hyperlink" Target="https://docs.google.com/forms/d/e/1FAIpQLSd37AKX0Ca1Yeje6eC6NuliFZj5Spn7I7mXRsa9kBsXMqB-Ag/viewform?edit2=2_ABaOnue8mI5AYqilJnQ-23IHeU09ipqfAONkBPAhQ3a3okU2s71v_L1uHn7A2GfefVIT5vE" TargetMode="External"/><Relationship Id="rId9" Type="http://schemas.openxmlformats.org/officeDocument/2006/relationships/hyperlink" Target="https://docs.google.com/forms/d/e/1FAIpQLSd37AKX0Ca1Yeje6eC6NuliFZj5Spn7I7mXRsa9kBsXMqB-Ag/viewform?edit2=2_ABaOnucjwEQQpKVtkpHfLLSdr7wlsJ123jmny_Y0VAZ3t1dzFLz17xf1AylOpEj0gIyz5Dg" TargetMode="External"/><Relationship Id="rId14" Type="http://schemas.openxmlformats.org/officeDocument/2006/relationships/hyperlink" Target="https://docs.google.com/forms/d/e/1FAIpQLSd37AKX0Ca1Yeje6eC6NuliFZj5Spn7I7mXRsa9kBsXMqB-Ag/viewform?edit2=2_ABaOnudeQNpZK8qo5P01o5m8u1nK-nidTP440bH0iWjs2673t7t6cup8pQiFCCzYZAU0aPQ"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docs.google.com/forms/d/e/1FAIpQLSd37AKX0Ca1Yeje6eC6NuliFZj5Spn7I7mXRsa9kBsXMqB-Ag/viewform?edit2=2_ABaOnuestmawDRwNCrwWBbcFzvUi4IXI1Xou83xweNeZQ-Dv589ktMYRHtyGkw0HL1Ct-jc" TargetMode="External"/><Relationship Id="rId21" Type="http://schemas.openxmlformats.org/officeDocument/2006/relationships/hyperlink" Target="https://docs.google.com/forms/d/e/1FAIpQLSd37AKX0Ca1Yeje6eC6NuliFZj5Spn7I7mXRsa9kBsXMqB-Ag/viewform?edit2=2_ABaOnue03xgaPLwDvKaM-ovsXst6TmaJxnFhvjZKdLzpi7zp-nNg7xaOER81LD6OjWfiGMg" TargetMode="External"/><Relationship Id="rId42" Type="http://schemas.openxmlformats.org/officeDocument/2006/relationships/hyperlink" Target="https://docs.google.com/forms/d/e/1FAIpQLSd37AKX0Ca1Yeje6eC6NuliFZj5Spn7I7mXRsa9kBsXMqB-Ag/viewform?edit2=2_ABaOnufYhz03tp6HspcR05pRdZxYBQuIwwxJC-pFZXJTqdDo_1OqxEgpB3ZPuo9kUR0bGDc" TargetMode="External"/><Relationship Id="rId63" Type="http://schemas.openxmlformats.org/officeDocument/2006/relationships/hyperlink" Target="https://docs.google.com/forms/d/e/1FAIpQLSd37AKX0Ca1Yeje6eC6NuliFZj5Spn7I7mXRsa9kBsXMqB-Ag/viewform?edit2=2_ABaOnud4EW4LFxUd09IvrAVJvMmxyr4QpglJt4SslXHdPbfb3rzw4wp069gzgRTYavKNjhg" TargetMode="External"/><Relationship Id="rId84" Type="http://schemas.openxmlformats.org/officeDocument/2006/relationships/hyperlink" Target="https://docs.google.com/forms/d/e/1FAIpQLSd37AKX0Ca1Yeje6eC6NuliFZj5Spn7I7mXRsa9kBsXMqB-Ag/viewform?edit2=2_ABaOnueGu3sNZznE7OqaXdAANpC8VT8XqSdh3n-bztGtY8XN2ssDtclEFdzfW9yyi36Ubu0" TargetMode="External"/><Relationship Id="rId138" Type="http://schemas.openxmlformats.org/officeDocument/2006/relationships/hyperlink" Target="https://docs.google.com/forms/d/e/1FAIpQLSd37AKX0Ca1Yeje6eC6NuliFZj5Spn7I7mXRsa9kBsXMqB-Ag/viewform?edit2=2_ABaOnueqOA9jOURj75fgFVzTPRoS4CvrWRrmHCOIfJ0-em66xU40R2VatgNoW4WQt5tTjMU" TargetMode="External"/><Relationship Id="rId107" Type="http://schemas.openxmlformats.org/officeDocument/2006/relationships/hyperlink" Target="https://docs.google.com/forms/d/e/1FAIpQLSd37AKX0Ca1Yeje6eC6NuliFZj5Spn7I7mXRsa9kBsXMqB-Ag/viewform?edit2=2_ABaOnuc084FrjG7zAzRmpPq49Y4JP88xiAcq-g7-VvQwWFeceQLWBMs_PDHeU79-Vo2bATc" TargetMode="External"/><Relationship Id="rId11" Type="http://schemas.openxmlformats.org/officeDocument/2006/relationships/hyperlink" Target="https://docs.google.com/forms/d/e/1FAIpQLSd37AKX0Ca1Yeje6eC6NuliFZj5Spn7I7mXRsa9kBsXMqB-Ag/viewform?edit2=2_ABaOnuebN9kRLUqeFs3rC4vYlW2GVScmCWeiOC68iTbheEkMb7XiMUzlEBEz46qIxCW0jP0" TargetMode="External"/><Relationship Id="rId32" Type="http://schemas.openxmlformats.org/officeDocument/2006/relationships/hyperlink" Target="https://docs.google.com/forms/d/e/1FAIpQLSd37AKX0Ca1Yeje6eC6NuliFZj5Spn7I7mXRsa9kBsXMqB-Ag/viewform?edit2=2_ABaOnudCB7iHAmCalqVoWLOQWBzFjuvmHUJS0mdYa1vrMJLeYtBRz9DMQJFcwCemO54sVQ0" TargetMode="External"/><Relationship Id="rId53" Type="http://schemas.openxmlformats.org/officeDocument/2006/relationships/hyperlink" Target="https://docs.google.com/forms/d/e/1FAIpQLSd37AKX0Ca1Yeje6eC6NuliFZj5Spn7I7mXRsa9kBsXMqB-Ag/viewform?edit2=2_ABaOnudWylz-N1brbnTL28kF5bF6e1dxnhA2Q37Althy3VAa_Lka6LX6nBQK3plxVt4RPjk" TargetMode="External"/><Relationship Id="rId74" Type="http://schemas.openxmlformats.org/officeDocument/2006/relationships/hyperlink" Target="https://docs.google.com/forms/d/e/1FAIpQLSd37AKX0Ca1Yeje6eC6NuliFZj5Spn7I7mXRsa9kBsXMqB-Ag/viewform?edit2=2_ABaOnucaVkMPdH2aGVZIm0f1zpF_bCXekQWJWdFbytk8dMhXHHX1wDYUQqMxTB2Ogxjv0WQ" TargetMode="External"/><Relationship Id="rId128" Type="http://schemas.openxmlformats.org/officeDocument/2006/relationships/hyperlink" Target="https://docs.google.com/forms/d/e/1FAIpQLSd37AKX0Ca1Yeje6eC6NuliFZj5Spn7I7mXRsa9kBsXMqB-Ag/viewform?edit2=2_ABaOnuciQxC4eTTBKIRCx9VtdD5b4Aw4GHipS6jqTlBmttCZv1BkF15QgwkCKnZEb9zBjUI" TargetMode="External"/><Relationship Id="rId149" Type="http://schemas.openxmlformats.org/officeDocument/2006/relationships/hyperlink" Target="https://docs.google.com/forms/d/e/1FAIpQLSd37AKX0Ca1Yeje6eC6NuliFZj5Spn7I7mXRsa9kBsXMqB-Ag/viewform?edit2=2_ABaOnuf2j7989Basd7RqeWk5ShbfC9vglbQAYME_8G0y9KgxN5a2Sxu33yjZSF-7UYqZu8U" TargetMode="External"/><Relationship Id="rId5" Type="http://schemas.openxmlformats.org/officeDocument/2006/relationships/hyperlink" Target="https://docs.google.com/forms/d/e/1FAIpQLSd37AKX0Ca1Yeje6eC6NuliFZj5Spn7I7mXRsa9kBsXMqB-Ag/viewform?edit2=2_ABaOnucymvpKJ7dsX0ziERlOSiDZakaPlzk4IG1NNRxN8UM5Kb1wE9vczDjeEPB1-2uPL64" TargetMode="External"/><Relationship Id="rId95" Type="http://schemas.openxmlformats.org/officeDocument/2006/relationships/hyperlink" Target="https://docs.google.com/forms/d/e/1FAIpQLSd37AKX0Ca1Yeje6eC6NuliFZj5Spn7I7mXRsa9kBsXMqB-Ag/viewform?edit2=2_ABaOnudQe5Oq9buGueatTTD8lsR_7Yj1XLidI8BHf21R3f-FwDdocxmbnq_mTuBdA8-FDik" TargetMode="External"/><Relationship Id="rId22" Type="http://schemas.openxmlformats.org/officeDocument/2006/relationships/hyperlink" Target="https://docs.google.com/forms/d/e/1FAIpQLSd37AKX0Ca1Yeje6eC6NuliFZj5Spn7I7mXRsa9kBsXMqB-Ag/viewform?edit2=2_ABaOnueqpG1HknhaHwAjw_-av_CVSdsL3TqQKrH2fweJ17LsFZ5UkSyJj0yNLkBA1GNuO2Y" TargetMode="External"/><Relationship Id="rId27" Type="http://schemas.openxmlformats.org/officeDocument/2006/relationships/hyperlink" Target="https://docs.google.com/forms/d/e/1FAIpQLSd37AKX0Ca1Yeje6eC6NuliFZj5Spn7I7mXRsa9kBsXMqB-Ag/viewform?edit2=2_ABaOnucDw0yE-GsRBV82-aABpbm-UprdtAkaKKP87DYNM0IKcl9jBSBy9CwViCnJZzH_ZKk" TargetMode="External"/><Relationship Id="rId43" Type="http://schemas.openxmlformats.org/officeDocument/2006/relationships/hyperlink" Target="https://docs.google.com/forms/d/e/1FAIpQLSd37AKX0Ca1Yeje6eC6NuliFZj5Spn7I7mXRsa9kBsXMqB-Ag/viewform?edit2=2_ABaOnuf5tuiudEnhEJew-XPr3xqbGuAhGyxpyUhVb10MnHPVVbG2MNMJ5Zydy4xzMNijPsI" TargetMode="External"/><Relationship Id="rId48" Type="http://schemas.openxmlformats.org/officeDocument/2006/relationships/hyperlink" Target="https://docs.google.com/forms/d/e/1FAIpQLSd37AKX0Ca1Yeje6eC6NuliFZj5Spn7I7mXRsa9kBsXMqB-Ag/viewform?edit2=2_ABaOnufa7eUFuYcoCFwshX7gtJmW7OsbUSzBdTKp2g7AuWjOIKhYaY-90BnVUP57bpmAsFY" TargetMode="External"/><Relationship Id="rId64" Type="http://schemas.openxmlformats.org/officeDocument/2006/relationships/hyperlink" Target="https://docs.google.com/forms/d/e/1FAIpQLSd37AKX0Ca1Yeje6eC6NuliFZj5Spn7I7mXRsa9kBsXMqB-Ag/viewform?edit2=2_ABaOnudfb438iuRcTi97tc8h6ySeNFg1cWEUVOsVnxcGBUML2QyhQq8GjQTeRQOnS8J8mCI" TargetMode="External"/><Relationship Id="rId69" Type="http://schemas.openxmlformats.org/officeDocument/2006/relationships/hyperlink" Target="https://docs.google.com/forms/d/e/1FAIpQLSd37AKX0Ca1Yeje6eC6NuliFZj5Spn7I7mXRsa9kBsXMqB-Ag/viewform?edit2=2_ABaOnueKgqULeg8fIiucHcnX3HqJHzYNTk4rqINxF7ZIUn06UwtQLeolsXXTOdNfPiq1mAU" TargetMode="External"/><Relationship Id="rId113" Type="http://schemas.openxmlformats.org/officeDocument/2006/relationships/hyperlink" Target="https://docs.google.com/forms/d/e/1FAIpQLSd37AKX0Ca1Yeje6eC6NuliFZj5Spn7I7mXRsa9kBsXMqB-Ag/viewform?edit2=2_ABaOnudoNBvw3THZ41dqtCsdUKuAuJjB0DS61NMmaPCGruHj-T9AWO-iGHiUD40ToAaN_9I" TargetMode="External"/><Relationship Id="rId118" Type="http://schemas.openxmlformats.org/officeDocument/2006/relationships/hyperlink" Target="https://docs.google.com/forms/d/e/1FAIpQLSd37AKX0Ca1Yeje6eC6NuliFZj5Spn7I7mXRsa9kBsXMqB-Ag/viewform?edit2=2_ABaOnueqQ5WD4kzs8XFkpGxeBrDewIQChFYFkeCcx-r4wFHBdNPG4t_O0JkGnrd6V5GB4rY" TargetMode="External"/><Relationship Id="rId134" Type="http://schemas.openxmlformats.org/officeDocument/2006/relationships/hyperlink" Target="https://docs.google.com/forms/d/e/1FAIpQLSd37AKX0Ca1Yeje6eC6NuliFZj5Spn7I7mXRsa9kBsXMqB-Ag/viewform?edit2=2_ABaOnufbV03AkBo9RdW1eUM4xxihGZCxZxrtpDHuj_Qa9D8X4Cfiemy7NEM7mIZWM42VFyA" TargetMode="External"/><Relationship Id="rId139" Type="http://schemas.openxmlformats.org/officeDocument/2006/relationships/hyperlink" Target="https://docs.google.com/forms/d/e/1FAIpQLSd37AKX0Ca1Yeje6eC6NuliFZj5Spn7I7mXRsa9kBsXMqB-Ag/viewform?edit2=2_ABaOnuff1NqAKnZeZFWYAZ37X-J5lZZRuI-4HxjIyakngMffc9MgN7mqhOsy4yZwbSwlM5A" TargetMode="External"/><Relationship Id="rId80" Type="http://schemas.openxmlformats.org/officeDocument/2006/relationships/hyperlink" Target="https://docs.google.com/forms/d/e/1FAIpQLSd37AKX0Ca1Yeje6eC6NuliFZj5Spn7I7mXRsa9kBsXMqB-Ag/viewform?edit2=2_ABaOnudBgyxTJ6kToGY4rlfeqEwvUp5513GXUlIoSe3bdgVChJDDj4v_uo4Rx0BqYlxPY9o" TargetMode="External"/><Relationship Id="rId85" Type="http://schemas.openxmlformats.org/officeDocument/2006/relationships/hyperlink" Target="https://docs.google.com/forms/d/e/1FAIpQLSd37AKX0Ca1Yeje6eC6NuliFZj5Spn7I7mXRsa9kBsXMqB-Ag/viewform?edit2=2_ABaOnudMJvxTFQOdCluj0DW5gkN7siHYmo2cFZLQs-CNLK5s164lyZmuEgOv1Nnl33EhZng" TargetMode="External"/><Relationship Id="rId150" Type="http://schemas.openxmlformats.org/officeDocument/2006/relationships/hyperlink" Target="https://docs.google.com/forms/d/e/1FAIpQLSd37AKX0Ca1Yeje6eC6NuliFZj5Spn7I7mXRsa9kBsXMqB-Ag/viewform?edit2=2_ABaOnuerF-9S-0PUnAo-xLIpSHuJa6TuFg8a5-HK4pKoELYuVYouRoOvSYDtqHqjDqv1WPE" TargetMode="External"/><Relationship Id="rId12" Type="http://schemas.openxmlformats.org/officeDocument/2006/relationships/hyperlink" Target="https://docs.google.com/forms/d/e/1FAIpQLSd37AKX0Ca1Yeje6eC6NuliFZj5Spn7I7mXRsa9kBsXMqB-Ag/viewform?edit2=2_ABaOnucfY4ANYvJpeTneEwoVFxI9NeLZ4dYH4bsbxF00gHjHIHt-M5k8eijWHn_iVKeB6E0" TargetMode="External"/><Relationship Id="rId17" Type="http://schemas.openxmlformats.org/officeDocument/2006/relationships/hyperlink" Target="https://docs.google.com/forms/d/e/1FAIpQLSd37AKX0Ca1Yeje6eC6NuliFZj5Spn7I7mXRsa9kBsXMqB-Ag/viewform?edit2=2_ABaOnucNtSqDhiLK9at8g6g1wdhcrXJ_4tH4REsugv1uGIL6tnbuVwWItnOwBh2kLLu0S1U" TargetMode="External"/><Relationship Id="rId33" Type="http://schemas.openxmlformats.org/officeDocument/2006/relationships/hyperlink" Target="https://docs.google.com/forms/d/e/1FAIpQLSd37AKX0Ca1Yeje6eC6NuliFZj5Spn7I7mXRsa9kBsXMqB-Ag/viewform?edit2=2_ABaOnucwwT4Lk5AUltv8Gz0bpiWMfjIXotgxLEOvqucLRoJsxhTJUdL7bNxYY_oCOobTkBI" TargetMode="External"/><Relationship Id="rId38" Type="http://schemas.openxmlformats.org/officeDocument/2006/relationships/hyperlink" Target="https://docs.google.com/forms/d/e/1FAIpQLSd37AKX0Ca1Yeje6eC6NuliFZj5Spn7I7mXRsa9kBsXMqB-Ag/viewform?edit2=2_ABaOnucZRxbyszk6_Rqw4hqgSN_6qYa7mt4K9VnT_0YUP4cwuNl75Jenc2vysavqGAWrm4U" TargetMode="External"/><Relationship Id="rId59" Type="http://schemas.openxmlformats.org/officeDocument/2006/relationships/hyperlink" Target="https://docs.google.com/forms/d/e/1FAIpQLSd37AKX0Ca1Yeje6eC6NuliFZj5Spn7I7mXRsa9kBsXMqB-Ag/viewform?edit2=2_ABaOnueEghC04Vykviesh9gQbyNMpFYEkj1GRRGToZI5mp9gsmCgkZq4p94y2qdwIg6X4oE" TargetMode="External"/><Relationship Id="rId103" Type="http://schemas.openxmlformats.org/officeDocument/2006/relationships/hyperlink" Target="https://docs.google.com/forms/d/e/1FAIpQLSd37AKX0Ca1Yeje6eC6NuliFZj5Spn7I7mXRsa9kBsXMqB-Ag/viewform?edit2=2_ABaOnucxId1hmpsDz6gRK7hNV_VfYF7Ljm--qJMJ1WHEGYrYk6cqVqaqC_ZrAoVuuRa0OZs" TargetMode="External"/><Relationship Id="rId108" Type="http://schemas.openxmlformats.org/officeDocument/2006/relationships/hyperlink" Target="https://docs.google.com/forms/d/e/1FAIpQLSd37AKX0Ca1Yeje6eC6NuliFZj5Spn7I7mXRsa9kBsXMqB-Ag/viewform?edit2=2_ABaOnudSPtf3N8SrkyU-NZ4noLqUaeQxb1pg_AcQiDTDSH1P5hEUdmsI32UCDPXITJ435Hs" TargetMode="External"/><Relationship Id="rId124" Type="http://schemas.openxmlformats.org/officeDocument/2006/relationships/hyperlink" Target="https://docs.google.com/forms/d/e/1FAIpQLSd37AKX0Ca1Yeje6eC6NuliFZj5Spn7I7mXRsa9kBsXMqB-Ag/viewform?edit2=2_ABaOnufDbwsAVAzVxdhcVcQPdr8KBiuCeP-KzqSydcuXV8bbcLj1GK3eHoRfDXLLb8m1RjU" TargetMode="External"/><Relationship Id="rId129" Type="http://schemas.openxmlformats.org/officeDocument/2006/relationships/hyperlink" Target="https://docs.google.com/forms/d/e/1FAIpQLSd37AKX0Ca1Yeje6eC6NuliFZj5Spn7I7mXRsa9kBsXMqB-Ag/viewform?edit2=2_ABaOnuf1iClOzJhfEbDLVFFuk-RnA6L6BlaBrlXqRxJ2NuDHdspMURjFlJG0-iCLxv4fzTk" TargetMode="External"/><Relationship Id="rId54" Type="http://schemas.openxmlformats.org/officeDocument/2006/relationships/hyperlink" Target="https://docs.google.com/forms/d/e/1FAIpQLSd37AKX0Ca1Yeje6eC6NuliFZj5Spn7I7mXRsa9kBsXMqB-Ag/viewform?edit2=2_ABaOnuf8i_1ibWFJ6VgMt4FuGmNrPF96K9_CH4hRbQxlUrz6bWdTHG729bKNmX5ajkrlmxY" TargetMode="External"/><Relationship Id="rId70" Type="http://schemas.openxmlformats.org/officeDocument/2006/relationships/hyperlink" Target="https://docs.google.com/forms/d/e/1FAIpQLSd37AKX0Ca1Yeje6eC6NuliFZj5Spn7I7mXRsa9kBsXMqB-Ag/viewform?edit2=2_ABaOnufInSSzuHK0ymI3Fy1IGVCRCSAvpdzG556xi_OsvoFWA9spEFXOOdsQgO-nNUjADxg" TargetMode="External"/><Relationship Id="rId75" Type="http://schemas.openxmlformats.org/officeDocument/2006/relationships/hyperlink" Target="https://docs.google.com/forms/d/e/1FAIpQLSd37AKX0Ca1Yeje6eC6NuliFZj5Spn7I7mXRsa9kBsXMqB-Ag/viewform?edit2=2_ABaOnufThh1TB_IPf892J9xyxWhVaOvlulLXH8qQXSglTo6N8V11IP2XJ95JCc8HQufUTrM" TargetMode="External"/><Relationship Id="rId91" Type="http://schemas.openxmlformats.org/officeDocument/2006/relationships/hyperlink" Target="https://docs.google.com/forms/d/e/1FAIpQLSd37AKX0Ca1Yeje6eC6NuliFZj5Spn7I7mXRsa9kBsXMqB-Ag/viewform?edit2=2_ABaOnudW1H-nhw-T7zEA8a34IzysnsIArmJ9qBn2uDVh9vHWpaFI5zacowSx24UOdHJmwzM" TargetMode="External"/><Relationship Id="rId96" Type="http://schemas.openxmlformats.org/officeDocument/2006/relationships/hyperlink" Target="https://docs.google.com/forms/d/e/1FAIpQLSd37AKX0Ca1Yeje6eC6NuliFZj5Spn7I7mXRsa9kBsXMqB-Ag/viewform?edit2=2_ABaOnuf4xLDAU_tpsM5FswHCkMiBKatekUAKIOk22JwXmcpz6CwHer0sJGeR6cLALX-G5i8" TargetMode="External"/><Relationship Id="rId140" Type="http://schemas.openxmlformats.org/officeDocument/2006/relationships/hyperlink" Target="https://docs.google.com/forms/d/e/1FAIpQLSd37AKX0Ca1Yeje6eC6NuliFZj5Spn7I7mXRsa9kBsXMqB-Ag/viewform?edit2=2_ABaOnueza0QWbrwz8T7sWbuoj8RQ0uTYVPMjIOquJLrwomLqVasBXKQ7q4oPdU42q5sebnY" TargetMode="External"/><Relationship Id="rId145" Type="http://schemas.openxmlformats.org/officeDocument/2006/relationships/hyperlink" Target="https://docs.google.com/forms/d/e/1FAIpQLSd37AKX0Ca1Yeje6eC6NuliFZj5Spn7I7mXRsa9kBsXMqB-Ag/viewform?edit2=2_ABaOnucA31zacn3JFu1qCuYTqRLZNhaLtSeyINIUJtzNgoY7EQeqtKu9wLz4rw9WsHG_BPs" TargetMode="External"/><Relationship Id="rId1" Type="http://schemas.openxmlformats.org/officeDocument/2006/relationships/hyperlink" Target="https://docs.google.com/forms/d/e/1FAIpQLSd37AKX0Ca1Yeje6eC6NuliFZj5Spn7I7mXRsa9kBsXMqB-Ag/viewform?usp=pp_url&amp;entry.696186888=Approval&amp;entry.1186657256=No&amp;entry.487206636=No&amp;entry.1700290454=No" TargetMode="External"/><Relationship Id="rId6" Type="http://schemas.openxmlformats.org/officeDocument/2006/relationships/hyperlink" Target="https://docs.google.com/forms/u/0/d/e/1FAIpQLSd37AKX0Ca1Yeje6eC6NuliFZj5Spn7I7mXRsa9kBsXMqB-Ag/viewform?usp=form_confirm&amp;edit2=2_ABaOnueQ5nfdfxsukLPVCBtlypArFnEk9UTqezuPTFocB9ckgCV84ReKcTvLdiTp80fn4Lk" TargetMode="External"/><Relationship Id="rId23" Type="http://schemas.openxmlformats.org/officeDocument/2006/relationships/hyperlink" Target="https://docs.google.com/forms/d/e/1FAIpQLSd37AKX0Ca1Yeje6eC6NuliFZj5Spn7I7mXRsa9kBsXMqB-Ag/viewform?edit2=2_ABaOnufOQsWVxHBYkjQqm6CW3WVKnIJGYeQ3oSwoC0dqQOqZRxEXNc1ABw6_xA9WhrSYFRA" TargetMode="External"/><Relationship Id="rId28" Type="http://schemas.openxmlformats.org/officeDocument/2006/relationships/hyperlink" Target="https://docs.google.com/forms/d/e/1FAIpQLSd37AKX0Ca1Yeje6eC6NuliFZj5Spn7I7mXRsa9kBsXMqB-Ag/viewform?edit2=2_ABaOnufYJnJ184fOsmKBtApO2iMFmOkR5pSMNbWqiRwAooao1KJBVEloya0H3PigUrp4NdQ" TargetMode="External"/><Relationship Id="rId49" Type="http://schemas.openxmlformats.org/officeDocument/2006/relationships/hyperlink" Target="https://docs.google.com/forms/d/e/1FAIpQLSd37AKX0Ca1Yeje6eC6NuliFZj5Spn7I7mXRsa9kBsXMqB-Ag/viewform?edit2=2_ABaOnuctea7gRHjXs9C-4As1WGujWLSWwKZT7SS_3hLRawjPhjXJ3nyVsarAg2L_XmJJNeE" TargetMode="External"/><Relationship Id="rId114" Type="http://schemas.openxmlformats.org/officeDocument/2006/relationships/hyperlink" Target="https://docs.google.com/forms/d/e/1FAIpQLSd37AKX0Ca1Yeje6eC6NuliFZj5Spn7I7mXRsa9kBsXMqB-Ag/viewform?edit2=2_ABaOnudKsFf6s3Ku3RCqpVcsrmPxwy_dj72BUA_wqCSICtEY60y7tWNFUmia4krTPDsQKi8" TargetMode="External"/><Relationship Id="rId119" Type="http://schemas.openxmlformats.org/officeDocument/2006/relationships/hyperlink" Target="https://docs.google.com/forms/d/e/1FAIpQLSd37AKX0Ca1Yeje6eC6NuliFZj5Spn7I7mXRsa9kBsXMqB-Ag/viewform?edit2=2_ABaOnueQXAYHk584kJhjy388LUqazq7e-U9SR8htrfX_qegV5t1VyfqM-vER3RMIdSMR100" TargetMode="External"/><Relationship Id="rId44" Type="http://schemas.openxmlformats.org/officeDocument/2006/relationships/hyperlink" Target="https://docs.google.com/forms/d/e/1FAIpQLSd37AKX0Ca1Yeje6eC6NuliFZj5Spn7I7mXRsa9kBsXMqB-Ag/viewform?edit2=2_ABaOnucG-2sLWAop-_0dy4fC1KbTeQHy3N3jDDMU9_sndxZ95wNYLx3kzLO0JMQsOp_XPxw" TargetMode="External"/><Relationship Id="rId60" Type="http://schemas.openxmlformats.org/officeDocument/2006/relationships/hyperlink" Target="https://docs.google.com/forms/d/e/1FAIpQLSd37AKX0Ca1Yeje6eC6NuliFZj5Spn7I7mXRsa9kBsXMqB-Ag/viewform?edit2=2_ABaOnucurna4iUGUId5P1dorQjBWTSofvkBubdqMkaJj_AvgEOkkQQ9TNmWvnWyeYLIyWJQ" TargetMode="External"/><Relationship Id="rId65" Type="http://schemas.openxmlformats.org/officeDocument/2006/relationships/hyperlink" Target="https://docs.google.com/forms/d/e/1FAIpQLSd37AKX0Ca1Yeje6eC6NuliFZj5Spn7I7mXRsa9kBsXMqB-Ag/viewform?edit2=2_ABaOnudby-4veylhoBJyUaYsIzJl4nkQgy_XwWHmiPDS3UFh8dVuo4NR6X7BJ5cnZ2a2SqQ" TargetMode="External"/><Relationship Id="rId81" Type="http://schemas.openxmlformats.org/officeDocument/2006/relationships/hyperlink" Target="https://docs.google.com/forms/d/e/1FAIpQLSd37AKX0Ca1Yeje6eC6NuliFZj5Spn7I7mXRsa9kBsXMqB-Ag/viewform?edit2=2_ABaOnudMvc4nYTck6z1P6LL-5zj5DgoxtiEgnPIpsxaQHqe255RgBZ_3yNiixA0o_EgsNpw" TargetMode="External"/><Relationship Id="rId86" Type="http://schemas.openxmlformats.org/officeDocument/2006/relationships/hyperlink" Target="https://docs.google.com/forms/d/e/1FAIpQLSd37AKX0Ca1Yeje6eC6NuliFZj5Spn7I7mXRsa9kBsXMqB-Ag/viewform?edit2=2_ABaOnue-czhKjGPkXkZrV5eF95hFAUWCpn6FSAPg2JZFQ3_yooN-fESCvF2ydWi5RvfDF40" TargetMode="External"/><Relationship Id="rId130" Type="http://schemas.openxmlformats.org/officeDocument/2006/relationships/hyperlink" Target="https://docs.google.com/forms/d/e/1FAIpQLSd37AKX0Ca1Yeje6eC6NuliFZj5Spn7I7mXRsa9kBsXMqB-Ag/viewform?edit2=2_ABaOnuf1iClOzJhfEbDLVFFuk-RnA6L6BlaBrlXqRxJ2NuDHdspMURjFlJG0-iCLxv4fzTk" TargetMode="External"/><Relationship Id="rId135" Type="http://schemas.openxmlformats.org/officeDocument/2006/relationships/hyperlink" Target="https://docs.google.com/forms/d/e/1FAIpQLSd37AKX0Ca1Yeje6eC6NuliFZj5Spn7I7mXRsa9kBsXMqB-Ag/viewform?edit2=2_ABaOnucZs_yyqG64TTPx-HI7iKA2OneWgrigcOPOBMu_J3Zl1ZdW363tYAP1Ym-CI38rmSE" TargetMode="External"/><Relationship Id="rId151" Type="http://schemas.openxmlformats.org/officeDocument/2006/relationships/hyperlink" Target="https://docs.google.com/forms/d/e/1FAIpQLSd37AKX0Ca1Yeje6eC6NuliFZj5Spn7I7mXRsa9kBsXMqB-Ag/viewform?edit2=2_ABaOnue8mI5AYqilJnQ-23IHeU09ipqfAONkBPAhQ3a3okU2s71v_L1uHn7A2GfefVIT5vE" TargetMode="External"/><Relationship Id="rId13" Type="http://schemas.openxmlformats.org/officeDocument/2006/relationships/hyperlink" Target="https://docs.google.com/forms/d/e/1FAIpQLSd37AKX0Ca1Yeje6eC6NuliFZj5Spn7I7mXRsa9kBsXMqB-Ag/viewform?edit2=2_ABaOnud5e4yCAN3vBJyUelXOmDUxVQehqVzTFbfoIpiYOPSY1h0k7YFm9pxhY7AwR4m58RY" TargetMode="External"/><Relationship Id="rId18" Type="http://schemas.openxmlformats.org/officeDocument/2006/relationships/hyperlink" Target="https://docs.google.com/forms/u/0/d/e/1FAIpQLSd37AKX0Ca1Yeje6eC6NuliFZj5Spn7I7mXRsa9kBsXMqB-Ag/viewform?usp=form_confirm&amp;edit2=2_ABaOnueNoEwYPJsuB6Kl3gaw-KYlsDWhprFHvh89-d6RRzS1g6XA6IRL0S4Fd-NsldESoBI" TargetMode="External"/><Relationship Id="rId39" Type="http://schemas.openxmlformats.org/officeDocument/2006/relationships/hyperlink" Target="https://docs.google.com/forms/d/e/1FAIpQLSd37AKX0Ca1Yeje6eC6NuliFZj5Spn7I7mXRsa9kBsXMqB-Ag/viewform?edit2=2_ABaOnucv7zjXsbMgf6n3RnmDCGbVOdqYS30WXIWXWaMP6UUNpED_-DVJqOBDYylKLiQABC0" TargetMode="External"/><Relationship Id="rId109" Type="http://schemas.openxmlformats.org/officeDocument/2006/relationships/hyperlink" Target="https://docs.google.com/forms/d/e/1FAIpQLSd37AKX0Ca1Yeje6eC6NuliFZj5Spn7I7mXRsa9kBsXMqB-Ag/viewform?edit2=2_ABaOnuc_fh3vMbyRgn43S5eCZwRDFgXS68lbvKe-_HVrVzwtCgXEVaKf_p0nJWByALtUk9w" TargetMode="External"/><Relationship Id="rId34" Type="http://schemas.openxmlformats.org/officeDocument/2006/relationships/hyperlink" Target="https://docs.google.com/forms/d/e/1FAIpQLSd37AKX0Ca1Yeje6eC6NuliFZj5Spn7I7mXRsa9kBsXMqB-Ag/viewform?edit2=2_ABaOnueiJiidXdSDiyxCaSAKE7T1thpD_kpopXkUJbwzU_wYhEtxoBBGeLp8_3E0Pi7aqjU" TargetMode="External"/><Relationship Id="rId50" Type="http://schemas.openxmlformats.org/officeDocument/2006/relationships/hyperlink" Target="https://docs.google.com/forms/d/e/1FAIpQLSd37AKX0Ca1Yeje6eC6NuliFZj5Spn7I7mXRsa9kBsXMqB-Ag/viewform?edit2=2_ABaOnud2OSKDZ02P_FamB8A30V_EW5FSbmzrAiHrkA835GgcC9c2YW-Rd4hKonIS6U_zBHE" TargetMode="External"/><Relationship Id="rId55" Type="http://schemas.openxmlformats.org/officeDocument/2006/relationships/hyperlink" Target="https://docs.google.com/forms/d/e/1FAIpQLSd37AKX0Ca1Yeje6eC6NuliFZj5Spn7I7mXRsa9kBsXMqB-Ag/viewform?edit2=2_ABaOnuf0gWV5fOQOOVcysZnGnOx8CQlIGmS0bibqswYqIObp5hpU7HDk02089aULsPc5lPk&amp;edit2=2_ABaOnuf0gWV5fOQOOVcysZnGnOx8CQlIGmS0bibqswYqIObp5hpU7HDk02089aULsPc5lPk" TargetMode="External"/><Relationship Id="rId76" Type="http://schemas.openxmlformats.org/officeDocument/2006/relationships/hyperlink" Target="https://docs.google.com/forms/d/e/1FAIpQLSd37AKX0Ca1Yeje6eC6NuliFZj5Spn7I7mXRsa9kBsXMqB-Ag/viewform?edit2=2_ABaOnuc6u94zQdric7ddkssmbIhd6cPvEDdWZoOXTRFNLEAy5slE11TDc2rCZnG698eeNHs" TargetMode="External"/><Relationship Id="rId97" Type="http://schemas.openxmlformats.org/officeDocument/2006/relationships/hyperlink" Target="https://docs.google.com/forms/d/e/1FAIpQLSd37AKX0Ca1Yeje6eC6NuliFZj5Spn7I7mXRsa9kBsXMqB-Ag/viewform?edit2=2_ABaOnucYWY2zuzm8es8eJ_-9FH9ayjyExmMZeKjX4-wl6cCrL0uykZ7cB6-yj6uUc6HAYvM" TargetMode="External"/><Relationship Id="rId104" Type="http://schemas.openxmlformats.org/officeDocument/2006/relationships/hyperlink" Target="https://docs.google.com/forms/d/e/1FAIpQLSd37AKX0Ca1Yeje6eC6NuliFZj5Spn7I7mXRsa9kBsXMqB-Ag/viewform?edit2=2_ABaOnue66NZ8CHKfjK3R7gTxdxgvrjGpG3tqvtkmrm6FPFcQf-lImxmTrUVk97eWDxwsCdE" TargetMode="External"/><Relationship Id="rId120" Type="http://schemas.openxmlformats.org/officeDocument/2006/relationships/hyperlink" Target="https://docs.google.com/forms/d/e/1FAIpQLSd37AKX0Ca1Yeje6eC6NuliFZj5Spn7I7mXRsa9kBsXMqB-Ag/viewform?edit2=2_ABaOnufWFP9HETYNJ3J5EUfjOIhDoa5KZFj2apAnrBOV6JXJzgQYkHtCfkj4lP4wohCMwtE" TargetMode="External"/><Relationship Id="rId125" Type="http://schemas.openxmlformats.org/officeDocument/2006/relationships/hyperlink" Target="https://docs.google.com/forms/d/e/1FAIpQLSd37AKX0Ca1Yeje6eC6NuliFZj5Spn7I7mXRsa9kBsXMqB-Ag/viewform?edit2=2_ABaOnudAISoAiJoYPkJ2lu_q6gzTXwxsNXRzhLbYLaXYKzI8S6S1y9cf6QT8xeUl9qJhAC4" TargetMode="External"/><Relationship Id="rId141" Type="http://schemas.openxmlformats.org/officeDocument/2006/relationships/hyperlink" Target="https://docs.google.com/forms/d/e/1FAIpQLSd37AKX0Ca1Yeje6eC6NuliFZj5Spn7I7mXRsa9kBsXMqB-Ag/viewform?edit2=2_ABaOnucXYh7TXzTa8Eiqh6G2iI9SDkB9z7HxXc-muPtZY1lxw5j5SfdnONWyGViUYdQGjOE" TargetMode="External"/><Relationship Id="rId146" Type="http://schemas.openxmlformats.org/officeDocument/2006/relationships/hyperlink" Target="https://docs.google.com/forms/d/e/1FAIpQLSd37AKX0Ca1Yeje6eC6NuliFZj5Spn7I7mXRsa9kBsXMqB-Ag/viewform?edit2=2_ABaOnucRe9f_0GBTCwiHzMMmuvvc9b4qJ4soH6HsG-cy5Ec9DICJs5nC7loZPIoO4xbzc_M" TargetMode="External"/><Relationship Id="rId7" Type="http://schemas.openxmlformats.org/officeDocument/2006/relationships/hyperlink" Target="https://docs.google.com/forms/u/0/d/e/1FAIpQLSd37AKX0Ca1Yeje6eC6NuliFZj5Spn7I7mXRsa9kBsXMqB-Ag/viewform?usp=form_confirm&amp;edit2=2_ABaOnufCUj6Jh26hnEY6KttVZbfpPs81YMeQ1U5N2v890MEUclV_g8GVvxm5JuGZVkwIeXU" TargetMode="External"/><Relationship Id="rId71" Type="http://schemas.openxmlformats.org/officeDocument/2006/relationships/hyperlink" Target="https://docs.google.com/forms/d/e/1FAIpQLSd37AKX0Ca1Yeje6eC6NuliFZj5Spn7I7mXRsa9kBsXMqB-Ag/viewform?edit2=2_ABaOnue3S7SYaNWgEAznt3mTxRzvQxotTavY8JjGD9KRM2eqycfhYKXIiPmrHTmwMZ24hFE" TargetMode="External"/><Relationship Id="rId92" Type="http://schemas.openxmlformats.org/officeDocument/2006/relationships/hyperlink" Target="https://docs.google.com/forms/d/e/1FAIpQLSd37AKX0Ca1Yeje6eC6NuliFZj5Spn7I7mXRsa9kBsXMqB-Ag/viewform?edit2=2_ABaOnude3YIYds7K8MD9MdM7f73dSR4nCYONQODTboBHgHM-FyGf0NVBzbPlqzgArPfCPjM" TargetMode="External"/><Relationship Id="rId2" Type="http://schemas.openxmlformats.org/officeDocument/2006/relationships/hyperlink" Target="https://docs.google.com/spreadsheets/d/1e2BOHVwG__zzJXOYlk6mqBmkq1gTDD6SafJrFhAFJMM/edit?gid=346688937" TargetMode="External"/><Relationship Id="rId29" Type="http://schemas.openxmlformats.org/officeDocument/2006/relationships/hyperlink" Target="https://docs.google.com/forms/d/e/1FAIpQLSd37AKX0Ca1Yeje6eC6NuliFZj5Spn7I7mXRsa9kBsXMqB-Ag/viewform?edit2=2_ABaOnue5Kgcgj4eGYLQ9QFeciVAb5GeZ00DWRjPM6w-WRlu1jVIK9mQM_1Org5Ygl-xqX6A" TargetMode="External"/><Relationship Id="rId24" Type="http://schemas.openxmlformats.org/officeDocument/2006/relationships/hyperlink" Target="https://docs.google.com/forms/d/e/1FAIpQLSd37AKX0Ca1Yeje6eC6NuliFZj5Spn7I7mXRsa9kBsXMqB-Ag/viewform?edit2=2_ABaOnudm2vjmfShT_4DpiJ0iAsJn-R0mKsWsOiscUMMqRfHNRLqz-1ZMY2TjDd8K8hJT7Es" TargetMode="External"/><Relationship Id="rId40" Type="http://schemas.openxmlformats.org/officeDocument/2006/relationships/hyperlink" Target="https://docs.google.com/forms/d/e/1FAIpQLSd37AKX0Ca1Yeje6eC6NuliFZj5Spn7I7mXRsa9kBsXMqB-Ag/viewform?edit2=2_ABaOnucAkaE5pGTSsOX36rlNw-NlGoLm0uWcJugpFOa7N3OuwuD7b_0Rdfp4z_3MZMALh0s" TargetMode="External"/><Relationship Id="rId45" Type="http://schemas.openxmlformats.org/officeDocument/2006/relationships/hyperlink" Target="https://docs.google.com/forms/d/e/1FAIpQLSd37AKX0Ca1Yeje6eC6NuliFZj5Spn7I7mXRsa9kBsXMqB-Ag/viewform?edit2=2_ABaOnueaXMb4XYS3RWn2-BXXNnu28TyZ16N3ePYMzYhGrI-8lFAGcswIksYU9WyEuO0nWEk" TargetMode="External"/><Relationship Id="rId66" Type="http://schemas.openxmlformats.org/officeDocument/2006/relationships/hyperlink" Target="https://docs.google.com/forms/d/e/1FAIpQLSd37AKX0Ca1Yeje6eC6NuliFZj5Spn7I7mXRsa9kBsXMqB-Ag/viewform?edit2=2_ABaOnudzaqiBgDs_DOUKSFclW-NDR1KV6fEm8JRNGbocyIUF0Tfs8PzyvxT-Vfr92SeFeOc" TargetMode="External"/><Relationship Id="rId87" Type="http://schemas.openxmlformats.org/officeDocument/2006/relationships/hyperlink" Target="https://docs.google.com/forms/d/e/1FAIpQLSd37AKX0Ca1Yeje6eC6NuliFZj5Spn7I7mXRsa9kBsXMqB-Ag/viewform?edit2=2_ABaOnuf3SCs4io_fGe1Nhck3rNXdmd477nS50ghm4oVtuN0fNt6Li8BYgDvLqtiN5R2o0NQ" TargetMode="External"/><Relationship Id="rId110" Type="http://schemas.openxmlformats.org/officeDocument/2006/relationships/hyperlink" Target="https://docs.google.com/forms/d/e/1FAIpQLSd37AKX0Ca1Yeje6eC6NuliFZj5Spn7I7mXRsa9kBsXMqB-Ag/viewform?edit2=2_ABaOnufa2u84Z9CN6X3pn2WNK3cgotIWLVUteaxy9v8K82fxhORjkSTo3bK92F89vvmHQQY" TargetMode="External"/><Relationship Id="rId115" Type="http://schemas.openxmlformats.org/officeDocument/2006/relationships/hyperlink" Target="https://docs.google.com/forms/d/e/1FAIpQLSd37AKX0Ca1Yeje6eC6NuliFZj5Spn7I7mXRsa9kBsXMqB-Ag/viewform?edit2=2_ABaOnue3Jad5W9Uar32FIQIIrw-Mr5hDOEOwWLRFXGzjIm6vlllA3_MpAdkc1Fc6niJcSVM" TargetMode="External"/><Relationship Id="rId131" Type="http://schemas.openxmlformats.org/officeDocument/2006/relationships/hyperlink" Target="https://docs.google.com/forms/d/e/1FAIpQLSd37AKX0Ca1Yeje6eC6NuliFZj5Spn7I7mXRsa9kBsXMqB-Ag/viewform?edit2=2_ABaOnudDxXSRl5DbWNRLf0wn5v-nqeGjP0LiosAd6ThAG-F4xBoZQW8FXAUDTOqFq6dVLwI" TargetMode="External"/><Relationship Id="rId136" Type="http://schemas.openxmlformats.org/officeDocument/2006/relationships/hyperlink" Target="https://docs.google.com/forms/d/e/1FAIpQLSd37AKX0Ca1Yeje6eC6NuliFZj5Spn7I7mXRsa9kBsXMqB-Ag/viewform?edit2=2_ABaOnudeQNpZK8qo5P01o5m8u1nK-nidTP440bH0iWjs2673t7t6cup8pQiFCCzYZAU0aPQ" TargetMode="External"/><Relationship Id="rId61" Type="http://schemas.openxmlformats.org/officeDocument/2006/relationships/hyperlink" Target="https://docs.google.com/forms/d/e/1FAIpQLSd37AKX0Ca1Yeje6eC6NuliFZj5Spn7I7mXRsa9kBsXMqB-Ag/viewform?edit2=2_ABaOnuckIBKsSimnFjncb-wBKkjl74JnMIIMe9avQ_J1MIPd2zhy-sQZN8WX_vqZjEs15TI" TargetMode="External"/><Relationship Id="rId82" Type="http://schemas.openxmlformats.org/officeDocument/2006/relationships/hyperlink" Target="https://docs.google.com/forms/d/e/1FAIpQLSd37AKX0Ca1Yeje6eC6NuliFZj5Spn7I7mXRsa9kBsXMqB-Ag/viewform?edit2=2_ABaOnudXRG2Jwf0piX_HQSxUMHaFfZFf_zx8hjkhhFOzfWSHZQBU_Kr5WzdcVpA0V8amUX4" TargetMode="External"/><Relationship Id="rId152" Type="http://schemas.openxmlformats.org/officeDocument/2006/relationships/drawing" Target="../drawings/drawing1.xml"/><Relationship Id="rId19" Type="http://schemas.openxmlformats.org/officeDocument/2006/relationships/hyperlink" Target="https://docs.google.com/forms/d/e/1FAIpQLSd37AKX0Ca1Yeje6eC6NuliFZj5Spn7I7mXRsa9kBsXMqB-Ag/viewform?edit2=2_ABaOnue4DNeXWkKe8BALeiY__SeG6eJlZswzmwIChZMlvcMBoNRPNaWkxjWfQ1N-0oBKnJw" TargetMode="External"/><Relationship Id="rId14" Type="http://schemas.openxmlformats.org/officeDocument/2006/relationships/hyperlink" Target="https://docs.google.com/forms/d/e/1FAIpQLSd37AKX0Ca1Yeje6eC6NuliFZj5Spn7I7mXRsa9kBsXMqB-Ag/viewform?edit2=2_ABaOnuepEXsuxZEmNBaYJVFHn0RDMrQZAYnw53yNE_teIT6rqYysAXrp0qCv_1evEfwZRE8" TargetMode="External"/><Relationship Id="rId30" Type="http://schemas.openxmlformats.org/officeDocument/2006/relationships/hyperlink" Target="https://docs.google.com/forms/d/e/1FAIpQLSd37AKX0Ca1Yeje6eC6NuliFZj5Spn7I7mXRsa9kBsXMqB-Ag/viewform?edit2=2_ABaOnuc3xjNviUzkde2nnQGbYeaahJrmOUJlJsfd-pLJfjDantYB1QkwdaLdnRN932ECILw" TargetMode="External"/><Relationship Id="rId35" Type="http://schemas.openxmlformats.org/officeDocument/2006/relationships/hyperlink" Target="https://docs.google.com/forms/d/e/1FAIpQLSd37AKX0Ca1Yeje6eC6NuliFZj5Spn7I7mXRsa9kBsXMqB-Ag/viewform?edit2=2_ABaOnuf0_Ys5OT03j8AL6ZsdKJ1VMu7pQpTWnCj2WDxhhm3HiAFt1Rb9VsicfNNSISCwTJE" TargetMode="External"/><Relationship Id="rId56" Type="http://schemas.openxmlformats.org/officeDocument/2006/relationships/hyperlink" Target="https://docs.google.com/forms/d/e/1FAIpQLSd37AKX0Ca1Yeje6eC6NuliFZj5Spn7I7mXRsa9kBsXMqB-Ag/viewform?edit2=2_ABaOnueU6CV0L6qzYn4M7aGmwgquZmZu_wiXdlo63ftKLtzBRvGCv_JpzcPEO4tG3a6TmJo" TargetMode="External"/><Relationship Id="rId77" Type="http://schemas.openxmlformats.org/officeDocument/2006/relationships/hyperlink" Target="https://docs.google.com/forms/d/e/1FAIpQLSd37AKX0Ca1Yeje6eC6NuliFZj5Spn7I7mXRsa9kBsXMqB-Ag/viewform?edit2=2_ABaOnufqRJ9CZA1DZgXIPmBFI39RgSvBKjemJ5gdv9VfzXE2Y63oUhBQwgRKwJdOH8lyyeE" TargetMode="External"/><Relationship Id="rId100" Type="http://schemas.openxmlformats.org/officeDocument/2006/relationships/hyperlink" Target="https://docs.google.com/forms/d/e/1FAIpQLSd37AKX0Ca1Yeje6eC6NuliFZj5Spn7I7mXRsa9kBsXMqB-Ag/viewform?edit2=2_ABaOnuefQXgchmGfHlHiXbdb6sPT6GGyslPT96oOIPMDv1uLwmQZBf4hPhnSoQPXwSwwWCo" TargetMode="External"/><Relationship Id="rId105" Type="http://schemas.openxmlformats.org/officeDocument/2006/relationships/hyperlink" Target="https://docs.google.com/forms/d/e/1FAIpQLSd37AKX0Ca1Yeje6eC6NuliFZj5Spn7I7mXRsa9kBsXMqB-Ag/viewform?edit2=2_ABaOnuf8c0icYyUPFHPd2h3zuTjDR-l6zOTIgLwInEiTpumMyjH86_Ipsc_T5CuYxODQ120" TargetMode="External"/><Relationship Id="rId126" Type="http://schemas.openxmlformats.org/officeDocument/2006/relationships/hyperlink" Target="https://docs.google.com/forms/d/e/1FAIpQLSd37AKX0Ca1Yeje6eC6NuliFZj5Spn7I7mXRsa9kBsXMqB-Ag/viewform?edit2=2_ABaOnudAISoAiJoYPkJ2lu_q6gzTXwxsNXRzhLbYLaXYKzI8S6S1y9cf6QT8xeUl9qJhAC4" TargetMode="External"/><Relationship Id="rId147" Type="http://schemas.openxmlformats.org/officeDocument/2006/relationships/hyperlink" Target="https://docs.google.com/forms/d/e/1FAIpQLSd37AKX0Ca1Yeje6eC6NuliFZj5Spn7I7mXRsa9kBsXMqB-Ag/viewform?edit2=2_ABaOnudH55SYZfYSmbkIYwQkkht9AvvLykPnN9qHu--msSdQL8xr-twF84PLxu7NEweRgsA" TargetMode="External"/><Relationship Id="rId8" Type="http://schemas.openxmlformats.org/officeDocument/2006/relationships/hyperlink" Target="https://docs.google.com/forms/d/e/1FAIpQLSd37AKX0Ca1Yeje6eC6NuliFZj5Spn7I7mXRsa9kBsXMqB-Ag/viewform?edit2=2_ABaOnucHYcn9XOdTlz_Jq0THdsMAQGFRRBu5BzT06HRJ4lHgl76ySdga0M0RksHnAh22KGQ" TargetMode="External"/><Relationship Id="rId51" Type="http://schemas.openxmlformats.org/officeDocument/2006/relationships/hyperlink" Target="https://docs.google.com/forms/d/e/1FAIpQLSd37AKX0Ca1Yeje6eC6NuliFZj5Spn7I7mXRsa9kBsXMqB-Ag/viewform?edit2=2_ABaOnudRr4OfOQc206_1VGQKKNAwL3_5mHcQFyPdxmyU0LpjNnJxpD10PFBEf4ZDqoI0pHY" TargetMode="External"/><Relationship Id="rId72" Type="http://schemas.openxmlformats.org/officeDocument/2006/relationships/hyperlink" Target="https://docs.google.com/forms/d/e/1FAIpQLSd37AKX0Ca1Yeje6eC6NuliFZj5Spn7I7mXRsa9kBsXMqB-Ag/viewform?edit2=2_ABaOnuc7PoC32VWoVEXH39DpjDebesaOvr_iNaYtsXDOxvzp87gNXySbFIOrZ6dZmDhAV1o" TargetMode="External"/><Relationship Id="rId93" Type="http://schemas.openxmlformats.org/officeDocument/2006/relationships/hyperlink" Target="https://docs.google.com/forms/d/e/1FAIpQLSd37AKX0Ca1Yeje6eC6NuliFZj5Spn7I7mXRsa9kBsXMqB-Ag/viewform?edit2=2_ABaOnuduAuNuy0LPVF2WvFk0z94zUuE8zokX0hVnLbnIAICBr-sugpCs4I7SQ9GJeE9jGtU" TargetMode="External"/><Relationship Id="rId98" Type="http://schemas.openxmlformats.org/officeDocument/2006/relationships/hyperlink" Target="https://docs.google.com/forms/d/e/1FAIpQLSd37AKX0Ca1Yeje6eC6NuliFZj5Spn7I7mXRsa9kBsXMqB-Ag/viewform?edit2=2_ABaOnufS-nreBWFxPOyC72eR9s3g4FxQB6CNDe1z4p8VG1C-Z8nxN3WTFe2eHFZhUKAg3ho" TargetMode="External"/><Relationship Id="rId121" Type="http://schemas.openxmlformats.org/officeDocument/2006/relationships/hyperlink" Target="https://docs.google.com/forms/d/e/1FAIpQLSd37AKX0Ca1Yeje6eC6NuliFZj5Spn7I7mXRsa9kBsXMqB-Ag/viewform?edit2=2_ABaOnueGV1D7Xj7a5UiuNCsQBshom47Y4WPZn3PVWIRvV1ezyWBf4nAw1EfV1ynT_mKjcGA" TargetMode="External"/><Relationship Id="rId142" Type="http://schemas.openxmlformats.org/officeDocument/2006/relationships/hyperlink" Target="https://docs.google.com/forms/d/e/1FAIpQLSd37AKX0Ca1Yeje6eC6NuliFZj5Spn7I7mXRsa9kBsXMqB-Ag/viewform?edit2=2_ABaOnuf6drCWA-IZBlNqDAotDEssKORUs-S1i6ryHOYbNmm5r74FiPSdK2RgyzyGz8V24y8" TargetMode="External"/><Relationship Id="rId3" Type="http://schemas.openxmlformats.org/officeDocument/2006/relationships/hyperlink" Target="https://docs.google.com/forms/d/e/1FAIpQLSd37AKX0Ca1Yeje6eC6NuliFZj5Spn7I7mXRsa9kBsXMqB-Ag/viewform?edit2=2_ABaOnudEnQJ64MdsAInJZSm9gT7kRJsI_jwn0MZlcOrNaEs_qyqskUOjye-Vro9Z3oCMFMQ" TargetMode="External"/><Relationship Id="rId25" Type="http://schemas.openxmlformats.org/officeDocument/2006/relationships/hyperlink" Target="https://docs.google.com/forms/d/e/1FAIpQLSd37AKX0Ca1Yeje6eC6NuliFZj5Spn7I7mXRsa9kBsXMqB-Ag/viewform?edit2=2_ABaOnueqRQQwyCTmMGmcEQxas_9LhYhRotsAvf6q6FNyHT2PkAS00PXt6M4qBFCDWkpdnzo" TargetMode="External"/><Relationship Id="rId46" Type="http://schemas.openxmlformats.org/officeDocument/2006/relationships/hyperlink" Target="https://docs.google.com/forms/d/e/1FAIpQLSd37AKX0Ca1Yeje6eC6NuliFZj5Spn7I7mXRsa9kBsXMqB-Ag/viewform?edit2=2_ABaOnucrsJTyJA72tIls-EMRr9jmd2DO8yEsvqCQAshuZTl7gBFdTWbwF0EpY7-vg48QL2s" TargetMode="External"/><Relationship Id="rId67" Type="http://schemas.openxmlformats.org/officeDocument/2006/relationships/hyperlink" Target="https://docs.google.com/forms/d/e/1FAIpQLSd37AKX0Ca1Yeje6eC6NuliFZj5Spn7I7mXRsa9kBsXMqB-Ag/viewform?edit2=2_ABaOnucjjv5_rTobnMm4ik6SidIvkk-2PeScJNL7aeMG456YOKbsbhP67njMT5uBHLUCZvY" TargetMode="External"/><Relationship Id="rId116" Type="http://schemas.openxmlformats.org/officeDocument/2006/relationships/hyperlink" Target="https://docs.google.com/forms/d/e/1FAIpQLSd37AKX0Ca1Yeje6eC6NuliFZj5Spn7I7mXRsa9kBsXMqB-Ag/viewform?edit2=2_ABaOnuevPvgCpRTtXzF_nEg8ubPB1kpyPumvlKqedug0yXA_NBt_zSEQ5A5elQPQn8Pz8MI" TargetMode="External"/><Relationship Id="rId137" Type="http://schemas.openxmlformats.org/officeDocument/2006/relationships/hyperlink" Target="https://docs.google.com/forms/d/e/1FAIpQLSd37AKX0Ca1Yeje6eC6NuliFZj5Spn7I7mXRsa9kBsXMqB-Ag/viewform?edit2=2_ABaOnudWeTedu4RM0xhhpxcAAl1Lm1czJ_a-WZCRd0yTmaIgnUPy2sTcZ0gkt0RadE-JDWc" TargetMode="External"/><Relationship Id="rId20" Type="http://schemas.openxmlformats.org/officeDocument/2006/relationships/hyperlink" Target="https://docs.google.com/forms/d/e/1FAIpQLSd37AKX0Ca1Yeje6eC6NuliFZj5Spn7I7mXRsa9kBsXMqB-Ag/viewform?edit2=2_ABaOnuescUIQyNNpcmukx5aNYdXQ5QGyTQN0lEZVhcU7vfGS-omoV_XkogpJRV7bi3i4Vqs" TargetMode="External"/><Relationship Id="rId41" Type="http://schemas.openxmlformats.org/officeDocument/2006/relationships/hyperlink" Target="https://docs.google.com/forms/d/e/1FAIpQLSd37AKX0Ca1Yeje6eC6NuliFZj5Spn7I7mXRsa9kBsXMqB-Ag/viewform?edit2=2_ABaOnud1u5q384R3Dv43HaKIkm82f0Q0qFCx8ZB8u4UWLdMVI1g-rUuDhznwzq2I8pvf9I8" TargetMode="External"/><Relationship Id="rId62" Type="http://schemas.openxmlformats.org/officeDocument/2006/relationships/hyperlink" Target="https://docs.google.com/forms/d/e/1FAIpQLSd37AKX0Ca1Yeje6eC6NuliFZj5Spn7I7mXRsa9kBsXMqB-Ag/viewform?edit2=2_ABaOnudPhJxPi-s6Hxz1T94O7eJHvc2vL6-lmN1KDpQ-VjVgY28VI3YP71BRdl6Wj6SLGek" TargetMode="External"/><Relationship Id="rId83" Type="http://schemas.openxmlformats.org/officeDocument/2006/relationships/hyperlink" Target="https://docs.google.com/forms/d/e/1FAIpQLSd37AKX0Ca1Yeje6eC6NuliFZj5Spn7I7mXRsa9kBsXMqB-Ag/viewform?edit2=2_ABaOnuekMbJPwsBIgdmAqSZzHZqSYnVxvFNd3_I1BoI0oDlFKWMmDFbCIIaJoVZa5M1B63U" TargetMode="External"/><Relationship Id="rId88" Type="http://schemas.openxmlformats.org/officeDocument/2006/relationships/hyperlink" Target="https://docs.google.com/forms/d/e/1FAIpQLSd37AKX0Ca1Yeje6eC6NuliFZj5Spn7I7mXRsa9kBsXMqB-Ag/viewform?edit2=2_ABaOnuf3RQD9xnlEVNEmdONsLpkXUQJ9qpVEJnJgh7KiGjXh_c9HZ6vF_CpBHi15w-gFsn8" TargetMode="External"/><Relationship Id="rId111" Type="http://schemas.openxmlformats.org/officeDocument/2006/relationships/hyperlink" Target="https://docs.google.com/forms/d/e/1FAIpQLSd37AKX0Ca1Yeje6eC6NuliFZj5Spn7I7mXRsa9kBsXMqB-Ag/viewform?edit2=2_ABaOnufa2u84Z9CN6X3pn2WNK3cgotIWLVUteaxy9v8K82fxhORjkSTo3bK92F89vvmHQQY" TargetMode="External"/><Relationship Id="rId132" Type="http://schemas.openxmlformats.org/officeDocument/2006/relationships/hyperlink" Target="https://docs.google.com/forms/d/e/1FAIpQLSd37AKX0Ca1Yeje6eC6NuliFZj5Spn7I7mXRsa9kBsXMqB-Ag/viewform?edit2=2_ABaOnucjwEQQpKVtkpHfLLSdr7wlsJ123jmny_Y0VAZ3t1dzFLz17xf1AylOpEj0gIyz5Dg" TargetMode="External"/><Relationship Id="rId153" Type="http://schemas.openxmlformats.org/officeDocument/2006/relationships/vmlDrawing" Target="../drawings/vmlDrawing1.vml"/><Relationship Id="rId15" Type="http://schemas.openxmlformats.org/officeDocument/2006/relationships/hyperlink" Target="https://docs.google.com/forms/u/0/d/e/1FAIpQLSd37AKX0Ca1Yeje6eC6NuliFZj5Spn7I7mXRsa9kBsXMqB-Ag/viewform?usp=form_confirm&amp;edit2=2_ABaOnudDP-ZfNskiCwSfjEttDxpMckUejW6cpZizP2HkIA2_as-QJAX8aQ9F5GZXmXoYMug" TargetMode="External"/><Relationship Id="rId36" Type="http://schemas.openxmlformats.org/officeDocument/2006/relationships/hyperlink" Target="https://docs.google.com/forms/d/e/1FAIpQLSd37AKX0Ca1Yeje6eC6NuliFZj5Spn7I7mXRsa9kBsXMqB-Ag/viewform?edit2=2_ABaOnucMiljbr35PfZwRjVx85LAwudMBx-db5Mu3pfHltwd91T3sp9bh9qeD_lKprqhqhNA" TargetMode="External"/><Relationship Id="rId57" Type="http://schemas.openxmlformats.org/officeDocument/2006/relationships/hyperlink" Target="https://docs.google.com/forms/d/e/1FAIpQLSd37AKX0Ca1Yeje6eC6NuliFZj5Spn7I7mXRsa9kBsXMqB-Ag/viewform?edit2=2_ABaOnueEPwh1foCkF5p13wFtRWpghPhSqtbCjBXGJ58UvmEhVSHxI8HVV_XNL4yER31Pfss" TargetMode="External"/><Relationship Id="rId106" Type="http://schemas.openxmlformats.org/officeDocument/2006/relationships/hyperlink" Target="https://docs.google.com/forms/d/e/1FAIpQLSd37AKX0Ca1Yeje6eC6NuliFZj5Spn7I7mXRsa9kBsXMqB-Ag/viewform?edit2=2_ABaOnue3Jad5W9Uar32FIQIIrw-Mr5hDOEOwWLRFXGzjIm6vlllA3_MpAdkc1Fc6niJcSVM" TargetMode="External"/><Relationship Id="rId127" Type="http://schemas.openxmlformats.org/officeDocument/2006/relationships/hyperlink" Target="https://docs.google.com/forms/d/e/1FAIpQLSd37AKX0Ca1Yeje6eC6NuliFZj5Spn7I7mXRsa9kBsXMqB-Ag/viewform?edit2=2_ABaOnue59nTKwmLOFBeEDNy4A4E50G9m4_Taygd-t5Jtfj3LUJtYDs4lyYyNgEvaenq_DkA" TargetMode="External"/><Relationship Id="rId10" Type="http://schemas.openxmlformats.org/officeDocument/2006/relationships/hyperlink" Target="https://docs.google.com/forms/d/e/1FAIpQLSd37AKX0Ca1Yeje6eC6NuliFZj5Spn7I7mXRsa9kBsXMqB-Ag/viewform?edit2=2_ABaOnufUfLyjWTy9oYpmRrdtiQEkqdLGvVSdvE4PpTPbkxiETCbjv26SaG8WfWnFLD0Dd6w" TargetMode="External"/><Relationship Id="rId31" Type="http://schemas.openxmlformats.org/officeDocument/2006/relationships/hyperlink" Target="https://docs.google.com/forms/d/e/1FAIpQLSd37AKX0Ca1Yeje6eC6NuliFZj5Spn7I7mXRsa9kBsXMqB-Ag/viewform?edit2=2_ABaOnuc-JT1GZayK7lrMPPARVhylY7p1ujjmxGClJM-yseQdlWPcQe-6ojAPuPP62HQcSOQ" TargetMode="External"/><Relationship Id="rId52" Type="http://schemas.openxmlformats.org/officeDocument/2006/relationships/hyperlink" Target="https://docs.google.com/forms/d/e/1FAIpQLSd37AKX0Ca1Yeje6eC6NuliFZj5Spn7I7mXRsa9kBsXMqB-Ag/viewform?edit2=2_ABaOnuegoAWfQwCerkUBsKWgfPGSP28fjhF3W-rRTgX5F3rIj0vvB843QhnzBMblh_pdvGM" TargetMode="External"/><Relationship Id="rId73" Type="http://schemas.openxmlformats.org/officeDocument/2006/relationships/hyperlink" Target="https://docs.google.com/forms/d/e/1FAIpQLSd37AKX0Ca1Yeje6eC6NuliFZj5Spn7I7mXRsa9kBsXMqB-Ag/viewform?edit2=2_ABaOnue8yF5k2g-A4YmMjFEroZTXPs21RlviJCb9l-8HQlydMe29OUNnwxbF1iHXhgVdNtk" TargetMode="External"/><Relationship Id="rId78" Type="http://schemas.openxmlformats.org/officeDocument/2006/relationships/hyperlink" Target="https://docs.google.com/forms/d/e/1FAIpQLSd37AKX0Ca1Yeje6eC6NuliFZj5Spn7I7mXRsa9kBsXMqB-Ag/viewform?edit2=2_ABaOnue1ZmkVCQ73gZfMpVV9jAOeECCSJOVWPkZUJbuX-UjITF8G09k3HqoNLPJR5YOovSg" TargetMode="External"/><Relationship Id="rId94" Type="http://schemas.openxmlformats.org/officeDocument/2006/relationships/hyperlink" Target="https://docs.google.com/forms/d/e/1FAIpQLSd37AKX0Ca1Yeje6eC6NuliFZj5Spn7I7mXRsa9kBsXMqB-Ag/viewform?edit2=2_ABaOnuf3ncTLu9rMQrtuYSdYB6wY2MaD6cBPF-ruKky8jNGdipWjeWa1LuFeurdRnHZ53v4" TargetMode="External"/><Relationship Id="rId99" Type="http://schemas.openxmlformats.org/officeDocument/2006/relationships/hyperlink" Target="https://docs.google.com/forms/d/e/1FAIpQLSd37AKX0Ca1Yeje6eC6NuliFZj5Spn7I7mXRsa9kBsXMqB-Ag/viewform?edit2=2_ABaOnufoanDlczACBPN_cdZfkRzhGDeidnzQHXO7ba-esAKkYUlgvNYLHsVQh_6N8OgAazo" TargetMode="External"/><Relationship Id="rId101" Type="http://schemas.openxmlformats.org/officeDocument/2006/relationships/hyperlink" Target="https://docs.google.com/forms/d/e/1FAIpQLSd37AKX0Ca1Yeje6eC6NuliFZj5Spn7I7mXRsa9kBsXMqB-Ag/viewform?edit2=2_ABaOnuccYH0o4h2SxHKKEb1DF41CCIj9Qlcjj535Y-OtOUeelvdwEFGsNYtsH42NN-yaJms" TargetMode="External"/><Relationship Id="rId122" Type="http://schemas.openxmlformats.org/officeDocument/2006/relationships/hyperlink" Target="https://docs.google.com/forms/d/e/1FAIpQLSd37AKX0Ca1Yeje6eC6NuliFZj5Spn7I7mXRsa9kBsXMqB-Ag/viewform?edit2=2_ABaOnuds8n1cXqEQges1keQ6gII34Wl56T73IIC2Ms4ZzOmva2PGEpao-nbgJlaOlo6WGJk" TargetMode="External"/><Relationship Id="rId143" Type="http://schemas.openxmlformats.org/officeDocument/2006/relationships/hyperlink" Target="https://docs.google.com/forms/d/e/1FAIpQLSd37AKX0Ca1Yeje6eC6NuliFZj5Spn7I7mXRsa9kBsXMqB-Ag/viewform?edit2=2_ABaOnufG4qkFQOtlvqNs92E6J7QIRFpabq77LhYs1EKoIUylzebWNv8mFo_PoidwofkyZ0Y" TargetMode="External"/><Relationship Id="rId148" Type="http://schemas.openxmlformats.org/officeDocument/2006/relationships/hyperlink" Target="https://docs.google.com/forms/d/e/1FAIpQLSd37AKX0Ca1Yeje6eC6NuliFZj5Spn7I7mXRsa9kBsXMqB-Ag/viewform?edit2=2_ABaOnucU6DOq6qcvz42zkHjhZlqUckdI_P7WQvTHT6kRvXPS0nedw-Lqwshw-TPP60rFl40" TargetMode="External"/><Relationship Id="rId4" Type="http://schemas.openxmlformats.org/officeDocument/2006/relationships/hyperlink" Target="https://docs.google.com/forms/d/e/1FAIpQLSd37AKX0Ca1Yeje6eC6NuliFZj5Spn7I7mXRsa9kBsXMqB-Ag/viewform?edit2=2_ABaOnudeoy7bEdo69AhqS9Sp3RVsUd2is9ZwWEW4UM_u3QLmkcOy0NHhMxvjybLmGrlPdCM" TargetMode="External"/><Relationship Id="rId9" Type="http://schemas.openxmlformats.org/officeDocument/2006/relationships/hyperlink" Target="https://docs.google.com/forms/d/e/1FAIpQLSd37AKX0Ca1Yeje6eC6NuliFZj5Spn7I7mXRsa9kBsXMqB-Ag/viewform?edit2=2_ABaOnucbWnEnY3db-EanKrrQCykZllDVPJkRXkAuE5nXj5oFvDuGB21CBl3v9zZCpKpqIVA" TargetMode="External"/><Relationship Id="rId26" Type="http://schemas.openxmlformats.org/officeDocument/2006/relationships/hyperlink" Target="https://docs.google.com/forms/d/e/1FAIpQLSd37AKX0Ca1Yeje6eC6NuliFZj5Spn7I7mXRsa9kBsXMqB-Ag/viewform?edit2=2_ABaOnudQsza_VbXO0RwEWsZEQXADe7f49eee5tp2F2uAWIcDG57CS-xL_1vjSZCf5JHZiSI" TargetMode="External"/><Relationship Id="rId47" Type="http://schemas.openxmlformats.org/officeDocument/2006/relationships/hyperlink" Target="https://docs.google.com/forms/d/e/1FAIpQLSd37AKX0Ca1Yeje6eC6NuliFZj5Spn7I7mXRsa9kBsXMqB-Ag/viewform?edit2=2_ABaOnufU7zcEy1svoPRIsre-wqkORHjiO3utFOjpKOKt7U0ohXLZpYLjHzv5UNS84SmGULc" TargetMode="External"/><Relationship Id="rId68" Type="http://schemas.openxmlformats.org/officeDocument/2006/relationships/hyperlink" Target="https://docs.google.com/forms/d/e/1FAIpQLSd37AKX0Ca1Yeje6eC6NuliFZj5Spn7I7mXRsa9kBsXMqB-Ag/viewform?edit2=2_ABaOnudSaiTPxaFtHrreY46BnXEqShox50Z2ak0rHpewn71vVfmjiHgqI2ff57yXQ6YzcfA" TargetMode="External"/><Relationship Id="rId89" Type="http://schemas.openxmlformats.org/officeDocument/2006/relationships/hyperlink" Target="https://docs.google.com/forms/d/e/1FAIpQLSd37AKX0Ca1Yeje6eC6NuliFZj5Spn7I7mXRsa9kBsXMqB-Ag/viewform?edit2=2_ABaOnuc2ce1OsnN4egnCH4EpgfP2ZGzmFF0P7bp3mPH7vn6kJ6Ik4LRVglrukwYZUMRxKVA" TargetMode="External"/><Relationship Id="rId112" Type="http://schemas.openxmlformats.org/officeDocument/2006/relationships/hyperlink" Target="https://docs.google.com/forms/d/e/1FAIpQLSd37AKX0Ca1Yeje6eC6NuliFZj5Spn7I7mXRsa9kBsXMqB-Ag/viewform?edit2=2_ABaOnudoNBvw3THZ41dqtCsdUKuAuJjB0DS61NMmaPCGruHj-T9AWO-iGHiUD40ToAaN_9I" TargetMode="External"/><Relationship Id="rId133" Type="http://schemas.openxmlformats.org/officeDocument/2006/relationships/hyperlink" Target="https://docs.google.com/forms/d/e/1FAIpQLSd37AKX0Ca1Yeje6eC6NuliFZj5Spn7I7mXRsa9kBsXMqB-Ag/viewform?edit2=2_ABaOnufxkc3tlHnwqQgLBNKZgEJCUxXYMRiEDNla6guit9NDZ30z5t7XPOkPUIpmZDTO4O8" TargetMode="External"/><Relationship Id="rId154" Type="http://schemas.openxmlformats.org/officeDocument/2006/relationships/comments" Target="../comments1.xml"/><Relationship Id="rId16" Type="http://schemas.openxmlformats.org/officeDocument/2006/relationships/hyperlink" Target="https://docs.google.com/forms/d/e/1FAIpQLSd37AKX0Ca1Yeje6eC6NuliFZj5Spn7I7mXRsa9kBsXMqB-Ag/viewform?edit2=2_ABaOnueQ19kzikZA4On-kY-0hNI3jDPl0vNleeZ2u8MhsZyJ00yDI2OE-UclYh8GGTuJJJY" TargetMode="External"/><Relationship Id="rId37" Type="http://schemas.openxmlformats.org/officeDocument/2006/relationships/hyperlink" Target="https://docs.google.com/forms/d/e/1FAIpQLSd37AKX0Ca1Yeje6eC6NuliFZj5Spn7I7mXRsa9kBsXMqB-Ag/viewform?edit2=2_ABaOnue3hK20gMAQU3kqmQIEdcTGrnNth9OadKx1kt5SNe1tmGC3XQsjkqYuzJr-5f33WiA" TargetMode="External"/><Relationship Id="rId58" Type="http://schemas.openxmlformats.org/officeDocument/2006/relationships/hyperlink" Target="https://docs.google.com/forms/d/e/1FAIpQLSd37AKX0Ca1Yeje6eC6NuliFZj5Spn7I7mXRsa9kBsXMqB-Ag/viewform?edit2=2_ABaOnuf4gGW7vsnNociziZsApjFJbJZT_TLYvuMaE1eQPoPBd85HoRkCBziarUwQkMTOZas" TargetMode="External"/><Relationship Id="rId79" Type="http://schemas.openxmlformats.org/officeDocument/2006/relationships/hyperlink" Target="https://docs.google.com/forms/d/e/1FAIpQLSd37AKX0Ca1Yeje6eC6NuliFZj5Spn7I7mXRsa9kBsXMqB-Ag/viewform?edit2=2_ABaOnuc9aPDoW6LgjCUsuHRny8nvvfgwUoe3-JYI93_0801K5cI0OOym4pS-MOQRTXsp9Ks" TargetMode="External"/><Relationship Id="rId102" Type="http://schemas.openxmlformats.org/officeDocument/2006/relationships/hyperlink" Target="https://docs.google.com/forms/d/e/1FAIpQLSd37AKX0Ca1Yeje6eC6NuliFZj5Spn7I7mXRsa9kBsXMqB-Ag/viewform?edit2=2_ABaOnuewXCcvFlXhOgcuatfXfXCbnlU1jlU_B1S6DBUtQMER3HsVK1yN6hkKuzgrLcFEHRc" TargetMode="External"/><Relationship Id="rId123" Type="http://schemas.openxmlformats.org/officeDocument/2006/relationships/hyperlink" Target="https://docs.google.com/forms/d/e/1FAIpQLSd37AKX0Ca1Yeje6eC6NuliFZj5Spn7I7mXRsa9kBsXMqB-Ag/viewform?edit2=2_ABaOnufDbwsAVAzVxdhcVcQPdr8KBiuCeP-KzqSydcuXV8bbcLj1GK3eHoRfDXLLb8m1RjU" TargetMode="External"/><Relationship Id="rId144" Type="http://schemas.openxmlformats.org/officeDocument/2006/relationships/hyperlink" Target="https://docs.google.com/forms/d/e/1FAIpQLSd37AKX0Ca1Yeje6eC6NuliFZj5Spn7I7mXRsa9kBsXMqB-Ag/viewform?edit2=2_ABaOnueYWLUCkhOyJAhdd6sl35WX-SzQl1fVfL0acBK39C3PrSGDfh5FKCpV-EWK10pwrqQ" TargetMode="External"/><Relationship Id="rId90" Type="http://schemas.openxmlformats.org/officeDocument/2006/relationships/hyperlink" Target="https://docs.google.com/forms/d/e/1FAIpQLSd37AKX0Ca1Yeje6eC6NuliFZj5Spn7I7mXRsa9kBsXMqB-Ag/viewform?edit2=2_ABaOnueQifeXrb58f2l-fn4zj1w6xN1zs3ijczgGpF_vSkGeA1cb48Av_vY2C04VZEkZzz4"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docs.google.com/forms/d/e/1FAIpQLScKfK1Xq_AfFRyZkOlyT2n4Ugr8FdePyUxPct4kYLgKJ3YlMQ/viewform?edit2=2_ABaOnueEMnGSy-Ib83p88mIKnHigqyDDiDvfeqbgSSOoqZ2BLD1kh6gy_S8HH07a8Zqem5Q" TargetMode="External"/><Relationship Id="rId13" Type="http://schemas.openxmlformats.org/officeDocument/2006/relationships/hyperlink" Target="https://docs.google.com/forms/d/e/1FAIpQLScKfK1Xq_AfFRyZkOlyT2n4Ugr8FdePyUxPct4kYLgKJ3YlMQ/viewform?edit2=2_ABaOnue7ZcxSFV-kw8BD7ui03gHbtThwrlkt2O7khJQSu_Z13PplCE3CmnAuJqDwtrwMRHc" TargetMode="External"/><Relationship Id="rId18" Type="http://schemas.openxmlformats.org/officeDocument/2006/relationships/hyperlink" Target="https://docs.google.com/forms/d/e/1FAIpQLScKfK1Xq_AfFRyZkOlyT2n4Ugr8FdePyUxPct4kYLgKJ3YlMQ/viewform?edit2=2_ABaOnueBzNAJWdlR9Lt93Tux99b3FldCN3d7GgypcpVrLDy-6bAwlrNPRCs-i1euwAyyqaQ" TargetMode="External"/><Relationship Id="rId26" Type="http://schemas.openxmlformats.org/officeDocument/2006/relationships/hyperlink" Target="https://docs.google.com/forms/d/e/1FAIpQLScKfK1Xq_AfFRyZkOlyT2n4Ugr8FdePyUxPct4kYLgKJ3YlMQ/viewform?edit2=2_ABaOnucIF0bUlpImPx8G5Cbwlu76fG6A5FGJO9bhSnfweqQLIYVGJ5NGuH1wd-Vrzig1ARY" TargetMode="External"/><Relationship Id="rId3" Type="http://schemas.openxmlformats.org/officeDocument/2006/relationships/hyperlink" Target="https://docs.google.com/forms/u/0/d/e/1FAIpQLScKfK1Xq_AfFRyZkOlyT2n4Ugr8FdePyUxPct4kYLgKJ3YlMQ/viewform?usp=form_confirm&amp;edit2=2_ABaOnue4-bKV6Dn-BqpIg6DEA3le4oslWbXeV5t7VvmtpYh9fW2YhiQ-On2oe4v3PMh2bAo" TargetMode="External"/><Relationship Id="rId21" Type="http://schemas.openxmlformats.org/officeDocument/2006/relationships/hyperlink" Target="https://docs.google.com/forms/d/e/1FAIpQLScKfK1Xq_AfFRyZkOlyT2n4Ugr8FdePyUxPct4kYLgKJ3YlMQ/viewform?edit2=2_ABaOnucoVVW69SVQ3gNVqXcMOXeDIKpQsj0faJz8KwXftEjdhci2kGRFvnbK77xCKE72FXU" TargetMode="External"/><Relationship Id="rId7" Type="http://schemas.openxmlformats.org/officeDocument/2006/relationships/hyperlink" Target="https://docs.google.com/forms/d/e/1FAIpQLScKfK1Xq_AfFRyZkOlyT2n4Ugr8FdePyUxPct4kYLgKJ3YlMQ/viewform?edit2=2_ABaOnufk8KX-0O4pwL1H97rUop8QABM8GJga19tD3RShvYnABmP5DuMvzjvMYWuhRdnXEEQ" TargetMode="External"/><Relationship Id="rId12" Type="http://schemas.openxmlformats.org/officeDocument/2006/relationships/hyperlink" Target="https://docs.google.com/forms/d/e/1FAIpQLScKfK1Xq_AfFRyZkOlyT2n4Ugr8FdePyUxPct4kYLgKJ3YlMQ/viewform?edit2=2_ABaOnufb-nE9EbyKTT6hORhEbvi6L_6OXRGSycMy2mU8zEVI91IfHurcQico_VTO24ptdi4" TargetMode="External"/><Relationship Id="rId17" Type="http://schemas.openxmlformats.org/officeDocument/2006/relationships/hyperlink" Target="https://docs.google.com/forms/d/e/1FAIpQLScKfK1Xq_AfFRyZkOlyT2n4Ugr8FdePyUxPct4kYLgKJ3YlMQ/viewform?edit2=2_ABaOnuclPqeAJQSqGHtJmlpXSjJSapyprWpZux4R9d_vojADBzV8V4vkS47Auvu3HSa2bZA" TargetMode="External"/><Relationship Id="rId25" Type="http://schemas.openxmlformats.org/officeDocument/2006/relationships/hyperlink" Target="https://docs.google.com/forms/d/e/1FAIpQLScKfK1Xq_AfFRyZkOlyT2n4Ugr8FdePyUxPct4kYLgKJ3YlMQ/viewform?edit2=2_ABaOnucvgZ8hcmHj8eo8Gttfaa2Xb_k25Mz2N0V6ThqYfwGsiep8vt9_VOKJTNSs6iScXCU" TargetMode="External"/><Relationship Id="rId2" Type="http://schemas.openxmlformats.org/officeDocument/2006/relationships/hyperlink" Target="https://docs.google.com/spreadsheets/d/1e2BOHVwG__zzJXOYlk6mqBmkq1gTDD6SafJrFhAFJMM/edit?gid=346688937" TargetMode="External"/><Relationship Id="rId16" Type="http://schemas.openxmlformats.org/officeDocument/2006/relationships/hyperlink" Target="https://docs.google.com/forms/d/e/1FAIpQLScKfK1Xq_AfFRyZkOlyT2n4Ugr8FdePyUxPct4kYLgKJ3YlMQ/viewform?edit2=2_ABaOnufpsK5vteWRiYTWB09D60Vi_h7LVrJujuDE72LhGIB_TbYDP2x7JBRNRVos15yKxWg" TargetMode="External"/><Relationship Id="rId20" Type="http://schemas.openxmlformats.org/officeDocument/2006/relationships/hyperlink" Target="https://docs.google.com/forms/d/e/1FAIpQLScKfK1Xq_AfFRyZkOlyT2n4Ugr8FdePyUxPct4kYLgKJ3YlMQ/viewform?edit2=2_ABaOnucfG3bYGvshe4WwfOGUK3uVop5MwarUCM8Dz2zoZnlJ3EKFUr5l140YAU18grrR6Jg" TargetMode="External"/><Relationship Id="rId29" Type="http://schemas.openxmlformats.org/officeDocument/2006/relationships/hyperlink" Target="https://docs.google.com/forms/d/e/1FAIpQLScKfK1Xq_AfFRyZkOlyT2n4Ugr8FdePyUxPct4kYLgKJ3YlMQ/viewform?edit2=2_ABaOnucYlNz1YoXLPBAYyST6WlmELb1kBnM9BfkUaTxKov-rM8gB0ieRnkyVKFnayrBrwdE" TargetMode="External"/><Relationship Id="rId1" Type="http://schemas.openxmlformats.org/officeDocument/2006/relationships/hyperlink" Target="https://docs.google.com/forms/d/e/1FAIpQLScKfK1Xq_AfFRyZkOlyT2n4Ugr8FdePyUxPct4kYLgKJ3YlMQ/viewform?usp=pp_url&amp;entry.696186888=Stake+Interview&amp;entry.1396762361=Pending&amp;entry.1832211063=No&amp;entry.1186657256=No&amp;entry.487206636=No" TargetMode="External"/><Relationship Id="rId6" Type="http://schemas.openxmlformats.org/officeDocument/2006/relationships/hyperlink" Target="https://docs.google.com/forms/u/0/d/e/1FAIpQLScKfK1Xq_AfFRyZkOlyT2n4Ugr8FdePyUxPct4kYLgKJ3YlMQ/viewform?usp=form_confirm&amp;edit2=2_ABaOnudIcQAMwBZ_rW3Arta-6ry8ErhYbg1iMQd2KWFEzv77TIkjhEEPHrLcN7fY7V7eMhI" TargetMode="External"/><Relationship Id="rId11" Type="http://schemas.openxmlformats.org/officeDocument/2006/relationships/hyperlink" Target="https://docs.google.com/forms/d/e/1FAIpQLScKfK1Xq_AfFRyZkOlyT2n4Ugr8FdePyUxPct4kYLgKJ3YlMQ/viewform?edit2=2_ABaOnucwqywpbOhehWb_hRGv3iH7fBjYkd-bm7P_rKNcLL2CROHu5YVvp5s8tnLi4OXZoL4" TargetMode="External"/><Relationship Id="rId24" Type="http://schemas.openxmlformats.org/officeDocument/2006/relationships/hyperlink" Target="https://docs.google.com/forms/d/e/1FAIpQLScKfK1Xq_AfFRyZkOlyT2n4Ugr8FdePyUxPct4kYLgKJ3YlMQ/viewform?edit2=2_ABaOnufjK8xhuiFA2hyUBTaEq6LVGLdbtrDPBexyDuYH7Ij3F2jxWiXRsszKp7UkAhq6w2w" TargetMode="External"/><Relationship Id="rId32" Type="http://schemas.openxmlformats.org/officeDocument/2006/relationships/comments" Target="../comments2.xml"/><Relationship Id="rId5" Type="http://schemas.openxmlformats.org/officeDocument/2006/relationships/hyperlink" Target="https://docs.google.com/forms/d/e/1FAIpQLScKfK1Xq_AfFRyZkOlyT2n4Ugr8FdePyUxPct4kYLgKJ3YlMQ/viewform?edit2=2_ABaOnufH4GxkII0IFS3w7rZ-6_L8_UkUAz9k8A-lVv0Mpf9U0OtoIO8zCZrUlfWvzilXHFw" TargetMode="External"/><Relationship Id="rId15" Type="http://schemas.openxmlformats.org/officeDocument/2006/relationships/hyperlink" Target="https://docs.google.com/forms/d/e/1FAIpQLScKfK1Xq_AfFRyZkOlyT2n4Ugr8FdePyUxPct4kYLgKJ3YlMQ/viewform?edit2=2_ABaOnueGhFrC5uwJ6Q-je3BKvFYe0pud2_pqm6TjJkW7ni5E5LbYmayQ36NyjMT57nHG4QQ" TargetMode="External"/><Relationship Id="rId23" Type="http://schemas.openxmlformats.org/officeDocument/2006/relationships/hyperlink" Target="https://docs.google.com/forms/d/e/1FAIpQLScKfK1Xq_AfFRyZkOlyT2n4Ugr8FdePyUxPct4kYLgKJ3YlMQ/viewform?edit2=2_ABaOnufLliA2CJi29kg7rYKT-h87l0w8X4u7qJ1sLy7FAlkOe3QXfjX1FkbVGDpHIm5JPxk" TargetMode="External"/><Relationship Id="rId28" Type="http://schemas.openxmlformats.org/officeDocument/2006/relationships/hyperlink" Target="https://docs.google.com/forms/d/e/1FAIpQLScKfK1Xq_AfFRyZkOlyT2n4Ugr8FdePyUxPct4kYLgKJ3YlMQ/viewform?edit2=2_ABaOnucINqfbL2HNtyT2-rdXO1PHIOPKQtPP-hALfOhqsXkOd_XPh6FLRTCqadIMuXnaou0" TargetMode="External"/><Relationship Id="rId10" Type="http://schemas.openxmlformats.org/officeDocument/2006/relationships/hyperlink" Target="https://docs.google.com/forms/d/e/1FAIpQLScKfK1Xq_AfFRyZkOlyT2n4Ugr8FdePyUxPct4kYLgKJ3YlMQ/viewform?edit2=2_ABaOnudJZTctoBjl3qpNdm6etTylzvWAKVofQalrPmPOeai9zwWd22Zw3UJLRe8nR1ufFZM" TargetMode="External"/><Relationship Id="rId19" Type="http://schemas.openxmlformats.org/officeDocument/2006/relationships/hyperlink" Target="https://docs.google.com/forms/d/e/1FAIpQLScKfK1Xq_AfFRyZkOlyT2n4Ugr8FdePyUxPct4kYLgKJ3YlMQ/viewform?edit2=2_ABaOnucfG3bYGvshe4WwfOGUK3uVop5MwarUCM8Dz2zoZnlJ3EKFUr5l140YAU18grrR6Jg" TargetMode="External"/><Relationship Id="rId31" Type="http://schemas.openxmlformats.org/officeDocument/2006/relationships/vmlDrawing" Target="../drawings/vmlDrawing2.vml"/><Relationship Id="rId4" Type="http://schemas.openxmlformats.org/officeDocument/2006/relationships/hyperlink" Target="https://docs.google.com/forms/d/e/1FAIpQLScKfK1Xq_AfFRyZkOlyT2n4Ugr8FdePyUxPct4kYLgKJ3YlMQ/viewform?edit2=2_ABaOnue6n8eZLjQiLHZFVN-j77UIEqAX21Z9cAuKTpVbvbBce-IZ_-e9V7BmbmOGmH3SBes" TargetMode="External"/><Relationship Id="rId9" Type="http://schemas.openxmlformats.org/officeDocument/2006/relationships/hyperlink" Target="https://docs.google.com/forms/d/e/1FAIpQLScKfK1Xq_AfFRyZkOlyT2n4Ugr8FdePyUxPct4kYLgKJ3YlMQ/viewform?edit2=2_ABaOnue7CDFJ-DLFszfXQgMJoyTYzlSz5vwYZhgFnuGWxLIc-RFbEe3y7lSVyIgRNwQnRds" TargetMode="External"/><Relationship Id="rId14" Type="http://schemas.openxmlformats.org/officeDocument/2006/relationships/hyperlink" Target="https://docs.google.com/forms/d/e/1FAIpQLScKfK1Xq_AfFRyZkOlyT2n4Ugr8FdePyUxPct4kYLgKJ3YlMQ/viewform?edit2=2_ABaOnuckX9HLj5QzQ9LwfrDlUIL7-AnDActIeviRvXP9cxFz8MIryFBflSpw7Rkwjz_xOdM" TargetMode="External"/><Relationship Id="rId22" Type="http://schemas.openxmlformats.org/officeDocument/2006/relationships/hyperlink" Target="https://docs.google.com/forms/d/e/1FAIpQLScKfK1Xq_AfFRyZkOlyT2n4Ugr8FdePyUxPct4kYLgKJ3YlMQ/viewform?edit2=2_ABaOnueaQXOBWtLHbkKogiRYZwa9VzkGBCpJmWiZkzVO4au5iwOSPC1mbMUGgNtfFagtNIs" TargetMode="External"/><Relationship Id="rId27" Type="http://schemas.openxmlformats.org/officeDocument/2006/relationships/hyperlink" Target="https://docs.google.com/forms/d/e/1FAIpQLScKfK1Xq_AfFRyZkOlyT2n4Ugr8FdePyUxPct4kYLgKJ3YlMQ/viewform?edit2=2_ABaOnufrbZEpQ1VYeN9BXUBQ6v1OzvXmTFVGlu68JTR1rShH00C-sT1ViaSxcZ8c5g36hTc" TargetMode="External"/><Relationship Id="rId30"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8" Type="http://schemas.openxmlformats.org/officeDocument/2006/relationships/hyperlink" Target="https://docs.google.com/forms/d/e/1FAIpQLSeAkkqnSqisXk0g5wDtTZwQpSKdxgBvUG9NhZjoIJxKcGoYyw/viewform?edit2=2_ABaOnuduP_zzH4d0H3dzllx1yqV3h4NflGsQ5Q4h2FnmXG-4M8ERdABAND-niRHdDEv-fqI" TargetMode="External"/><Relationship Id="rId13" Type="http://schemas.openxmlformats.org/officeDocument/2006/relationships/hyperlink" Target="https://docs.google.com/forms/d/e/1FAIpQLSeAkkqnSqisXk0g5wDtTZwQpSKdxgBvUG9NhZjoIJxKcGoYyw/viewform?edit2=2_ABaOnufoQWvV1LRdZfAvgN00YY1KHnvwXPjPG7S95jJMMKwhicVKRatphX_GEd6ePdQBDC0" TargetMode="External"/><Relationship Id="rId18" Type="http://schemas.openxmlformats.org/officeDocument/2006/relationships/hyperlink" Target="https://docs.google.com/forms/d/e/1FAIpQLSeAkkqnSqisXk0g5wDtTZwQpSKdxgBvUG9NhZjoIJxKcGoYyw/viewform?edit2=2_ABaOnufMj3NlW--EHaLsoCZD5J6fe6i6LO9REUaBqFlRhTBdIQvlohrgzUJhl8nay87Px5E" TargetMode="External"/><Relationship Id="rId3" Type="http://schemas.openxmlformats.org/officeDocument/2006/relationships/hyperlink" Target="https://docs.google.com/forms/d/e/1FAIpQLSeAkkqnSqisXk0g5wDtTZwQpSKdxgBvUG9NhZjoIJxKcGoYyw/viewform?edit2=2_ABaOnucDXLE8BesxyJ1-nK6nHLSbL3JneEyTIVs2C-oq8ZxugubLv8C_70JK7r0EuwFnXDE" TargetMode="External"/><Relationship Id="rId21" Type="http://schemas.openxmlformats.org/officeDocument/2006/relationships/comments" Target="../comments3.xml"/><Relationship Id="rId7" Type="http://schemas.openxmlformats.org/officeDocument/2006/relationships/hyperlink" Target="https://docs.google.com/forms/d/e/1FAIpQLSeAkkqnSqisXk0g5wDtTZwQpSKdxgBvUG9NhZjoIJxKcGoYyw/viewform?edit2=2_ABaOnuc-EvC9gubjMkNDG4efP0NWBzNThWKFe59_KMxTdhxzfuQYAm8XU2PPjZ6y0Qc_kKc" TargetMode="External"/><Relationship Id="rId12" Type="http://schemas.openxmlformats.org/officeDocument/2006/relationships/hyperlink" Target="https://docs.google.com/forms/d/e/1FAIpQLSeAkkqnSqisXk0g5wDtTZwQpSKdxgBvUG9NhZjoIJxKcGoYyw/viewform?edit2=2_ABaOnufOs750n5SprfkNw40XljrSVyTuRQzqgJ-tg7D0FGpACtd7tQVNPLhwY8xSP8PkZqI" TargetMode="External"/><Relationship Id="rId17" Type="http://schemas.openxmlformats.org/officeDocument/2006/relationships/hyperlink" Target="https://docs.google.com/forms/d/e/1FAIpQLSeAkkqnSqisXk0g5wDtTZwQpSKdxgBvUG9NhZjoIJxKcGoYyw/viewform?edit2=2_ABaOnufNWMXmwmsvaklQPKKywxKvSY2IKqCzH4IMwnbQWMspXLQJvoEmEYYJCa8PPi0aqVE" TargetMode="External"/><Relationship Id="rId2" Type="http://schemas.openxmlformats.org/officeDocument/2006/relationships/hyperlink" Target="https://docs.google.com/spreadsheets/d/1e2BOHVwG__zzJXOYlk6mqBmkq1gTDD6SafJrFhAFJMM/edit?gid=346688937" TargetMode="External"/><Relationship Id="rId16" Type="http://schemas.openxmlformats.org/officeDocument/2006/relationships/hyperlink" Target="https://docs.google.com/forms/d/e/1FAIpQLSeAkkqnSqisXk0g5wDtTZwQpSKdxgBvUG9NhZjoIJxKcGoYyw/viewform?edit2=2_ABaOnuebNk365shfw_GXARw4ModPprWlVT-FfeGSr4N76dgL67fe1uA1Okb6W5sRaF7dM5s" TargetMode="External"/><Relationship Id="rId20" Type="http://schemas.openxmlformats.org/officeDocument/2006/relationships/vmlDrawing" Target="../drawings/vmlDrawing3.vml"/><Relationship Id="rId1" Type="http://schemas.openxmlformats.org/officeDocument/2006/relationships/hyperlink" Target="https://docs.google.com/forms/d/e/1FAIpQLSeAkkqnSqisXk0g5wDtTZwQpSKdxgBvUG9NhZjoIJxKcGoYyw/viewform?usp=pp_url&amp;entry.1287654678=Pending+Approval&amp;entry.1287240856=No" TargetMode="External"/><Relationship Id="rId6" Type="http://schemas.openxmlformats.org/officeDocument/2006/relationships/hyperlink" Target="https://docs.google.com/forms/u/0/d/e/1FAIpQLSeAkkqnSqisXk0g5wDtTZwQpSKdxgBvUG9NhZjoIJxKcGoYyw/formResponse" TargetMode="External"/><Relationship Id="rId11" Type="http://schemas.openxmlformats.org/officeDocument/2006/relationships/hyperlink" Target="https://docs.google.com/forms/d/e/1FAIpQLSeAkkqnSqisXk0g5wDtTZwQpSKdxgBvUG9NhZjoIJxKcGoYyw/viewform?edit2=2_ABaOnufIbfFNPPGqEB7AhV5z2luR8T1Eq9R-6NzYQeV4WAMtS09cxiJOyeAHQ-TeoLbnXLk" TargetMode="External"/><Relationship Id="rId5" Type="http://schemas.openxmlformats.org/officeDocument/2006/relationships/hyperlink" Target="https://docs.google.com/forms/u/0/d/e/1FAIpQLSeAkkqnSqisXk0g5wDtTZwQpSKdxgBvUG9NhZjoIJxKcGoYyw/formResponse" TargetMode="External"/><Relationship Id="rId15" Type="http://schemas.openxmlformats.org/officeDocument/2006/relationships/hyperlink" Target="https://docs.google.com/forms/d/e/1FAIpQLSeAkkqnSqisXk0g5wDtTZwQpSKdxgBvUG9NhZjoIJxKcGoYyw/viewform?edit2=2_ABaOnufLTenH_kMb604Ots-N46e3zV-iq1fDjEHod37Ph3QLyI5E1nU6g6lWbYzONAhG-NI" TargetMode="External"/><Relationship Id="rId10" Type="http://schemas.openxmlformats.org/officeDocument/2006/relationships/hyperlink" Target="https://docs.google.com/forms/d/e/1FAIpQLSeAkkqnSqisXk0g5wDtTZwQpSKdxgBvUG9NhZjoIJxKcGoYyw/viewform?edit2=2_ABaOnud6tHN184mnq-ugDic-fkx0469lLwZpTXMcPvPtQoW0TKaL0Bohp0jL3__EKQtyxgw" TargetMode="External"/><Relationship Id="rId19" Type="http://schemas.openxmlformats.org/officeDocument/2006/relationships/drawing" Target="../drawings/drawing3.xml"/><Relationship Id="rId4" Type="http://schemas.openxmlformats.org/officeDocument/2006/relationships/hyperlink" Target="https://docs.google.com/forms/d/e/1FAIpQLSeAkkqnSqisXk0g5wDtTZwQpSKdxgBvUG9NhZjoIJxKcGoYyw/viewform?edit2=2_ABaOnudOJsbtijaTcBMou2J7jq3r3_A3864NlvJoUra-fLIQ1Wvouzs7Lo-lzFE4mQeALDE" TargetMode="External"/><Relationship Id="rId9" Type="http://schemas.openxmlformats.org/officeDocument/2006/relationships/hyperlink" Target="https://docs.google.com/forms/d/e/1FAIpQLSeAkkqnSqisXk0g5wDtTZwQpSKdxgBvUG9NhZjoIJxKcGoYyw/viewform?edit2=2_ABaOnuc1LyNvUNuHPHcM-p1tZVFeFO3Mbq5dgiD-CRAYmoS07i2NyU984sBbJMSXlKXrB_Q" TargetMode="External"/><Relationship Id="rId14" Type="http://schemas.openxmlformats.org/officeDocument/2006/relationships/hyperlink" Target="https://docs.google.com/forms/d/e/1FAIpQLSeAkkqnSqisXk0g5wDtTZwQpSKdxgBvUG9NhZjoIJxKcGoYyw/viewform?edit2=2_ABaOnueFqWyyIIvigZhaA-tiqJg1KB4hBuX-NGHRBpLNCYT777UlDtU6BQxQDUSBA9m1w9o"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https://docs.google.com/forms/d/e/1FAIpQLSeAkkqnSqisXk0g5wDtTZwQpSKdxgBvUG9NhZjoIJxKcGoYyw/viewform?edit2=2_ABaOnufLTenH_kMb604Ots-N46e3zV-iq1fDjEHod37Ph3QLyI5E1nU6g6lWbYzONAhG-NI" TargetMode="External"/><Relationship Id="rId21" Type="http://schemas.openxmlformats.org/officeDocument/2006/relationships/hyperlink" Target="https://docs.google.com/forms/d/e/1FAIpQLSd37AKX0Ca1Yeje6eC6NuliFZj5Spn7I7mXRsa9kBsXMqB-Ag/viewform?edit2=2_ABaOnucxId1hmpsDz6gRK7hNV_VfYF7Ljm--qJMJ1WHEGYrYk6cqVqaqC_ZrAoVuuRa0OZs" TargetMode="External"/><Relationship Id="rId42" Type="http://schemas.openxmlformats.org/officeDocument/2006/relationships/hyperlink" Target="https://docs.google.com/forms/d/e/1FAIpQLSd37AKX0Ca1Yeje6eC6NuliFZj5Spn7I7mXRsa9kBsXMqB-Ag/viewform?edit2=2_ABaOnucZs_yyqG64TTPx-HI7iKA2OneWgrigcOPOBMu_J3Zl1ZdW363tYAP1Ym-CI38rmSE" TargetMode="External"/><Relationship Id="rId63" Type="http://schemas.openxmlformats.org/officeDocument/2006/relationships/hyperlink" Target="https://docs.google.com/forms/d/e/1FAIpQLSd37AKX0Ca1Yeje6eC6NuliFZj5Spn7I7mXRsa9kBsXMqB-Ag/viewform?edit2=2_ABaOnuc_fh3vMbyRgn43S5eCZwRDFgXS68lbvKe-_HVrVzwtCgXEVaKf_p0nJWByALtUk9w" TargetMode="External"/><Relationship Id="rId84" Type="http://schemas.openxmlformats.org/officeDocument/2006/relationships/hyperlink" Target="https://docs.google.com/forms/d/e/1FAIpQLScKfK1Xq_AfFRyZkOlyT2n4Ugr8FdePyUxPct4kYLgKJ3YlMQ/viewform?edit2=2_ABaOnuckX9HLj5QzQ9LwfrDlUIL7-AnDActIeviRvXP9cxFz8MIryFBflSpw7Rkwjz_xOdM" TargetMode="External"/><Relationship Id="rId138" Type="http://schemas.openxmlformats.org/officeDocument/2006/relationships/hyperlink" Target="https://docs.google.com/forms/d/e/1FAIpQLSd37AKX0Ca1Yeje6eC6NuliFZj5Spn7I7mXRsa9kBsXMqB-Ag/viewform?edit2=2_ABaOnucv7zjXsbMgf6n3RnmDCGbVOdqYS30WXIWXWaMP6UUNpED_-DVJqOBDYylKLiQABC0" TargetMode="External"/><Relationship Id="rId159" Type="http://schemas.openxmlformats.org/officeDocument/2006/relationships/hyperlink" Target="https://docs.google.com/forms/u/0/d/e/1FAIpQLSd37AKX0Ca1Yeje6eC6NuliFZj5Spn7I7mXRsa9kBsXMqB-Ag/viewform?usp=form_confirm&amp;edit2=2_ABaOnufCUj6Jh26hnEY6KttVZbfpPs81YMeQ1U5N2v890MEUclV_g8GVvxm5JuGZVkwIeXU" TargetMode="External"/><Relationship Id="rId170" Type="http://schemas.openxmlformats.org/officeDocument/2006/relationships/hyperlink" Target="https://docs.google.com/forms/d/e/1FAIpQLSd37AKX0Ca1Yeje6eC6NuliFZj5Spn7I7mXRsa9kBsXMqB-Ag/viewform?edit2=2_ABaOnucymvpKJ7dsX0ziERlOSiDZakaPlzk4IG1NNRxN8UM5Kb1wE9vczDjeEPB1-2uPL64" TargetMode="External"/><Relationship Id="rId107" Type="http://schemas.openxmlformats.org/officeDocument/2006/relationships/hyperlink" Target="https://docs.google.com/forms/d/e/1FAIpQLSd37AKX0Ca1Yeje6eC6NuliFZj5Spn7I7mXRsa9kBsXMqB-Ag/viewform?edit2=2_ABaOnudzaqiBgDs_DOUKSFclW-NDR1KV6fEm8JRNGbocyIUF0Tfs8PzyvxT-Vfr92SeFeOc" TargetMode="External"/><Relationship Id="rId11" Type="http://schemas.openxmlformats.org/officeDocument/2006/relationships/hyperlink" Target="https://docs.google.com/forms/d/e/1FAIpQLSd37AKX0Ca1Yeje6eC6NuliFZj5Spn7I7mXRsa9kBsXMqB-Ag/viewform?edit2=2_ABaOnucRe9f_0GBTCwiHzMMmuvvc9b4qJ4soH6HsG-cy5Ec9DICJs5nC7loZPIoO4xbzc_M" TargetMode="External"/><Relationship Id="rId32" Type="http://schemas.openxmlformats.org/officeDocument/2006/relationships/hyperlink" Target="https://docs.google.com/forms/d/e/1FAIpQLScKfK1Xq_AfFRyZkOlyT2n4Ugr8FdePyUxPct4kYLgKJ3YlMQ/viewform?edit2=2_ABaOnufLliA2CJi29kg7rYKT-h87l0w8X4u7qJ1sLy7FAlkOe3QXfjX1FkbVGDpHIm5JPxk" TargetMode="External"/><Relationship Id="rId53" Type="http://schemas.openxmlformats.org/officeDocument/2006/relationships/hyperlink" Target="https://docs.google.com/forms/d/e/1FAIpQLSd37AKX0Ca1Yeje6eC6NuliFZj5Spn7I7mXRsa9kBsXMqB-Ag/viewform?edit2=2_ABaOnuf4xLDAU_tpsM5FswHCkMiBKatekUAKIOk22JwXmcpz6CwHer0sJGeR6cLALX-G5i8" TargetMode="External"/><Relationship Id="rId74" Type="http://schemas.openxmlformats.org/officeDocument/2006/relationships/hyperlink" Target="https://docs.google.com/forms/d/e/1FAIpQLSd37AKX0Ca1Yeje6eC6NuliFZj5Spn7I7mXRsa9kBsXMqB-Ag/viewform?edit2=2_ABaOnuc084FrjG7zAzRmpPq49Y4JP88xiAcq-g7-VvQwWFeceQLWBMs_PDHeU79-Vo2bATc" TargetMode="External"/><Relationship Id="rId128" Type="http://schemas.openxmlformats.org/officeDocument/2006/relationships/hyperlink" Target="https://docs.google.com/forms/d/e/1FAIpQLSd37AKX0Ca1Yeje6eC6NuliFZj5Spn7I7mXRsa9kBsXMqB-Ag/viewform?edit2=2_ABaOnufa7eUFuYcoCFwshX7gtJmW7OsbUSzBdTKp2g7AuWjOIKhYaY-90BnVUP57bpmAsFY" TargetMode="External"/><Relationship Id="rId149" Type="http://schemas.openxmlformats.org/officeDocument/2006/relationships/hyperlink" Target="https://docs.google.com/forms/d/e/1FAIpQLSd37AKX0Ca1Yeje6eC6NuliFZj5Spn7I7mXRsa9kBsXMqB-Ag/viewform?edit2=2_ABaOnucDw0yE-GsRBV82-aABpbm-UprdtAkaKKP87DYNM0IKcl9jBSBy9CwViCnJZzH_ZKk" TargetMode="External"/><Relationship Id="rId5" Type="http://schemas.openxmlformats.org/officeDocument/2006/relationships/hyperlink" Target="https://docs.google.com/forms/d/e/1FAIpQLScKfK1Xq_AfFRyZkOlyT2n4Ugr8FdePyUxPct4kYLgKJ3YlMQ/viewform?edit2=2_ABaOnucYlNz1YoXLPBAYyST6WlmELb1kBnM9BfkUaTxKov-rM8gB0ieRnkyVKFnayrBrwdE" TargetMode="External"/><Relationship Id="rId95" Type="http://schemas.openxmlformats.org/officeDocument/2006/relationships/hyperlink" Target="https://docs.google.com/forms/d/e/1FAIpQLSd37AKX0Ca1Yeje6eC6NuliFZj5Spn7I7mXRsa9kBsXMqB-Ag/viewform?edit2=2_ABaOnueGu3sNZznE7OqaXdAANpC8VT8XqSdh3n-bztGtY8XN2ssDtclEFdzfW9yyi36Ubu0" TargetMode="External"/><Relationship Id="rId160" Type="http://schemas.openxmlformats.org/officeDocument/2006/relationships/hyperlink" Target="https://docs.google.com/forms/d/e/1FAIpQLSd37AKX0Ca1Yeje6eC6NuliFZj5Spn7I7mXRsa9kBsXMqB-Ag/viewform?edit2=2_ABaOnudCB7iHAmCalqVoWLOQWBzFjuvmHUJS0mdYa1vrMJLeYtBRz9DMQJFcwCemO54sVQ0" TargetMode="External"/><Relationship Id="rId181" Type="http://schemas.openxmlformats.org/officeDocument/2006/relationships/hyperlink" Target="https://docs.google.com/forms/d/e/1FAIpQLSd37AKX0Ca1Yeje6eC6NuliFZj5Spn7I7mXRsa9kBsXMqB-Ag/viewform?edit2=2_ABaOnuebN9kRLUqeFs3rC4vYlW2GVScmCWeiOC68iTbheEkMb7XiMUzlEBEz46qIxCW0jP0" TargetMode="External"/><Relationship Id="rId22" Type="http://schemas.openxmlformats.org/officeDocument/2006/relationships/hyperlink" Target="https://docs.google.com/forms/d/e/1FAIpQLSd37AKX0Ca1Yeje6eC6NuliFZj5Spn7I7mXRsa9kBsXMqB-Ag/viewform?edit2=2_ABaOnuccYH0o4h2SxHKKEb1DF41CCIj9Qlcjj535Y-OtOUeelvdwEFGsNYtsH42NN-yaJms" TargetMode="External"/><Relationship Id="rId43" Type="http://schemas.openxmlformats.org/officeDocument/2006/relationships/hyperlink" Target="https://docs.google.com/forms/d/e/1FAIpQLScKfK1Xq_AfFRyZkOlyT2n4Ugr8FdePyUxPct4kYLgKJ3YlMQ/viewform?edit2=2_ABaOnueaQXOBWtLHbkKogiRYZwa9VzkGBCpJmWiZkzVO4au5iwOSPC1mbMUGgNtfFagtNIs" TargetMode="External"/><Relationship Id="rId64" Type="http://schemas.openxmlformats.org/officeDocument/2006/relationships/hyperlink" Target="https://docs.google.com/forms/d/e/1FAIpQLSd37AKX0Ca1Yeje6eC6NuliFZj5Spn7I7mXRsa9kBsXMqB-Ag/viewform?edit2=2_ABaOnuevPvgCpRTtXzF_nEg8ubPB1kpyPumvlKqedug0yXA_NBt_zSEQ5A5elQPQn8Pz8MI" TargetMode="External"/><Relationship Id="rId118" Type="http://schemas.openxmlformats.org/officeDocument/2006/relationships/hyperlink" Target="https://docs.google.com/forms/d/e/1FAIpQLSd37AKX0Ca1Yeje6eC6NuliFZj5Spn7I7mXRsa9kBsXMqB-Ag/viewform?edit2=2_ABaOnueaXMb4XYS3RWn2-BXXNnu28TyZ16N3ePYMzYhGrI-8lFAGcswIksYU9WyEuO0nWEk" TargetMode="External"/><Relationship Id="rId139" Type="http://schemas.openxmlformats.org/officeDocument/2006/relationships/hyperlink" Target="https://docs.google.com/forms/d/e/1FAIpQLSeAkkqnSqisXk0g5wDtTZwQpSKdxgBvUG9NhZjoIJxKcGoYyw/viewform?edit2=2_ABaOnufoQWvV1LRdZfAvgN00YY1KHnvwXPjPG7S95jJMMKwhicVKRatphX_GEd6ePdQBDC0" TargetMode="External"/><Relationship Id="rId85" Type="http://schemas.openxmlformats.org/officeDocument/2006/relationships/hyperlink" Target="https://docs.google.com/forms/d/e/1FAIpQLSd37AKX0Ca1Yeje6eC6NuliFZj5Spn7I7mXRsa9kBsXMqB-Ag/viewform?edit2=2_ABaOnuewXCcvFlXhOgcuatfXfXCbnlU1jlU_B1S6DBUtQMER3HsVK1yN6hkKuzgrLcFEHRc" TargetMode="External"/><Relationship Id="rId150" Type="http://schemas.openxmlformats.org/officeDocument/2006/relationships/hyperlink" Target="https://docs.google.com/forms/d/e/1FAIpQLSd37AKX0Ca1Yeje6eC6NuliFZj5Spn7I7mXRsa9kBsXMqB-Ag/viewform?edit2=2_ABaOnucHYcn9XOdTlz_Jq0THdsMAQGFRRBu5BzT06HRJ4lHgl76ySdga0M0RksHnAh22KGQ" TargetMode="External"/><Relationship Id="rId171" Type="http://schemas.openxmlformats.org/officeDocument/2006/relationships/hyperlink" Target="https://docs.google.com/forms/d/e/1FAIpQLSd37AKX0Ca1Yeje6eC6NuliFZj5Spn7I7mXRsa9kBsXMqB-Ag/viewform?edit2=2_ABaOnueqpG1HknhaHwAjw_-av_CVSdsL3TqQKrH2fweJ17LsFZ5UkSyJj0yNLkBA1GNuO2Y" TargetMode="External"/><Relationship Id="rId12" Type="http://schemas.openxmlformats.org/officeDocument/2006/relationships/hyperlink" Target="https://docs.google.com/forms/d/e/1FAIpQLSd37AKX0Ca1Yeje6eC6NuliFZj5Spn7I7mXRsa9kBsXMqB-Ag/viewform?edit2=2_ABaOnucA31zacn3JFu1qCuYTqRLZNhaLtSeyINIUJtzNgoY7EQeqtKu9wLz4rw9WsHG_BPs" TargetMode="External"/><Relationship Id="rId33" Type="http://schemas.openxmlformats.org/officeDocument/2006/relationships/hyperlink" Target="https://docs.google.com/forms/d/e/1FAIpQLScKfK1Xq_AfFRyZkOlyT2n4Ugr8FdePyUxPct4kYLgKJ3YlMQ/viewform?edit2=2_ABaOnucoVVW69SVQ3gNVqXcMOXeDIKpQsj0faJz8KwXftEjdhci2kGRFvnbK77xCKE72FXU" TargetMode="External"/><Relationship Id="rId108" Type="http://schemas.openxmlformats.org/officeDocument/2006/relationships/hyperlink" Target="https://docs.google.com/forms/d/e/1FAIpQLSd37AKX0Ca1Yeje6eC6NuliFZj5Spn7I7mXRsa9kBsXMqB-Ag/viewform?edit2=2_ABaOnufU7zcEy1svoPRIsre-wqkORHjiO3utFOjpKOKt7U0ohXLZpYLjHzv5UNS84SmGULc" TargetMode="External"/><Relationship Id="rId129" Type="http://schemas.openxmlformats.org/officeDocument/2006/relationships/hyperlink" Target="https://docs.google.com/forms/d/e/1FAIpQLSd37AKX0Ca1Yeje6eC6NuliFZj5Spn7I7mXRsa9kBsXMqB-Ag/viewform?edit2=2_ABaOnuctea7gRHjXs9C-4As1WGujWLSWwKZT7SS_3hLRawjPhjXJ3nyVsarAg2L_XmJJNeE" TargetMode="External"/><Relationship Id="rId54" Type="http://schemas.openxmlformats.org/officeDocument/2006/relationships/hyperlink" Target="https://docs.google.com/forms/d/e/1FAIpQLSd37AKX0Ca1Yeje6eC6NuliFZj5Spn7I7mXRsa9kBsXMqB-Ag/viewform?edit2=2_ABaOnuds8n1cXqEQges1keQ6gII34Wl56T73IIC2Ms4ZzOmva2PGEpao-nbgJlaOlo6WGJk" TargetMode="External"/><Relationship Id="rId75" Type="http://schemas.openxmlformats.org/officeDocument/2006/relationships/hyperlink" Target="https://docs.google.com/forms/d/e/1FAIpQLScKfK1Xq_AfFRyZkOlyT2n4Ugr8FdePyUxPct4kYLgKJ3YlMQ/viewform?edit2=2_ABaOnueGhFrC5uwJ6Q-je3BKvFYe0pud2_pqm6TjJkW7ni5E5LbYmayQ36NyjMT57nHG4QQ" TargetMode="External"/><Relationship Id="rId96" Type="http://schemas.openxmlformats.org/officeDocument/2006/relationships/hyperlink" Target="https://docs.google.com/forms/d/e/1FAIpQLSd37AKX0Ca1Yeje6eC6NuliFZj5Spn7I7mXRsa9kBsXMqB-Ag/viewform?edit2=2_ABaOnudMJvxTFQOdCluj0DW5gkN7siHYmo2cFZLQs-CNLK5s164lyZmuEgOv1Nnl33EhZng" TargetMode="External"/><Relationship Id="rId140" Type="http://schemas.openxmlformats.org/officeDocument/2006/relationships/hyperlink" Target="https://docs.google.com/forms/d/e/1FAIpQLSeAkkqnSqisXk0g5wDtTZwQpSKdxgBvUG9NhZjoIJxKcGoYyw/viewform?edit2=2_ABaOnufOs750n5SprfkNw40XljrSVyTuRQzqgJ-tg7D0FGpACtd7tQVNPLhwY8xSP8PkZqI" TargetMode="External"/><Relationship Id="rId161" Type="http://schemas.openxmlformats.org/officeDocument/2006/relationships/hyperlink" Target="https://docs.google.com/forms/u/0/d/e/1FAIpQLSd37AKX0Ca1Yeje6eC6NuliFZj5Spn7I7mXRsa9kBsXMqB-Ag/viewform?usp=form_confirm&amp;edit2=2_ABaOnueQ5nfdfxsukLPVCBtlypArFnEk9UTqezuPTFocB9ckgCV84ReKcTvLdiTp80fn4Lk" TargetMode="External"/><Relationship Id="rId182" Type="http://schemas.openxmlformats.org/officeDocument/2006/relationships/hyperlink" Target="https://docs.google.com/forms/u/0/d/e/1FAIpQLSd37AKX0Ca1Yeje6eC6NuliFZj5Spn7I7mXRsa9kBsXMqB-Ag/viewform?usp=form_confirm&amp;edit2=2_ABaOnudDP-ZfNskiCwSfjEttDxpMckUejW6cpZizP2HkIA2_as-QJAX8aQ9F5GZXmXoYMug" TargetMode="External"/><Relationship Id="rId6" Type="http://schemas.openxmlformats.org/officeDocument/2006/relationships/hyperlink" Target="https://docs.google.com/forms/d/e/1FAIpQLScKfK1Xq_AfFRyZkOlyT2n4Ugr8FdePyUxPct4kYLgKJ3YlMQ/viewform?edit2=2_ABaOnucINqfbL2HNtyT2-rdXO1PHIOPKQtPP-hALfOhqsXkOd_XPh6FLRTCqadIMuXnaou0" TargetMode="External"/><Relationship Id="rId23" Type="http://schemas.openxmlformats.org/officeDocument/2006/relationships/hyperlink" Target="https://docs.google.com/forms/d/e/1FAIpQLSd37AKX0Ca1Yeje6eC6NuliFZj5Spn7I7mXRsa9kBsXMqB-Ag/viewform?edit2=2_ABaOnuf3ncTLu9rMQrtuYSdYB6wY2MaD6cBPF-ruKky8jNGdipWjeWa1LuFeurdRnHZ53v4" TargetMode="External"/><Relationship Id="rId119" Type="http://schemas.openxmlformats.org/officeDocument/2006/relationships/hyperlink" Target="https://docs.google.com/forms/d/e/1FAIpQLSd37AKX0Ca1Yeje6eC6NuliFZj5Spn7I7mXRsa9kBsXMqB-Ag/viewform?edit2=2_ABaOnudRr4OfOQc206_1VGQKKNAwL3_5mHcQFyPdxmyU0LpjNnJxpD10PFBEf4ZDqoI0pHY" TargetMode="External"/><Relationship Id="rId44" Type="http://schemas.openxmlformats.org/officeDocument/2006/relationships/hyperlink" Target="https://docs.google.com/forms/d/e/1FAIpQLSd37AKX0Ca1Yeje6eC6NuliFZj5Spn7I7mXRsa9kBsXMqB-Ag/viewform?edit2=2_ABaOnufInSSzuHK0ymI3Fy1IGVCRCSAvpdzG556xi_OsvoFWA9spEFXOOdsQgO-nNUjADxg" TargetMode="External"/><Relationship Id="rId65" Type="http://schemas.openxmlformats.org/officeDocument/2006/relationships/hyperlink" Target="https://docs.google.com/forms/d/e/1FAIpQLSd37AKX0Ca1Yeje6eC6NuliFZj5Spn7I7mXRsa9kBsXMqB-Ag/viewform?edit2=2_ABaOnue3Jad5W9Uar32FIQIIrw-Mr5hDOEOwWLRFXGzjIm6vlllA3_MpAdkc1Fc6niJcSVM" TargetMode="External"/><Relationship Id="rId86" Type="http://schemas.openxmlformats.org/officeDocument/2006/relationships/hyperlink" Target="https://docs.google.com/forms/d/e/1FAIpQLScKfK1Xq_AfFRyZkOlyT2n4Ugr8FdePyUxPct4kYLgKJ3YlMQ/viewform?edit2=2_ABaOnue7ZcxSFV-kw8BD7ui03gHbtThwrlkt2O7khJQSu_Z13PplCE3CmnAuJqDwtrwMRHc" TargetMode="External"/><Relationship Id="rId130" Type="http://schemas.openxmlformats.org/officeDocument/2006/relationships/hyperlink" Target="https://docs.google.com/forms/d/e/1FAIpQLSd37AKX0Ca1Yeje6eC6NuliFZj5Spn7I7mXRsa9kBsXMqB-Ag/viewform?edit2=2_ABaOnud5e4yCAN3vBJyUelXOmDUxVQehqVzTFbfoIpiYOPSY1h0k7YFm9pxhY7AwR4m58RY" TargetMode="External"/><Relationship Id="rId151" Type="http://schemas.openxmlformats.org/officeDocument/2006/relationships/hyperlink" Target="https://docs.google.com/forms/d/e/1FAIpQLSd37AKX0Ca1Yeje6eC6NuliFZj5Spn7I7mXRsa9kBsXMqB-Ag/viewform?edit2=2_ABaOnuescUIQyNNpcmukx5aNYdXQ5QGyTQN0lEZVhcU7vfGS-omoV_XkogpJRV7bi3i4Vqs" TargetMode="External"/><Relationship Id="rId172" Type="http://schemas.openxmlformats.org/officeDocument/2006/relationships/hyperlink" Target="https://docs.google.com/forms/d/e/1FAIpQLSd37AKX0Ca1Yeje6eC6NuliFZj5Spn7I7mXRsa9kBsXMqB-Ag/viewform?edit2=2_ABaOnueQ19kzikZA4On-kY-0hNI3jDPl0vNleeZ2u8MhsZyJ00yDI2OE-UclYh8GGTuJJJY" TargetMode="External"/><Relationship Id="rId13" Type="http://schemas.openxmlformats.org/officeDocument/2006/relationships/hyperlink" Target="https://docs.google.com/forms/d/e/1FAIpQLSd37AKX0Ca1Yeje6eC6NuliFZj5Spn7I7mXRsa9kBsXMqB-Ag/viewform?edit2=2_ABaOnudDxXSRl5DbWNRLf0wn5v-nqeGjP0LiosAd6ThAG-F4xBoZQW8FXAUDTOqFq6dVLwI" TargetMode="External"/><Relationship Id="rId18" Type="http://schemas.openxmlformats.org/officeDocument/2006/relationships/hyperlink" Target="https://docs.google.com/forms/d/e/1FAIpQLSd37AKX0Ca1Yeje6eC6NuliFZj5Spn7I7mXRsa9kBsXMqB-Ag/viewform?edit2=2_ABaOnufbV03AkBo9RdW1eUM4xxihGZCxZxrtpDHuj_Qa9D8X4Cfiemy7NEM7mIZWM42VFyA" TargetMode="External"/><Relationship Id="rId39" Type="http://schemas.openxmlformats.org/officeDocument/2006/relationships/hyperlink" Target="https://docs.google.com/forms/d/e/1FAIpQLSd37AKX0Ca1Yeje6eC6NuliFZj5Spn7I7mXRsa9kBsXMqB-Ag/viewform?edit2=2_ABaOnufa2u84Z9CN6X3pn2WNK3cgotIWLVUteaxy9v8K82fxhORjkSTo3bK92F89vvmHQQY" TargetMode="External"/><Relationship Id="rId109" Type="http://schemas.openxmlformats.org/officeDocument/2006/relationships/hyperlink" Target="https://docs.google.com/forms/d/e/1FAIpQLSeAkkqnSqisXk0g5wDtTZwQpSKdxgBvUG9NhZjoIJxKcGoYyw/viewform?edit2=2_ABaOnufNWMXmwmsvaklQPKKywxKvSY2IKqCzH4IMwnbQWMspXLQJvoEmEYYJCa8PPi0aqVE" TargetMode="External"/><Relationship Id="rId34" Type="http://schemas.openxmlformats.org/officeDocument/2006/relationships/hyperlink" Target="https://docs.google.com/forms/d/e/1FAIpQLSd37AKX0Ca1Yeje6eC6NuliFZj5Spn7I7mXRsa9kBsXMqB-Ag/viewform?edit2=2_ABaOnudXRG2Jwf0piX_HQSxUMHaFfZFf_zx8hjkhhFOzfWSHZQBU_Kr5WzdcVpA0V8amUX4" TargetMode="External"/><Relationship Id="rId50" Type="http://schemas.openxmlformats.org/officeDocument/2006/relationships/hyperlink" Target="https://docs.google.com/forms/d/e/1FAIpQLSd37AKX0Ca1Yeje6eC6NuliFZj5Spn7I7mXRsa9kBsXMqB-Ag/viewform?edit2=2_ABaOnudQe5Oq9buGueatTTD8lsR_7Yj1XLidI8BHf21R3f-FwDdocxmbnq_mTuBdA8-FDik" TargetMode="External"/><Relationship Id="rId55" Type="http://schemas.openxmlformats.org/officeDocument/2006/relationships/hyperlink" Target="https://docs.google.com/forms/d/e/1FAIpQLSd37AKX0Ca1Yeje6eC6NuliFZj5Spn7I7mXRsa9kBsXMqB-Ag/viewform?edit2=2_ABaOnuciQxC4eTTBKIRCx9VtdD5b4Aw4GHipS6jqTlBmttCZv1BkF15QgwkCKnZEb9zBjUI" TargetMode="External"/><Relationship Id="rId76" Type="http://schemas.openxmlformats.org/officeDocument/2006/relationships/hyperlink" Target="https://docs.google.com/forms/d/e/1FAIpQLScKfK1Xq_AfFRyZkOlyT2n4Ugr8FdePyUxPct4kYLgKJ3YlMQ/viewform?edit2=2_ABaOnufpsK5vteWRiYTWB09D60Vi_h7LVrJujuDE72LhGIB_TbYDP2x7JBRNRVos15yKxWg" TargetMode="External"/><Relationship Id="rId97" Type="http://schemas.openxmlformats.org/officeDocument/2006/relationships/hyperlink" Target="https://docs.google.com/forms/d/e/1FAIpQLSd37AKX0Ca1Yeje6eC6NuliFZj5Spn7I7mXRsa9kBsXMqB-Ag/viewform?edit2=2_ABaOnucjjv5_rTobnMm4ik6SidIvkk-2PeScJNL7aeMG456YOKbsbhP67njMT5uBHLUCZvY" TargetMode="External"/><Relationship Id="rId104" Type="http://schemas.openxmlformats.org/officeDocument/2006/relationships/hyperlink" Target="https://docs.google.com/forms/d/e/1FAIpQLSd37AKX0Ca1Yeje6eC6NuliFZj5Spn7I7mXRsa9kBsXMqB-Ag/viewform?edit2=2_ABaOnudby-4veylhoBJyUaYsIzJl4nkQgy_XwWHmiPDS3UFh8dVuo4NR6X7BJ5cnZ2a2SqQ" TargetMode="External"/><Relationship Id="rId120" Type="http://schemas.openxmlformats.org/officeDocument/2006/relationships/hyperlink" Target="https://docs.google.com/forms/d/e/1FAIpQLSd37AKX0Ca1Yeje6eC6NuliFZj5Spn7I7mXRsa9kBsXMqB-Ag/viewform?edit2=2_ABaOnucurna4iUGUId5P1dorQjBWTSofvkBubdqMkaJj_AvgEOkkQQ9TNmWvnWyeYLIyWJQ" TargetMode="External"/><Relationship Id="rId125" Type="http://schemas.openxmlformats.org/officeDocument/2006/relationships/hyperlink" Target="https://docs.google.com/forms/d/e/1FAIpQLSd37AKX0Ca1Yeje6eC6NuliFZj5Spn7I7mXRsa9kBsXMqB-Ag/viewform?edit2=2_ABaOnucMiljbr35PfZwRjVx85LAwudMBx-db5Mu3pfHltwd91T3sp9bh9qeD_lKprqhqhNA" TargetMode="External"/><Relationship Id="rId141" Type="http://schemas.openxmlformats.org/officeDocument/2006/relationships/hyperlink" Target="https://docs.google.com/forms/d/e/1FAIpQLSeAkkqnSqisXk0g5wDtTZwQpSKdxgBvUG9NhZjoIJxKcGoYyw/viewform?edit2=2_ABaOnufIbfFNPPGqEB7AhV5z2luR8T1Eq9R-6NzYQeV4WAMtS09cxiJOyeAHQ-TeoLbnXLk" TargetMode="External"/><Relationship Id="rId146" Type="http://schemas.openxmlformats.org/officeDocument/2006/relationships/hyperlink" Target="https://docs.google.com/forms/d/e/1FAIpQLSd37AKX0Ca1Yeje6eC6NuliFZj5Spn7I7mXRsa9kBsXMqB-Ag/viewform?edit2=2_ABaOnud1u5q384R3Dv43HaKIkm82f0Q0qFCx8ZB8u4UWLdMVI1g-rUuDhznwzq2I8pvf9I8" TargetMode="External"/><Relationship Id="rId167" Type="http://schemas.openxmlformats.org/officeDocument/2006/relationships/hyperlink" Target="https://docs.google.com/forms/d/e/1FAIpQLSd37AKX0Ca1Yeje6eC6NuliFZj5Spn7I7mXRsa9kBsXMqB-Ag/viewform?edit2=2_ABaOnucfY4ANYvJpeTneEwoVFxI9NeLZ4dYH4bsbxF00gHjHIHt-M5k8eijWHn_iVKeB6E0" TargetMode="External"/><Relationship Id="rId7" Type="http://schemas.openxmlformats.org/officeDocument/2006/relationships/hyperlink" Target="https://docs.google.com/forms/d/e/1FAIpQLSd37AKX0Ca1Yeje6eC6NuliFZj5Spn7I7mXRsa9kBsXMqB-Ag/viewform?edit2=2_ABaOnueza0QWbrwz8T7sWbuoj8RQ0uTYVPMjIOquJLrwomLqVasBXKQ7q4oPdU42q5sebnY" TargetMode="External"/><Relationship Id="rId71" Type="http://schemas.openxmlformats.org/officeDocument/2006/relationships/hyperlink" Target="https://docs.google.com/forms/d/e/1FAIpQLSd37AKX0Ca1Yeje6eC6NuliFZj5Spn7I7mXRsa9kBsXMqB-Ag/viewform?edit2=2_ABaOnue3Jad5W9Uar32FIQIIrw-Mr5hDOEOwWLRFXGzjIm6vlllA3_MpAdkc1Fc6niJcSVM" TargetMode="External"/><Relationship Id="rId92" Type="http://schemas.openxmlformats.org/officeDocument/2006/relationships/hyperlink" Target="https://docs.google.com/forms/d/e/1FAIpQLSd37AKX0Ca1Yeje6eC6NuliFZj5Spn7I7mXRsa9kBsXMqB-Ag/viewform?edit2=2_ABaOnud2OSKDZ02P_FamB8A30V_EW5FSbmzrAiHrkA835GgcC9c2YW-Rd4hKonIS6U_zBHE" TargetMode="External"/><Relationship Id="rId162" Type="http://schemas.openxmlformats.org/officeDocument/2006/relationships/hyperlink" Target="https://docs.google.com/forms/d/e/1FAIpQLSd37AKX0Ca1Yeje6eC6NuliFZj5Spn7I7mXRsa9kBsXMqB-Ag/viewform?edit2=2_ABaOnufUfLyjWTy9oYpmRrdtiQEkqdLGvVSdvE4PpTPbkxiETCbjv26SaG8WfWnFLD0Dd6w" TargetMode="External"/><Relationship Id="rId183" Type="http://schemas.openxmlformats.org/officeDocument/2006/relationships/hyperlink" Target="https://docs.google.com/forms/d/e/1FAIpQLScKfK1Xq_AfFRyZkOlyT2n4Ugr8FdePyUxPct4kYLgKJ3YlMQ/viewform?edit2=2_ABaOnufH4GxkII0IFS3w7rZ-6_L8_UkUAz9k8A-lVv0Mpf9U0OtoIO8zCZrUlfWvzilXHFw" TargetMode="External"/><Relationship Id="rId2" Type="http://schemas.openxmlformats.org/officeDocument/2006/relationships/hyperlink" Target="https://docs.google.com/forms/d/e/1FAIpQLSd37AKX0Ca1Yeje6eC6NuliFZj5Spn7I7mXRsa9kBsXMqB-Ag/viewform?edit2=2_ABaOnucU6DOq6qcvz42zkHjhZlqUckdI_P7WQvTHT6kRvXPS0nedw-Lqwshw-TPP60rFl40" TargetMode="External"/><Relationship Id="rId29" Type="http://schemas.openxmlformats.org/officeDocument/2006/relationships/hyperlink" Target="https://docs.google.com/forms/d/e/1FAIpQLScKfK1Xq_AfFRyZkOlyT2n4Ugr8FdePyUxPct4kYLgKJ3YlMQ/viewform?edit2=2_ABaOnucfG3bYGvshe4WwfOGUK3uVop5MwarUCM8Dz2zoZnlJ3EKFUr5l140YAU18grrR6Jg" TargetMode="External"/><Relationship Id="rId24" Type="http://schemas.openxmlformats.org/officeDocument/2006/relationships/hyperlink" Target="https://docs.google.com/forms/d/e/1FAIpQLSd37AKX0Ca1Yeje6eC6NuliFZj5Spn7I7mXRsa9kBsXMqB-Ag/viewform?edit2=2_ABaOnuduAuNuy0LPVF2WvFk0z94zUuE8zokX0hVnLbnIAICBr-sugpCs4I7SQ9GJeE9jGtU" TargetMode="External"/><Relationship Id="rId40" Type="http://schemas.openxmlformats.org/officeDocument/2006/relationships/hyperlink" Target="https://docs.google.com/forms/d/e/1FAIpQLSd37AKX0Ca1Yeje6eC6NuliFZj5Spn7I7mXRsa9kBsXMqB-Ag/viewform?edit2=2_ABaOnudAISoAiJoYPkJ2lu_q6gzTXwxsNXRzhLbYLaXYKzI8S6S1y9cf6QT8xeUl9qJhAC4" TargetMode="External"/><Relationship Id="rId45" Type="http://schemas.openxmlformats.org/officeDocument/2006/relationships/hyperlink" Target="https://docs.google.com/forms/d/e/1FAIpQLSd37AKX0Ca1Yeje6eC6NuliFZj5Spn7I7mXRsa9kBsXMqB-Ag/viewform?edit2=2_ABaOnueKgqULeg8fIiucHcnX3HqJHzYNTk4rqINxF7ZIUn06UwtQLeolsXXTOdNfPiq1mAU" TargetMode="External"/><Relationship Id="rId66" Type="http://schemas.openxmlformats.org/officeDocument/2006/relationships/hyperlink" Target="https://docs.google.com/forms/d/e/1FAIpQLSd37AKX0Ca1Yeje6eC6NuliFZj5Spn7I7mXRsa9kBsXMqB-Ag/viewform?edit2=2_ABaOnudW1H-nhw-T7zEA8a34IzysnsIArmJ9qBn2uDVh9vHWpaFI5zacowSx24UOdHJmwzM" TargetMode="External"/><Relationship Id="rId87" Type="http://schemas.openxmlformats.org/officeDocument/2006/relationships/hyperlink" Target="https://docs.google.com/forms/d/e/1FAIpQLSd37AKX0Ca1Yeje6eC6NuliFZj5Spn7I7mXRsa9kBsXMqB-Ag/viewform?edit2=2_ABaOnuefQXgchmGfHlHiXbdb6sPT6GGyslPT96oOIPMDv1uLwmQZBf4hPhnSoQPXwSwwWCo" TargetMode="External"/><Relationship Id="rId110" Type="http://schemas.openxmlformats.org/officeDocument/2006/relationships/hyperlink" Target="https://docs.google.com/forms/d/e/1FAIpQLSd37AKX0Ca1Yeje6eC6NuliFZj5Spn7I7mXRsa9kBsXMqB-Ag/viewform?edit2=2_ABaOnud4EW4LFxUd09IvrAVJvMmxyr4QpglJt4SslXHdPbfb3rzw4wp069gzgRTYavKNjhg" TargetMode="External"/><Relationship Id="rId115" Type="http://schemas.openxmlformats.org/officeDocument/2006/relationships/hyperlink" Target="https://docs.google.com/forms/d/e/1FAIpQLSd37AKX0Ca1Yeje6eC6NuliFZj5Spn7I7mXRsa9kBsXMqB-Ag/viewform?edit2=2_ABaOnuf4gGW7vsnNociziZsApjFJbJZT_TLYvuMaE1eQPoPBd85HoRkCBziarUwQkMTOZas" TargetMode="External"/><Relationship Id="rId131" Type="http://schemas.openxmlformats.org/officeDocument/2006/relationships/hyperlink" Target="https://docs.google.com/forms/d/e/1FAIpQLSd37AKX0Ca1Yeje6eC6NuliFZj5Spn7I7mXRsa9kBsXMqB-Ag/viewform?edit2=2_ABaOnucG-2sLWAop-_0dy4fC1KbTeQHy3N3jDDMU9_sndxZ95wNYLx3kzLO0JMQsOp_XPxw" TargetMode="External"/><Relationship Id="rId136" Type="http://schemas.openxmlformats.org/officeDocument/2006/relationships/hyperlink" Target="https://docs.google.com/forms/d/e/1FAIpQLSd37AKX0Ca1Yeje6eC6NuliFZj5Spn7I7mXRsa9kBsXMqB-Ag/viewform?edit2=2_ABaOnuf5tuiudEnhEJew-XPr3xqbGuAhGyxpyUhVb10MnHPVVbG2MNMJ5Zydy4xzMNijPsI" TargetMode="External"/><Relationship Id="rId157" Type="http://schemas.openxmlformats.org/officeDocument/2006/relationships/hyperlink" Target="https://docs.google.com/forms/d/e/1FAIpQLSd37AKX0Ca1Yeje6eC6NuliFZj5Spn7I7mXRsa9kBsXMqB-Ag/viewform?edit2=2_ABaOnueqRQQwyCTmMGmcEQxas_9LhYhRotsAvf6q6FNyHT2PkAS00PXt6M4qBFCDWkpdnzo" TargetMode="External"/><Relationship Id="rId178" Type="http://schemas.openxmlformats.org/officeDocument/2006/relationships/hyperlink" Target="https://docs.google.com/forms/d/e/1FAIpQLSd37AKX0Ca1Yeje6eC6NuliFZj5Spn7I7mXRsa9kBsXMqB-Ag/viewform?edit2=2_ABaOnuepEXsuxZEmNBaYJVFHn0RDMrQZAYnw53yNE_teIT6rqYysAXrp0qCv_1evEfwZRE8" TargetMode="External"/><Relationship Id="rId61" Type="http://schemas.openxmlformats.org/officeDocument/2006/relationships/hyperlink" Target="https://docs.google.com/forms/d/e/1FAIpQLSd37AKX0Ca1Yeje6eC6NuliFZj5Spn7I7mXRsa9kBsXMqB-Ag/viewform?edit2=2_ABaOnueQXAYHk584kJhjy388LUqazq7e-U9SR8htrfX_qegV5t1VyfqM-vER3RMIdSMR100" TargetMode="External"/><Relationship Id="rId82" Type="http://schemas.openxmlformats.org/officeDocument/2006/relationships/hyperlink" Target="https://docs.google.com/forms/d/e/1FAIpQLSd37AKX0Ca1Yeje6eC6NuliFZj5Spn7I7mXRsa9kBsXMqB-Ag/viewform?edit2=2_ABaOnue-czhKjGPkXkZrV5eF95hFAUWCpn6FSAPg2JZFQ3_yooN-fESCvF2ydWi5RvfDF40" TargetMode="External"/><Relationship Id="rId152" Type="http://schemas.openxmlformats.org/officeDocument/2006/relationships/hyperlink" Target="https://docs.google.com/forms/d/e/1FAIpQLSd37AKX0Ca1Yeje6eC6NuliFZj5Spn7I7mXRsa9kBsXMqB-Ag/viewform?edit2=2_ABaOnue03xgaPLwDvKaM-ovsXst6TmaJxnFhvjZKdLzpi7zp-nNg7xaOER81LD6OjWfiGMg" TargetMode="External"/><Relationship Id="rId173" Type="http://schemas.openxmlformats.org/officeDocument/2006/relationships/hyperlink" Target="https://docs.google.com/forms/u/0/d/e/1FAIpQLScKfK1Xq_AfFRyZkOlyT2n4Ugr8FdePyUxPct4kYLgKJ3YlMQ/viewform?usp=form_confirm&amp;edit2=2_ABaOnudIcQAMwBZ_rW3Arta-6ry8ErhYbg1iMQd2KWFEzv77TIkjhEEPHrLcN7fY7V7eMhI" TargetMode="External"/><Relationship Id="rId19" Type="http://schemas.openxmlformats.org/officeDocument/2006/relationships/hyperlink" Target="https://docs.google.com/forms/d/e/1FAIpQLSd37AKX0Ca1Yeje6eC6NuliFZj5Spn7I7mXRsa9kBsXMqB-Ag/viewform?edit2=2_ABaOnudH55SYZfYSmbkIYwQkkht9AvvLykPnN9qHu--msSdQL8xr-twF84PLxu7NEweRgsA" TargetMode="External"/><Relationship Id="rId14" Type="http://schemas.openxmlformats.org/officeDocument/2006/relationships/hyperlink" Target="https://docs.google.com/forms/d/e/1FAIpQLSd37AKX0Ca1Yeje6eC6NuliFZj5Spn7I7mXRsa9kBsXMqB-Ag/viewform?edit2=2_ABaOnueYWLUCkhOyJAhdd6sl35WX-SzQl1fVfL0acBK39C3PrSGDfh5FKCpV-EWK10pwrqQ" TargetMode="External"/><Relationship Id="rId30" Type="http://schemas.openxmlformats.org/officeDocument/2006/relationships/hyperlink" Target="https://docs.google.com/forms/d/e/1FAIpQLScKfK1Xq_AfFRyZkOlyT2n4Ugr8FdePyUxPct4kYLgKJ3YlMQ/viewform?edit2=2_ABaOnueBzNAJWdlR9Lt93Tux99b3FldCN3d7GgypcpVrLDy-6bAwlrNPRCs-i1euwAyyqaQ" TargetMode="External"/><Relationship Id="rId35" Type="http://schemas.openxmlformats.org/officeDocument/2006/relationships/hyperlink" Target="https://docs.google.com/forms/d/e/1FAIpQLSd37AKX0Ca1Yeje6eC6NuliFZj5Spn7I7mXRsa9kBsXMqB-Ag/viewform?edit2=2_ABaOnuff1NqAKnZeZFWYAZ37X-J5lZZRuI-4HxjIyakngMffc9MgN7mqhOsy4yZwbSwlM5A" TargetMode="External"/><Relationship Id="rId56" Type="http://schemas.openxmlformats.org/officeDocument/2006/relationships/hyperlink" Target="https://docs.google.com/forms/d/e/1FAIpQLSd37AKX0Ca1Yeje6eC6NuliFZj5Spn7I7mXRsa9kBsXMqB-Ag/viewform?edit2=2_ABaOnue59nTKwmLOFBeEDNy4A4E50G9m4_Taygd-t5Jtfj3LUJtYDs4lyYyNgEvaenq_DkA" TargetMode="External"/><Relationship Id="rId77" Type="http://schemas.openxmlformats.org/officeDocument/2006/relationships/hyperlink" Target="https://docs.google.com/forms/d/e/1FAIpQLScKfK1Xq_AfFRyZkOlyT2n4Ugr8FdePyUxPct4kYLgKJ3YlMQ/viewform?edit2=2_ABaOnucwqywpbOhehWb_hRGv3iH7fBjYkd-bm7P_rKNcLL2CROHu5YVvp5s8tnLi4OXZoL4" TargetMode="External"/><Relationship Id="rId100" Type="http://schemas.openxmlformats.org/officeDocument/2006/relationships/hyperlink" Target="https://docs.google.com/forms/d/e/1FAIpQLSd37AKX0Ca1Yeje6eC6NuliFZj5Spn7I7mXRsa9kBsXMqB-Ag/viewform?edit2=2_ABaOnue3S7SYaNWgEAznt3mTxRzvQxotTavY8JjGD9KRM2eqycfhYKXIiPmrHTmwMZ24hFE" TargetMode="External"/><Relationship Id="rId105" Type="http://schemas.openxmlformats.org/officeDocument/2006/relationships/hyperlink" Target="https://docs.google.com/forms/d/e/1FAIpQLSd37AKX0Ca1Yeje6eC6NuliFZj5Spn7I7mXRsa9kBsXMqB-Ag/viewform?edit2=2_ABaOnudfb438iuRcTi97tc8h6ySeNFg1cWEUVOsVnxcGBUML2QyhQq8GjQTeRQOnS8J8mCI" TargetMode="External"/><Relationship Id="rId126" Type="http://schemas.openxmlformats.org/officeDocument/2006/relationships/hyperlink" Target="https://docs.google.com/forms/d/e/1FAIpQLSd37AKX0Ca1Yeje6eC6NuliFZj5Spn7I7mXRsa9kBsXMqB-Ag/viewform?edit2=2_ABaOnufOQsWVxHBYkjQqm6CW3WVKnIJGYeQ3oSwoC0dqQOqZRxEXNc1ABw6_xA9WhrSYFRA" TargetMode="External"/><Relationship Id="rId147" Type="http://schemas.openxmlformats.org/officeDocument/2006/relationships/hyperlink" Target="https://docs.google.com/forms/d/e/1FAIpQLSd37AKX0Ca1Yeje6eC6NuliFZj5Spn7I7mXRsa9kBsXMqB-Ag/viewform?edit2=2_ABaOnudm2vjmfShT_4DpiJ0iAsJn-R0mKsWsOiscUMMqRfHNRLqz-1ZMY2TjDd8K8hJT7Es" TargetMode="External"/><Relationship Id="rId168" Type="http://schemas.openxmlformats.org/officeDocument/2006/relationships/hyperlink" Target="https://docs.google.com/forms/d/e/1FAIpQLSeAkkqnSqisXk0g5wDtTZwQpSKdxgBvUG9NhZjoIJxKcGoYyw/viewform?edit2=2_ABaOnucDXLE8BesxyJ1-nK6nHLSbL3JneEyTIVs2C-oq8ZxugubLv8C_70JK7r0EuwFnXDE" TargetMode="External"/><Relationship Id="rId8" Type="http://schemas.openxmlformats.org/officeDocument/2006/relationships/hyperlink" Target="https://docs.google.com/forms/d/e/1FAIpQLSd37AKX0Ca1Yeje6eC6NuliFZj5Spn7I7mXRsa9kBsXMqB-Ag/viewform?edit2=2_ABaOnufG4qkFQOtlvqNs92E6J7QIRFpabq77LhYs1EKoIUylzebWNv8mFo_PoidwofkyZ0Y" TargetMode="External"/><Relationship Id="rId51" Type="http://schemas.openxmlformats.org/officeDocument/2006/relationships/hyperlink" Target="https://docs.google.com/forms/d/e/1FAIpQLSd37AKX0Ca1Yeje6eC6NuliFZj5Spn7I7mXRsa9kBsXMqB-Ag/viewform?edit2=2_ABaOnuf8c0icYyUPFHPd2h3zuTjDR-l6zOTIgLwInEiTpumMyjH86_Ipsc_T5CuYxODQ120" TargetMode="External"/><Relationship Id="rId72" Type="http://schemas.openxmlformats.org/officeDocument/2006/relationships/hyperlink" Target="https://docs.google.com/forms/d/e/1FAIpQLSd37AKX0Ca1Yeje6eC6NuliFZj5Spn7I7mXRsa9kBsXMqB-Ag/viewform?edit2=2_ABaOnuf3RQD9xnlEVNEmdONsLpkXUQJ9qpVEJnJgh7KiGjXh_c9HZ6vF_CpBHi15w-gFsn8" TargetMode="External"/><Relationship Id="rId93" Type="http://schemas.openxmlformats.org/officeDocument/2006/relationships/hyperlink" Target="https://docs.google.com/forms/d/e/1FAIpQLSd37AKX0Ca1Yeje6eC6NuliFZj5Spn7I7mXRsa9kBsXMqB-Ag/viewform?edit2=2_ABaOnue1ZmkVCQ73gZfMpVV9jAOeECCSJOVWPkZUJbuX-UjITF8G09k3HqoNLPJR5YOovSg" TargetMode="External"/><Relationship Id="rId98" Type="http://schemas.openxmlformats.org/officeDocument/2006/relationships/hyperlink" Target="https://docs.google.com/forms/d/e/1FAIpQLSd37AKX0Ca1Yeje6eC6NuliFZj5Spn7I7mXRsa9kBsXMqB-Ag/viewform?edit2=2_ABaOnudMvc4nYTck6z1P6LL-5zj5DgoxtiEgnPIpsxaQHqe255RgBZ_3yNiixA0o_EgsNpw" TargetMode="External"/><Relationship Id="rId121" Type="http://schemas.openxmlformats.org/officeDocument/2006/relationships/hyperlink" Target="https://docs.google.com/forms/d/e/1FAIpQLSd37AKX0Ca1Yeje6eC6NuliFZj5Spn7I7mXRsa9kBsXMqB-Ag/viewform?edit2=2_ABaOnuf8i_1ibWFJ6VgMt4FuGmNrPF96K9_CH4hRbQxlUrz6bWdTHG729bKNmX5ajkrlmxY" TargetMode="External"/><Relationship Id="rId142" Type="http://schemas.openxmlformats.org/officeDocument/2006/relationships/hyperlink" Target="https://docs.google.com/forms/d/e/1FAIpQLSd37AKX0Ca1Yeje6eC6NuliFZj5Spn7I7mXRsa9kBsXMqB-Ag/viewform?edit2=2_ABaOnuf0_Ys5OT03j8AL6ZsdKJ1VMu7pQpTWnCj2WDxhhm3HiAFt1Rb9VsicfNNSISCwTJE" TargetMode="External"/><Relationship Id="rId163" Type="http://schemas.openxmlformats.org/officeDocument/2006/relationships/hyperlink" Target="https://docs.google.com/forms/d/e/1FAIpQLSeAkkqnSqisXk0g5wDtTZwQpSKdxgBvUG9NhZjoIJxKcGoYyw/viewform?edit2=2_ABaOnuc1LyNvUNuHPHcM-p1tZVFeFO3Mbq5dgiD-CRAYmoS07i2NyU984sBbJMSXlKXrB_Q" TargetMode="External"/><Relationship Id="rId184" Type="http://schemas.openxmlformats.org/officeDocument/2006/relationships/hyperlink" Target="https://docs.google.com/forms/d/e/1FAIpQLScKfK1Xq_AfFRyZkOlyT2n4Ugr8FdePyUxPct4kYLgKJ3YlMQ/viewform?edit2=2_ABaOnue6n8eZLjQiLHZFVN-j77UIEqAX21Z9cAuKTpVbvbBce-IZ_-e9V7BmbmOGmH3SBes" TargetMode="External"/><Relationship Id="rId3" Type="http://schemas.openxmlformats.org/officeDocument/2006/relationships/hyperlink" Target="https://docs.google.com/forms/d/e/1FAIpQLSd37AKX0Ca1Yeje6eC6NuliFZj5Spn7I7mXRsa9kBsXMqB-Ag/viewform?edit2=2_ABaOnuerF-9S-0PUnAo-xLIpSHuJa6TuFg8a5-HK4pKoELYuVYouRoOvSYDtqHqjDqv1WPE" TargetMode="External"/><Relationship Id="rId25" Type="http://schemas.openxmlformats.org/officeDocument/2006/relationships/hyperlink" Target="https://docs.google.com/forms/d/e/1FAIpQLScKfK1Xq_AfFRyZkOlyT2n4Ugr8FdePyUxPct4kYLgKJ3YlMQ/viewform?edit2=2_ABaOnufjK8xhuiFA2hyUBTaEq6LVGLdbtrDPBexyDuYH7Ij3F2jxWiXRsszKp7UkAhq6w2w" TargetMode="External"/><Relationship Id="rId46" Type="http://schemas.openxmlformats.org/officeDocument/2006/relationships/hyperlink" Target="https://docs.google.com/forms/d/e/1FAIpQLSd37AKX0Ca1Yeje6eC6NuliFZj5Spn7I7mXRsa9kBsXMqB-Ag/viewform?edit2=2_ABaOnudSaiTPxaFtHrreY46BnXEqShox50Z2ak0rHpewn71vVfmjiHgqI2ff57yXQ6YzcfA" TargetMode="External"/><Relationship Id="rId67" Type="http://schemas.openxmlformats.org/officeDocument/2006/relationships/hyperlink" Target="https://docs.google.com/forms/d/e/1FAIpQLSd37AKX0Ca1Yeje6eC6NuliFZj5Spn7I7mXRsa9kBsXMqB-Ag/viewform?edit2=2_ABaOnude3YIYds7K8MD9MdM7f73dSR4nCYONQODTboBHgHM-FyGf0NVBzbPlqzgArPfCPjM" TargetMode="External"/><Relationship Id="rId116" Type="http://schemas.openxmlformats.org/officeDocument/2006/relationships/hyperlink" Target="https://docs.google.com/forms/d/e/1FAIpQLSeAkkqnSqisXk0g5wDtTZwQpSKdxgBvUG9NhZjoIJxKcGoYyw/viewform?edit2=2_ABaOnuebNk365shfw_GXARw4ModPprWlVT-FfeGSr4N76dgL67fe1uA1Okb6W5sRaF7dM5s" TargetMode="External"/><Relationship Id="rId137" Type="http://schemas.openxmlformats.org/officeDocument/2006/relationships/hyperlink" Target="https://docs.google.com/forms/d/e/1FAIpQLSd37AKX0Ca1Yeje6eC6NuliFZj5Spn7I7mXRsa9kBsXMqB-Ag/viewform?edit2=2_ABaOnufYhz03tp6HspcR05pRdZxYBQuIwwxJC-pFZXJTqdDo_1OqxEgpB3ZPuo9kUR0bGDc" TargetMode="External"/><Relationship Id="rId158" Type="http://schemas.openxmlformats.org/officeDocument/2006/relationships/hyperlink" Target="https://docs.google.com/forms/d/e/1FAIpQLSd37AKX0Ca1Yeje6eC6NuliFZj5Spn7I7mXRsa9kBsXMqB-Ag/viewform?edit2=2_ABaOnudQsza_VbXO0RwEWsZEQXADe7f49eee5tp2F2uAWIcDG57CS-xL_1vjSZCf5JHZiSI" TargetMode="External"/><Relationship Id="rId20" Type="http://schemas.openxmlformats.org/officeDocument/2006/relationships/hyperlink" Target="https://docs.google.com/forms/d/e/1FAIpQLScKfK1Xq_AfFRyZkOlyT2n4Ugr8FdePyUxPct4kYLgKJ3YlMQ/viewform?edit2=2_ABaOnufrbZEpQ1VYeN9BXUBQ6v1OzvXmTFVGlu68JTR1rShH00C-sT1ViaSxcZ8c5g36hTc" TargetMode="External"/><Relationship Id="rId41" Type="http://schemas.openxmlformats.org/officeDocument/2006/relationships/hyperlink" Target="https://docs.google.com/forms/d/e/1FAIpQLSd37AKX0Ca1Yeje6eC6NuliFZj5Spn7I7mXRsa9kBsXMqB-Ag/viewform?edit2=2_ABaOnufDbwsAVAzVxdhcVcQPdr8KBiuCeP-KzqSydcuXV8bbcLj1GK3eHoRfDXLLb8m1RjU" TargetMode="External"/><Relationship Id="rId62" Type="http://schemas.openxmlformats.org/officeDocument/2006/relationships/hyperlink" Target="https://docs.google.com/forms/d/e/1FAIpQLSd37AKX0Ca1Yeje6eC6NuliFZj5Spn7I7mXRsa9kBsXMqB-Ag/viewform?edit2=2_ABaOnudoNBvw3THZ41dqtCsdUKuAuJjB0DS61NMmaPCGruHj-T9AWO-iGHiUD40ToAaN_9I" TargetMode="External"/><Relationship Id="rId83" Type="http://schemas.openxmlformats.org/officeDocument/2006/relationships/hyperlink" Target="https://docs.google.com/forms/d/e/1FAIpQLSd37AKX0Ca1Yeje6eC6NuliFZj5Spn7I7mXRsa9kBsXMqB-Ag/viewform?edit2=2_ABaOnufoanDlczACBPN_cdZfkRzhGDeidnzQHXO7ba-esAKkYUlgvNYLHsVQh_6N8OgAazo" TargetMode="External"/><Relationship Id="rId88" Type="http://schemas.openxmlformats.org/officeDocument/2006/relationships/hyperlink" Target="https://docs.google.com/forms/d/e/1FAIpQLSd37AKX0Ca1Yeje6eC6NuliFZj5Spn7I7mXRsa9kBsXMqB-Ag/viewform?edit2=2_ABaOnuc6u94zQdric7ddkssmbIhd6cPvEDdWZoOXTRFNLEAy5slE11TDc2rCZnG698eeNHs" TargetMode="External"/><Relationship Id="rId111" Type="http://schemas.openxmlformats.org/officeDocument/2006/relationships/hyperlink" Target="https://docs.google.com/forms/d/e/1FAIpQLSd37AKX0Ca1Yeje6eC6NuliFZj5Spn7I7mXRsa9kBsXMqB-Ag/viewform?edit2=2_ABaOnue8yF5k2g-A4YmMjFEroZTXPs21RlviJCb9l-8HQlydMe29OUNnwxbF1iHXhgVdNtk" TargetMode="External"/><Relationship Id="rId132" Type="http://schemas.openxmlformats.org/officeDocument/2006/relationships/hyperlink" Target="https://docs.google.com/forms/d/e/1FAIpQLSd37AKX0Ca1Yeje6eC6NuliFZj5Spn7I7mXRsa9kBsXMqB-Ag/viewform?edit2=2_ABaOnucbWnEnY3db-EanKrrQCykZllDVPJkRXkAuE5nXj5oFvDuGB21CBl3v9zZCpKpqIVA" TargetMode="External"/><Relationship Id="rId153" Type="http://schemas.openxmlformats.org/officeDocument/2006/relationships/hyperlink" Target="https://docs.google.com/forms/d/e/1FAIpQLSeAkkqnSqisXk0g5wDtTZwQpSKdxgBvUG9NhZjoIJxKcGoYyw/viewform?edit2=2_ABaOnud6tHN184mnq-ugDic-fkx0469lLwZpTXMcPvPtQoW0TKaL0Bohp0jL3__EKQtyxgw" TargetMode="External"/><Relationship Id="rId174" Type="http://schemas.openxmlformats.org/officeDocument/2006/relationships/hyperlink" Target="https://docs.google.com/forms/d/e/1FAIpQLSeAkkqnSqisXk0g5wDtTZwQpSKdxgBvUG9NhZjoIJxKcGoYyw/viewform?edit2=2_ABaOnudOJsbtijaTcBMou2J7jq3r3_A3864NlvJoUra-fLIQ1Wvouzs7Lo-lzFE4mQeALDE" TargetMode="External"/><Relationship Id="rId179" Type="http://schemas.openxmlformats.org/officeDocument/2006/relationships/hyperlink" Target="https://docs.google.com/forms/u/0/d/e/1FAIpQLSeAkkqnSqisXk0g5wDtTZwQpSKdxgBvUG9NhZjoIJxKcGoYyw/formResponse" TargetMode="External"/><Relationship Id="rId15" Type="http://schemas.openxmlformats.org/officeDocument/2006/relationships/hyperlink" Target="https://docs.google.com/forms/d/e/1FAIpQLSd37AKX0Ca1Yeje6eC6NuliFZj5Spn7I7mXRsa9kBsXMqB-Ag/viewform?edit2=2_ABaOnucjwEQQpKVtkpHfLLSdr7wlsJ123jmny_Y0VAZ3t1dzFLz17xf1AylOpEj0gIyz5Dg" TargetMode="External"/><Relationship Id="rId36" Type="http://schemas.openxmlformats.org/officeDocument/2006/relationships/hyperlink" Target="https://docs.google.com/forms/d/e/1FAIpQLSd37AKX0Ca1Yeje6eC6NuliFZj5Spn7I7mXRsa9kBsXMqB-Ag/viewform?edit2=2_ABaOnudWeTedu4RM0xhhpxcAAl1Lm1czJ_a-WZCRd0yTmaIgnUPy2sTcZ0gkt0RadE-JDWc" TargetMode="External"/><Relationship Id="rId57" Type="http://schemas.openxmlformats.org/officeDocument/2006/relationships/hyperlink" Target="https://docs.google.com/forms/d/e/1FAIpQLSd37AKX0Ca1Yeje6eC6NuliFZj5Spn7I7mXRsa9kBsXMqB-Ag/viewform?edit2=2_ABaOnueU6CV0L6qzYn4M7aGmwgquZmZu_wiXdlo63ftKLtzBRvGCv_JpzcPEO4tG3a6TmJo" TargetMode="External"/><Relationship Id="rId106" Type="http://schemas.openxmlformats.org/officeDocument/2006/relationships/hyperlink" Target="https://docs.google.com/forms/d/e/1FAIpQLSd37AKX0Ca1Yeje6eC6NuliFZj5Spn7I7mXRsa9kBsXMqB-Ag/viewform?edit2=2_ABaOnuckIBKsSimnFjncb-wBKkjl74JnMIIMe9avQ_J1MIPd2zhy-sQZN8WX_vqZjEs15TI" TargetMode="External"/><Relationship Id="rId127" Type="http://schemas.openxmlformats.org/officeDocument/2006/relationships/hyperlink" Target="https://docs.google.com/forms/d/e/1FAIpQLSd37AKX0Ca1Yeje6eC6NuliFZj5Spn7I7mXRsa9kBsXMqB-Ag/viewform?edit2=2_ABaOnuc-JT1GZayK7lrMPPARVhylY7p1ujjmxGClJM-yseQdlWPcQe-6ojAPuPP62HQcSOQ" TargetMode="External"/><Relationship Id="rId10" Type="http://schemas.openxmlformats.org/officeDocument/2006/relationships/hyperlink" Target="https://docs.google.com/forms/d/e/1FAIpQLSd37AKX0Ca1Yeje6eC6NuliFZj5Spn7I7mXRsa9kBsXMqB-Ag/viewform?edit2=2_ABaOnufxkc3tlHnwqQgLBNKZgEJCUxXYMRiEDNla6guit9NDZ30z5t7XPOkPUIpmZDTO4O8" TargetMode="External"/><Relationship Id="rId31" Type="http://schemas.openxmlformats.org/officeDocument/2006/relationships/hyperlink" Target="https://docs.google.com/forms/d/e/1FAIpQLScKfK1Xq_AfFRyZkOlyT2n4Ugr8FdePyUxPct4kYLgKJ3YlMQ/viewform?edit2=2_ABaOnuclPqeAJQSqGHtJmlpXSjJSapyprWpZux4R9d_vojADBzV8V4vkS47Auvu3HSa2bZA" TargetMode="External"/><Relationship Id="rId52" Type="http://schemas.openxmlformats.org/officeDocument/2006/relationships/hyperlink" Target="https://docs.google.com/forms/d/e/1FAIpQLSd37AKX0Ca1Yeje6eC6NuliFZj5Spn7I7mXRsa9kBsXMqB-Ag/viewform?edit2=2_ABaOnue66NZ8CHKfjK3R7gTxdxgvrjGpG3tqvtkmrm6FPFcQf-lImxmTrUVk97eWDxwsCdE" TargetMode="External"/><Relationship Id="rId73" Type="http://schemas.openxmlformats.org/officeDocument/2006/relationships/hyperlink" Target="https://docs.google.com/forms/d/e/1FAIpQLSd37AKX0Ca1Yeje6eC6NuliFZj5Spn7I7mXRsa9kBsXMqB-Ag/viewform?edit2=2_ABaOnuc2ce1OsnN4egnCH4EpgfP2ZGzmFF0P7bp3mPH7vn6kJ6Ik4LRVglrukwYZUMRxKVA" TargetMode="External"/><Relationship Id="rId78" Type="http://schemas.openxmlformats.org/officeDocument/2006/relationships/hyperlink" Target="https://docs.google.com/forms/d/e/1FAIpQLScKfK1Xq_AfFRyZkOlyT2n4Ugr8FdePyUxPct4kYLgKJ3YlMQ/viewform?edit2=2_ABaOnudJZTctoBjl3qpNdm6etTylzvWAKVofQalrPmPOeai9zwWd22Zw3UJLRe8nR1ufFZM" TargetMode="External"/><Relationship Id="rId94" Type="http://schemas.openxmlformats.org/officeDocument/2006/relationships/hyperlink" Target="https://docs.google.com/forms/d/e/1FAIpQLSd37AKX0Ca1Yeje6eC6NuliFZj5Spn7I7mXRsa9kBsXMqB-Ag/viewform?edit2=2_ABaOnueEghC04Vykviesh9gQbyNMpFYEkj1GRRGToZI5mp9gsmCgkZq4p94y2qdwIg6X4oE" TargetMode="External"/><Relationship Id="rId99" Type="http://schemas.openxmlformats.org/officeDocument/2006/relationships/hyperlink" Target="https://docs.google.com/forms/d/e/1FAIpQLSd37AKX0Ca1Yeje6eC6NuliFZj5Spn7I7mXRsa9kBsXMqB-Ag/viewform?edit2=2_ABaOnuekMbJPwsBIgdmAqSZzHZqSYnVxvFNd3_I1BoI0oDlFKWMmDFbCIIaJoVZa5M1B63U" TargetMode="External"/><Relationship Id="rId101" Type="http://schemas.openxmlformats.org/officeDocument/2006/relationships/hyperlink" Target="https://docs.google.com/forms/d/e/1FAIpQLSd37AKX0Ca1Yeje6eC6NuliFZj5Spn7I7mXRsa9kBsXMqB-Ag/viewform?edit2=2_ABaOnuc9aPDoW6LgjCUsuHRny8nvvfgwUoe3-JYI93_0801K5cI0OOym4pS-MOQRTXsp9Ks" TargetMode="External"/><Relationship Id="rId122" Type="http://schemas.openxmlformats.org/officeDocument/2006/relationships/hyperlink" Target="https://docs.google.com/forms/d/e/1FAIpQLSeAkkqnSqisXk0g5wDtTZwQpSKdxgBvUG9NhZjoIJxKcGoYyw/viewform?edit2=2_ABaOnueFqWyyIIvigZhaA-tiqJg1KB4hBuX-NGHRBpLNCYT777UlDtU6BQxQDUSBA9m1w9o" TargetMode="External"/><Relationship Id="rId143" Type="http://schemas.openxmlformats.org/officeDocument/2006/relationships/hyperlink" Target="https://docs.google.com/forms/d/e/1FAIpQLSd37AKX0Ca1Yeje6eC6NuliFZj5Spn7I7mXRsa9kBsXMqB-Ag/viewform?edit2=2_ABaOnucAkaE5pGTSsOX36rlNw-NlGoLm0uWcJugpFOa7N3OuwuD7b_0Rdfp4z_3MZMALh0s" TargetMode="External"/><Relationship Id="rId148" Type="http://schemas.openxmlformats.org/officeDocument/2006/relationships/hyperlink" Target="https://docs.google.com/forms/d/e/1FAIpQLScKfK1Xq_AfFRyZkOlyT2n4Ugr8FdePyUxPct4kYLgKJ3YlMQ/viewform?edit2=2_ABaOnufk8KX-0O4pwL1H97rUop8QABM8GJga19tD3RShvYnABmP5DuMvzjvMYWuhRdnXEEQ" TargetMode="External"/><Relationship Id="rId164" Type="http://schemas.openxmlformats.org/officeDocument/2006/relationships/hyperlink" Target="https://docs.google.com/forms/d/e/1FAIpQLSeAkkqnSqisXk0g5wDtTZwQpSKdxgBvUG9NhZjoIJxKcGoYyw/viewform?edit2=2_ABaOnuduP_zzH4d0H3dzllx1yqV3h4NflGsQ5Q4h2FnmXG-4M8ERdABAND-niRHdDEv-fqI" TargetMode="External"/><Relationship Id="rId169" Type="http://schemas.openxmlformats.org/officeDocument/2006/relationships/hyperlink" Target="https://docs.google.com/forms/d/e/1FAIpQLSd37AKX0Ca1Yeje6eC6NuliFZj5Spn7I7mXRsa9kBsXMqB-Ag/viewform?edit2=2_ABaOnufYJnJ184fOsmKBtApO2iMFmOkR5pSMNbWqiRwAooao1KJBVEloya0H3PigUrp4NdQ" TargetMode="External"/><Relationship Id="rId185" Type="http://schemas.openxmlformats.org/officeDocument/2006/relationships/hyperlink" Target="https://docs.google.com/forms/u/0/d/e/1FAIpQLScKfK1Xq_AfFRyZkOlyT2n4Ugr8FdePyUxPct4kYLgKJ3YlMQ/viewform?usp=form_confirm&amp;edit2=2_ABaOnue4-bKV6Dn-BqpIg6DEA3le4oslWbXeV5t7VvmtpYh9fW2YhiQ-On2oe4v3PMh2bAo" TargetMode="External"/><Relationship Id="rId4" Type="http://schemas.openxmlformats.org/officeDocument/2006/relationships/hyperlink" Target="https://docs.google.com/forms/d/e/1FAIpQLSd37AKX0Ca1Yeje6eC6NuliFZj5Spn7I7mXRsa9kBsXMqB-Ag/viewform?edit2=2_ABaOnuf2j7989Basd7RqeWk5ShbfC9vglbQAYME_8G0y9KgxN5a2Sxu33yjZSF-7UYqZu8U" TargetMode="External"/><Relationship Id="rId9" Type="http://schemas.openxmlformats.org/officeDocument/2006/relationships/hyperlink" Target="https://docs.google.com/forms/d/e/1FAIpQLScKfK1Xq_AfFRyZkOlyT2n4Ugr8FdePyUxPct4kYLgKJ3YlMQ/viewform?edit2=2_ABaOnucIF0bUlpImPx8G5Cbwlu76fG6A5FGJO9bhSnfweqQLIYVGJ5NGuH1wd-Vrzig1ARY" TargetMode="External"/><Relationship Id="rId180" Type="http://schemas.openxmlformats.org/officeDocument/2006/relationships/hyperlink" Target="https://docs.google.com/forms/u/0/d/e/1FAIpQLSeAkkqnSqisXk0g5wDtTZwQpSKdxgBvUG9NhZjoIJxKcGoYyw/formResponse" TargetMode="External"/><Relationship Id="rId26" Type="http://schemas.openxmlformats.org/officeDocument/2006/relationships/hyperlink" Target="https://docs.google.com/forms/d/e/1FAIpQLSd37AKX0Ca1Yeje6eC6NuliFZj5Spn7I7mXRsa9kBsXMqB-Ag/viewform?edit2=2_ABaOnuf6drCWA-IZBlNqDAotDEssKORUs-S1i6ryHOYbNmm5r74FiPSdK2RgyzyGz8V24y8" TargetMode="External"/><Relationship Id="rId47" Type="http://schemas.openxmlformats.org/officeDocument/2006/relationships/hyperlink" Target="https://docs.google.com/forms/d/e/1FAIpQLSd37AKX0Ca1Yeje6eC6NuliFZj5Spn7I7mXRsa9kBsXMqB-Ag/viewform?edit2=2_ABaOnudPhJxPi-s6Hxz1T94O7eJHvc2vL6-lmN1KDpQ-VjVgY28VI3YP71BRdl6Wj6SLGek" TargetMode="External"/><Relationship Id="rId68" Type="http://schemas.openxmlformats.org/officeDocument/2006/relationships/hyperlink" Target="https://docs.google.com/forms/d/e/1FAIpQLSd37AKX0Ca1Yeje6eC6NuliFZj5Spn7I7mXRsa9kBsXMqB-Ag/viewform?edit2=2_ABaOnueQifeXrb58f2l-fn4zj1w6xN1zs3ijczgGpF_vSkGeA1cb48Av_vY2C04VZEkZzz4" TargetMode="External"/><Relationship Id="rId89" Type="http://schemas.openxmlformats.org/officeDocument/2006/relationships/hyperlink" Target="https://docs.google.com/forms/d/e/1FAIpQLSd37AKX0Ca1Yeje6eC6NuliFZj5Spn7I7mXRsa9kBsXMqB-Ag/viewform?edit2=2_ABaOnufS-nreBWFxPOyC72eR9s3g4FxQB6CNDe1z4p8VG1C-Z8nxN3WTFe2eHFZhUKAg3ho" TargetMode="External"/><Relationship Id="rId112" Type="http://schemas.openxmlformats.org/officeDocument/2006/relationships/hyperlink" Target="https://docs.google.com/forms/d/e/1FAIpQLSd37AKX0Ca1Yeje6eC6NuliFZj5Spn7I7mXRsa9kBsXMqB-Ag/viewform?edit2=2_ABaOnuc7PoC32VWoVEXH39DpjDebesaOvr_iNaYtsXDOxvzp87gNXySbFIOrZ6dZmDhAV1o" TargetMode="External"/><Relationship Id="rId133" Type="http://schemas.openxmlformats.org/officeDocument/2006/relationships/hyperlink" Target="https://docs.google.com/forms/d/e/1FAIpQLSd37AKX0Ca1Yeje6eC6NuliFZj5Spn7I7mXRsa9kBsXMqB-Ag/viewform?edit2=2_ABaOnucZRxbyszk6_Rqw4hqgSN_6qYa7mt4K9VnT_0YUP4cwuNl75Jenc2vysavqGAWrm4U" TargetMode="External"/><Relationship Id="rId154" Type="http://schemas.openxmlformats.org/officeDocument/2006/relationships/hyperlink" Target="https://docs.google.com/forms/d/e/1FAIpQLSd37AKX0Ca1Yeje6eC6NuliFZj5Spn7I7mXRsa9kBsXMqB-Ag/viewform?edit2=2_ABaOnucNtSqDhiLK9at8g6g1wdhcrXJ_4tH4REsugv1uGIL6tnbuVwWItnOwBh2kLLu0S1U" TargetMode="External"/><Relationship Id="rId175" Type="http://schemas.openxmlformats.org/officeDocument/2006/relationships/hyperlink" Target="https://docs.google.com/forms/d/e/1FAIpQLSd37AKX0Ca1Yeje6eC6NuliFZj5Spn7I7mXRsa9kBsXMqB-Ag/viewform?edit2=2_ABaOnudeoy7bEdo69AhqS9Sp3RVsUd2is9ZwWEW4UM_u3QLmkcOy0NHhMxvjybLmGrlPdCM" TargetMode="External"/><Relationship Id="rId16" Type="http://schemas.openxmlformats.org/officeDocument/2006/relationships/hyperlink" Target="https://docs.google.com/forms/d/e/1FAIpQLScKfK1Xq_AfFRyZkOlyT2n4Ugr8FdePyUxPct4kYLgKJ3YlMQ/viewform?edit2=2_ABaOnucvgZ8hcmHj8eo8Gttfaa2Xb_k25Mz2N0V6ThqYfwGsiep8vt9_VOKJTNSs6iScXCU" TargetMode="External"/><Relationship Id="rId37" Type="http://schemas.openxmlformats.org/officeDocument/2006/relationships/hyperlink" Target="https://docs.google.com/forms/d/e/1FAIpQLSd37AKX0Ca1Yeje6eC6NuliFZj5Spn7I7mXRsa9kBsXMqB-Ag/viewform?edit2=2_ABaOnudeQNpZK8qo5P01o5m8u1nK-nidTP440bH0iWjs2673t7t6cup8pQiFCCzYZAU0aPQ" TargetMode="External"/><Relationship Id="rId58" Type="http://schemas.openxmlformats.org/officeDocument/2006/relationships/hyperlink" Target="https://docs.google.com/forms/d/e/1FAIpQLSd37AKX0Ca1Yeje6eC6NuliFZj5Spn7I7mXRsa9kBsXMqB-Ag/viewform?edit2=2_ABaOnueEPwh1foCkF5p13wFtRWpghPhSqtbCjBXGJ58UvmEhVSHxI8HVV_XNL4yER31Pfss" TargetMode="External"/><Relationship Id="rId79" Type="http://schemas.openxmlformats.org/officeDocument/2006/relationships/hyperlink" Target="https://docs.google.com/forms/d/e/1FAIpQLScKfK1Xq_AfFRyZkOlyT2n4Ugr8FdePyUxPct4kYLgKJ3YlMQ/viewform?edit2=2_ABaOnufb-nE9EbyKTT6hORhEbvi6L_6OXRGSycMy2mU8zEVI91IfHurcQico_VTO24ptdi4" TargetMode="External"/><Relationship Id="rId102" Type="http://schemas.openxmlformats.org/officeDocument/2006/relationships/hyperlink" Target="https://docs.google.com/forms/d/e/1FAIpQLSd37AKX0Ca1Yeje6eC6NuliFZj5Spn7I7mXRsa9kBsXMqB-Ag/viewform?edit2=2_ABaOnucaVkMPdH2aGVZIm0f1zpF_bCXekQWJWdFbytk8dMhXHHX1wDYUQqMxTB2Ogxjv0WQ" TargetMode="External"/><Relationship Id="rId123" Type="http://schemas.openxmlformats.org/officeDocument/2006/relationships/hyperlink" Target="https://docs.google.com/forms/d/e/1FAIpQLSd37AKX0Ca1Yeje6eC6NuliFZj5Spn7I7mXRsa9kBsXMqB-Ag/viewform?edit2=2_ABaOnucrsJTyJA72tIls-EMRr9jmd2DO8yEsvqCQAshuZTl7gBFdTWbwF0EpY7-vg48QL2s" TargetMode="External"/><Relationship Id="rId144" Type="http://schemas.openxmlformats.org/officeDocument/2006/relationships/hyperlink" Target="https://docs.google.com/forms/d/e/1FAIpQLSd37AKX0Ca1Yeje6eC6NuliFZj5Spn7I7mXRsa9kBsXMqB-Ag/viewform?edit2=2_ABaOnueiJiidXdSDiyxCaSAKE7T1thpD_kpopXkUJbwzU_wYhEtxoBBGeLp8_3E0Pi7aqjU" TargetMode="External"/><Relationship Id="rId90" Type="http://schemas.openxmlformats.org/officeDocument/2006/relationships/hyperlink" Target="https://docs.google.com/forms/d/e/1FAIpQLSd37AKX0Ca1Yeje6eC6NuliFZj5Spn7I7mXRsa9kBsXMqB-Ag/viewform?edit2=2_ABaOnucYWY2zuzm8es8eJ_-9FH9ayjyExmMZeKjX4-wl6cCrL0uykZ7cB6-yj6uUc6HAYvM" TargetMode="External"/><Relationship Id="rId165" Type="http://schemas.openxmlformats.org/officeDocument/2006/relationships/hyperlink" Target="https://docs.google.com/forms/d/e/1FAIpQLSd37AKX0Ca1Yeje6eC6NuliFZj5Spn7I7mXRsa9kBsXMqB-Ag/viewform?edit2=2_ABaOnuc3xjNviUzkde2nnQGbYeaahJrmOUJlJsfd-pLJfjDantYB1QkwdaLdnRN932ECILw" TargetMode="External"/><Relationship Id="rId27" Type="http://schemas.openxmlformats.org/officeDocument/2006/relationships/hyperlink" Target="https://docs.google.com/forms/d/e/1FAIpQLSd37AKX0Ca1Yeje6eC6NuliFZj5Spn7I7mXRsa9kBsXMqB-Ag/viewform?edit2=2_ABaOnucXYh7TXzTa8Eiqh6G2iI9SDkB9z7HxXc-muPtZY1lxw5j5SfdnONWyGViUYdQGjOE" TargetMode="External"/><Relationship Id="rId48" Type="http://schemas.openxmlformats.org/officeDocument/2006/relationships/hyperlink" Target="https://docs.google.com/forms/d/e/1FAIpQLSd37AKX0Ca1Yeje6eC6NuliFZj5Spn7I7mXRsa9kBsXMqB-Ag/viewform?edit2=2_ABaOnueqQ5WD4kzs8XFkpGxeBrDewIQChFYFkeCcx-r4wFHBdNPG4t_O0JkGnrd6V5GB4rY" TargetMode="External"/><Relationship Id="rId69" Type="http://schemas.openxmlformats.org/officeDocument/2006/relationships/hyperlink" Target="https://docs.google.com/forms/d/e/1FAIpQLSd37AKX0Ca1Yeje6eC6NuliFZj5Spn7I7mXRsa9kBsXMqB-Ag/viewform?edit2=2_ABaOnudSPtf3N8SrkyU-NZ4noLqUaeQxb1pg_AcQiDTDSH1P5hEUdmsI32UCDPXITJ435Hs" TargetMode="External"/><Relationship Id="rId113" Type="http://schemas.openxmlformats.org/officeDocument/2006/relationships/hyperlink" Target="https://docs.google.com/forms/d/e/1FAIpQLSd37AKX0Ca1Yeje6eC6NuliFZj5Spn7I7mXRsa9kBsXMqB-Ag/viewform?edit2=2_ABaOnuf0gWV5fOQOOVcysZnGnOx8CQlIGmS0bibqswYqIObp5hpU7HDk02089aULsPc5lPk&amp;edit2=2_ABaOnuf0gWV5fOQOOVcysZnGnOx8CQlIGmS0bibqswYqIObp5hpU7HDk02089aULsPc5lPk" TargetMode="External"/><Relationship Id="rId134" Type="http://schemas.openxmlformats.org/officeDocument/2006/relationships/hyperlink" Target="https://docs.google.com/forms/d/e/1FAIpQLScKfK1Xq_AfFRyZkOlyT2n4Ugr8FdePyUxPct4kYLgKJ3YlMQ/viewform?edit2=2_ABaOnueEMnGSy-Ib83p88mIKnHigqyDDiDvfeqbgSSOoqZ2BLD1kh6gy_S8HH07a8Zqem5Q" TargetMode="External"/><Relationship Id="rId80" Type="http://schemas.openxmlformats.org/officeDocument/2006/relationships/hyperlink" Target="https://docs.google.com/forms/d/e/1FAIpQLSd37AKX0Ca1Yeje6eC6NuliFZj5Spn7I7mXRsa9kBsXMqB-Ag/viewform?edit2=2_ABaOnudBgyxTJ6kToGY4rlfeqEwvUp5513GXUlIoSe3bdgVChJDDj4v_uo4Rx0BqYlxPY9o" TargetMode="External"/><Relationship Id="rId155" Type="http://schemas.openxmlformats.org/officeDocument/2006/relationships/hyperlink" Target="https://docs.google.com/forms/d/e/1FAIpQLSd37AKX0Ca1Yeje6eC6NuliFZj5Spn7I7mXRsa9kBsXMqB-Ag/viewform?edit2=2_ABaOnue4DNeXWkKe8BALeiY__SeG6eJlZswzmwIChZMlvcMBoNRPNaWkxjWfQ1N-0oBKnJw" TargetMode="External"/><Relationship Id="rId176" Type="http://schemas.openxmlformats.org/officeDocument/2006/relationships/hyperlink" Target="https://docs.google.com/forms/d/e/1FAIpQLSd37AKX0Ca1Yeje6eC6NuliFZj5Spn7I7mXRsa9kBsXMqB-Ag/viewform?edit2=2_ABaOnudEnQJ64MdsAInJZSm9gT7kRJsI_jwn0MZlcOrNaEs_qyqskUOjye-Vro9Z3oCMFMQ" TargetMode="External"/><Relationship Id="rId17" Type="http://schemas.openxmlformats.org/officeDocument/2006/relationships/hyperlink" Target="https://docs.google.com/forms/d/e/1FAIpQLSd37AKX0Ca1Yeje6eC6NuliFZj5Spn7I7mXRsa9kBsXMqB-Ag/viewform?edit2=2_ABaOnueGV1D7Xj7a5UiuNCsQBshom47Y4WPZn3PVWIRvV1ezyWBf4nAw1EfV1ynT_mKjcGA" TargetMode="External"/><Relationship Id="rId38" Type="http://schemas.openxmlformats.org/officeDocument/2006/relationships/hyperlink" Target="https://docs.google.com/forms/d/e/1FAIpQLSd37AKX0Ca1Yeje6eC6NuliFZj5Spn7I7mXRsa9kBsXMqB-Ag/viewform?edit2=2_ABaOnuf1iClOzJhfEbDLVFFuk-RnA6L6BlaBrlXqRxJ2NuDHdspMURjFlJG0-iCLxv4fzTk" TargetMode="External"/><Relationship Id="rId59" Type="http://schemas.openxmlformats.org/officeDocument/2006/relationships/hyperlink" Target="https://docs.google.com/forms/d/e/1FAIpQLSd37AKX0Ca1Yeje6eC6NuliFZj5Spn7I7mXRsa9kBsXMqB-Ag/viewform?edit2=2_ABaOnudWylz-N1brbnTL28kF5bF6e1dxnhA2Q37Althy3VAa_Lka6LX6nBQK3plxVt4RPjk" TargetMode="External"/><Relationship Id="rId103" Type="http://schemas.openxmlformats.org/officeDocument/2006/relationships/hyperlink" Target="https://docs.google.com/forms/d/e/1FAIpQLSd37AKX0Ca1Yeje6eC6NuliFZj5Spn7I7mXRsa9kBsXMqB-Ag/viewform?edit2=2_ABaOnufThh1TB_IPf892J9xyxWhVaOvlulLXH8qQXSglTo6N8V11IP2XJ95JCc8HQufUTrM" TargetMode="External"/><Relationship Id="rId124" Type="http://schemas.openxmlformats.org/officeDocument/2006/relationships/hyperlink" Target="https://docs.google.com/forms/d/e/1FAIpQLSd37AKX0Ca1Yeje6eC6NuliFZj5Spn7I7mXRsa9kBsXMqB-Ag/viewform?edit2=2_ABaOnuegoAWfQwCerkUBsKWgfPGSP28fjhF3W-rRTgX5F3rIj0vvB843QhnzBMblh_pdvGM" TargetMode="External"/><Relationship Id="rId70" Type="http://schemas.openxmlformats.org/officeDocument/2006/relationships/hyperlink" Target="https://docs.google.com/forms/d/e/1FAIpQLSeAkkqnSqisXk0g5wDtTZwQpSKdxgBvUG9NhZjoIJxKcGoYyw/viewform?edit2=2_ABaOnufMj3NlW--EHaLsoCZD5J6fe6i6LO9REUaBqFlRhTBdIQvlohrgzUJhl8nay87Px5E" TargetMode="External"/><Relationship Id="rId91" Type="http://schemas.openxmlformats.org/officeDocument/2006/relationships/hyperlink" Target="https://docs.google.com/forms/d/e/1FAIpQLSd37AKX0Ca1Yeje6eC6NuliFZj5Spn7I7mXRsa9kBsXMqB-Ag/viewform?edit2=2_ABaOnufqRJ9CZA1DZgXIPmBFI39RgSvBKjemJ5gdv9VfzXE2Y63oUhBQwgRKwJdOH8lyyeE" TargetMode="External"/><Relationship Id="rId145" Type="http://schemas.openxmlformats.org/officeDocument/2006/relationships/hyperlink" Target="https://docs.google.com/forms/d/e/1FAIpQLSd37AKX0Ca1Yeje6eC6NuliFZj5Spn7I7mXRsa9kBsXMqB-Ag/viewform?edit2=2_ABaOnucwwT4Lk5AUltv8Gz0bpiWMfjIXotgxLEOvqucLRoJsxhTJUdL7bNxYY_oCOobTkBI" TargetMode="External"/><Relationship Id="rId166" Type="http://schemas.openxmlformats.org/officeDocument/2006/relationships/hyperlink" Target="https://docs.google.com/forms/d/e/1FAIpQLSd37AKX0Ca1Yeje6eC6NuliFZj5Spn7I7mXRsa9kBsXMqB-Ag/viewform?edit2=2_ABaOnue5Kgcgj4eGYLQ9QFeciVAb5GeZ00DWRjPM6w-WRlu1jVIK9mQM_1Org5Ygl-xqX6A" TargetMode="External"/><Relationship Id="rId1" Type="http://schemas.openxmlformats.org/officeDocument/2006/relationships/hyperlink" Target="https://docs.google.com/forms/d/e/1FAIpQLSd37AKX0Ca1Yeje6eC6NuliFZj5Spn7I7mXRsa9kBsXMqB-Ag/viewform?edit2=2_ABaOnue8mI5AYqilJnQ-23IHeU09ipqfAONkBPAhQ3a3okU2s71v_L1uHn7A2GfefVIT5vE" TargetMode="External"/><Relationship Id="rId28" Type="http://schemas.openxmlformats.org/officeDocument/2006/relationships/hyperlink" Target="https://docs.google.com/forms/d/e/1FAIpQLSd37AKX0Ca1Yeje6eC6NuliFZj5Spn7I7mXRsa9kBsXMqB-Ag/viewform?edit2=2_ABaOnueqOA9jOURj75fgFVzTPRoS4CvrWRrmHCOIfJ0-em66xU40R2VatgNoW4WQt5tTjMU" TargetMode="External"/><Relationship Id="rId49" Type="http://schemas.openxmlformats.org/officeDocument/2006/relationships/hyperlink" Target="https://docs.google.com/forms/d/e/1FAIpQLSd37AKX0Ca1Yeje6eC6NuliFZj5Spn7I7mXRsa9kBsXMqB-Ag/viewform?edit2=2_ABaOnuestmawDRwNCrwWBbcFzvUi4IXI1Xou83xweNeZQ-Dv589ktMYRHtyGkw0HL1Ct-jc" TargetMode="External"/><Relationship Id="rId114" Type="http://schemas.openxmlformats.org/officeDocument/2006/relationships/hyperlink" Target="https://docs.google.com/forms/d/e/1FAIpQLScKfK1Xq_AfFRyZkOlyT2n4Ugr8FdePyUxPct4kYLgKJ3YlMQ/viewform?edit2=2_ABaOnue7CDFJ-DLFszfXQgMJoyTYzlSz5vwYZhgFnuGWxLIc-RFbEe3y7lSVyIgRNwQnRds" TargetMode="External"/><Relationship Id="rId60" Type="http://schemas.openxmlformats.org/officeDocument/2006/relationships/hyperlink" Target="https://docs.google.com/forms/d/e/1FAIpQLSd37AKX0Ca1Yeje6eC6NuliFZj5Spn7I7mXRsa9kBsXMqB-Ag/viewform?edit2=2_ABaOnufWFP9HETYNJ3J5EUfjOIhDoa5KZFj2apAnrBOV6JXJzgQYkHtCfkj4lP4wohCMwtE" TargetMode="External"/><Relationship Id="rId81" Type="http://schemas.openxmlformats.org/officeDocument/2006/relationships/hyperlink" Target="https://docs.google.com/forms/d/e/1FAIpQLSd37AKX0Ca1Yeje6eC6NuliFZj5Spn7I7mXRsa9kBsXMqB-Ag/viewform?edit2=2_ABaOnuf3SCs4io_fGe1Nhck3rNXdmd477nS50ghm4oVtuN0fNt6Li8BYgDvLqtiN5R2o0NQ" TargetMode="External"/><Relationship Id="rId135" Type="http://schemas.openxmlformats.org/officeDocument/2006/relationships/hyperlink" Target="https://docs.google.com/forms/d/e/1FAIpQLSd37AKX0Ca1Yeje6eC6NuliFZj5Spn7I7mXRsa9kBsXMqB-Ag/viewform?edit2=2_ABaOnue3hK20gMAQU3kqmQIEdcTGrnNth9OadKx1kt5SNe1tmGC3XQsjkqYuzJr-5f33WiA" TargetMode="External"/><Relationship Id="rId156" Type="http://schemas.openxmlformats.org/officeDocument/2006/relationships/hyperlink" Target="https://docs.google.com/forms/u/0/d/e/1FAIpQLSd37AKX0Ca1Yeje6eC6NuliFZj5Spn7I7mXRsa9kBsXMqB-Ag/viewform?usp=form_confirm&amp;edit2=2_ABaOnueNoEwYPJsuB6Kl3gaw-KYlsDWhprFHvh89-d6RRzS1g6XA6IRL0S4Fd-NsldESoBI" TargetMode="External"/><Relationship Id="rId177" Type="http://schemas.openxmlformats.org/officeDocument/2006/relationships/hyperlink" Target="https://docs.google.com/forms/d/e/1FAIpQLSeAkkqnSqisXk0g5wDtTZwQpSKdxgBvUG9NhZjoIJxKcGoYyw/viewform?edit2=2_ABaOnuc-EvC9gubjMkNDG4efP0NWBzNThWKFe59_KMxTdhxzfuQYAm8XU2PPjZ6y0Qc_kK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B1001"/>
  <sheetViews>
    <sheetView showGridLines="0" workbookViewId="0">
      <selection sqref="A1:D1"/>
    </sheetView>
  </sheetViews>
  <sheetFormatPr defaultColWidth="12.6640625" defaultRowHeight="15.75" customHeight="1" x14ac:dyDescent="0.25"/>
  <cols>
    <col min="1" max="1" width="6.44140625" customWidth="1"/>
    <col min="2" max="2" width="18.33203125" customWidth="1"/>
    <col min="3" max="3" width="12.6640625" customWidth="1"/>
    <col min="4" max="4" width="45.6640625" customWidth="1"/>
    <col min="5" max="5" width="4.109375" customWidth="1"/>
    <col min="6" max="6" width="6.44140625" customWidth="1"/>
    <col min="7" max="7" width="19.6640625" customWidth="1"/>
    <col min="8" max="8" width="14.109375" customWidth="1"/>
    <col min="9" max="9" width="46.21875" customWidth="1"/>
  </cols>
  <sheetData>
    <row r="1" spans="1:28" x14ac:dyDescent="0.25">
      <c r="A1" s="116" t="s">
        <v>31</v>
      </c>
      <c r="B1" s="115"/>
      <c r="C1" s="115"/>
      <c r="D1" s="115"/>
      <c r="E1" s="1"/>
      <c r="F1" s="116" t="s">
        <v>32</v>
      </c>
      <c r="G1" s="115"/>
      <c r="H1" s="115"/>
      <c r="I1" s="115"/>
      <c r="J1" s="1"/>
      <c r="K1" s="1"/>
      <c r="L1" s="1"/>
      <c r="M1" s="1"/>
      <c r="N1" s="1"/>
      <c r="O1" s="1"/>
      <c r="P1" s="1"/>
      <c r="Q1" s="1"/>
      <c r="R1" s="1"/>
      <c r="S1" s="1"/>
      <c r="T1" s="1"/>
      <c r="U1" s="1"/>
      <c r="V1" s="1"/>
      <c r="W1" s="1"/>
      <c r="X1" s="1"/>
      <c r="Y1" s="1"/>
      <c r="Z1" s="1"/>
      <c r="AA1" s="1"/>
      <c r="AB1" s="1"/>
    </row>
    <row r="2" spans="1:28" x14ac:dyDescent="0.25">
      <c r="A2" s="2"/>
      <c r="B2" s="3" t="s">
        <v>33</v>
      </c>
      <c r="C2" s="3" t="s">
        <v>34</v>
      </c>
      <c r="D2" s="3" t="s">
        <v>35</v>
      </c>
      <c r="E2" s="1"/>
      <c r="F2" s="4"/>
      <c r="G2" s="4" t="s">
        <v>33</v>
      </c>
      <c r="H2" s="4" t="s">
        <v>34</v>
      </c>
      <c r="I2" s="4" t="s">
        <v>36</v>
      </c>
      <c r="J2" s="1"/>
      <c r="K2" s="1"/>
      <c r="L2" s="1"/>
      <c r="M2" s="1"/>
      <c r="N2" s="1"/>
      <c r="O2" s="1"/>
      <c r="P2" s="1"/>
      <c r="Q2" s="1"/>
      <c r="R2" s="1"/>
      <c r="S2" s="1"/>
      <c r="T2" s="1"/>
      <c r="U2" s="1"/>
      <c r="V2" s="1"/>
      <c r="W2" s="1"/>
      <c r="X2" s="1"/>
      <c r="Y2" s="1"/>
      <c r="Z2" s="1"/>
      <c r="AA2" s="1"/>
      <c r="AB2" s="1"/>
    </row>
    <row r="3" spans="1:28" x14ac:dyDescent="0.25">
      <c r="A3" s="5">
        <v>1</v>
      </c>
      <c r="B3" s="6" t="s">
        <v>37</v>
      </c>
      <c r="C3" s="6" t="s">
        <v>38</v>
      </c>
      <c r="D3" s="6" t="s">
        <v>39</v>
      </c>
      <c r="E3" s="7"/>
      <c r="F3" s="5">
        <v>1</v>
      </c>
      <c r="G3" s="6" t="s">
        <v>40</v>
      </c>
      <c r="H3" s="6" t="s">
        <v>38</v>
      </c>
      <c r="I3" s="6" t="s">
        <v>41</v>
      </c>
      <c r="J3" s="7"/>
      <c r="K3" s="7"/>
      <c r="L3" s="7"/>
      <c r="M3" s="7"/>
      <c r="N3" s="7"/>
      <c r="O3" s="7"/>
      <c r="P3" s="7"/>
      <c r="Q3" s="7"/>
      <c r="R3" s="7"/>
      <c r="S3" s="7"/>
      <c r="T3" s="7"/>
      <c r="U3" s="7"/>
      <c r="V3" s="7"/>
      <c r="W3" s="7"/>
      <c r="X3" s="7"/>
      <c r="Y3" s="7"/>
      <c r="Z3" s="7"/>
      <c r="AA3" s="7"/>
      <c r="AB3" s="7"/>
    </row>
    <row r="4" spans="1:28" x14ac:dyDescent="0.25">
      <c r="A4" s="5">
        <v>2</v>
      </c>
      <c r="B4" s="6" t="s">
        <v>42</v>
      </c>
      <c r="C4" s="6" t="s">
        <v>38</v>
      </c>
      <c r="D4" s="6" t="s">
        <v>43</v>
      </c>
      <c r="E4" s="7"/>
      <c r="F4" s="5">
        <v>2</v>
      </c>
      <c r="G4" s="6" t="s">
        <v>44</v>
      </c>
      <c r="H4" s="6" t="s">
        <v>45</v>
      </c>
      <c r="I4" s="8"/>
      <c r="J4" s="7"/>
      <c r="K4" s="7"/>
      <c r="L4" s="7"/>
      <c r="M4" s="7"/>
      <c r="N4" s="7"/>
      <c r="O4" s="7"/>
      <c r="P4" s="7"/>
      <c r="Q4" s="7"/>
      <c r="R4" s="7"/>
      <c r="S4" s="7"/>
      <c r="T4" s="7"/>
      <c r="U4" s="7"/>
      <c r="V4" s="7"/>
      <c r="W4" s="7"/>
      <c r="X4" s="7"/>
      <c r="Y4" s="7"/>
      <c r="Z4" s="7"/>
      <c r="AA4" s="7"/>
      <c r="AB4" s="7"/>
    </row>
    <row r="5" spans="1:28" x14ac:dyDescent="0.25">
      <c r="A5" s="5">
        <v>3</v>
      </c>
      <c r="B5" s="6" t="s">
        <v>46</v>
      </c>
      <c r="C5" s="6" t="s">
        <v>38</v>
      </c>
      <c r="D5" s="6" t="s">
        <v>47</v>
      </c>
      <c r="E5" s="7"/>
      <c r="F5" s="5">
        <v>3</v>
      </c>
      <c r="G5" s="6" t="s">
        <v>48</v>
      </c>
      <c r="H5" s="6"/>
      <c r="I5" s="6"/>
      <c r="J5" s="7"/>
      <c r="K5" s="7"/>
      <c r="L5" s="7"/>
      <c r="M5" s="7"/>
      <c r="N5" s="7"/>
      <c r="O5" s="7"/>
      <c r="P5" s="7"/>
      <c r="Q5" s="7"/>
      <c r="R5" s="7"/>
      <c r="S5" s="7"/>
      <c r="T5" s="7"/>
      <c r="U5" s="7"/>
      <c r="V5" s="7"/>
      <c r="W5" s="7"/>
      <c r="X5" s="7"/>
      <c r="Y5" s="7"/>
      <c r="Z5" s="7"/>
      <c r="AA5" s="7"/>
      <c r="AB5" s="7"/>
    </row>
    <row r="6" spans="1:28" x14ac:dyDescent="0.25">
      <c r="A6" s="5">
        <v>4</v>
      </c>
      <c r="B6" s="6" t="s">
        <v>49</v>
      </c>
      <c r="C6" s="9" t="s">
        <v>50</v>
      </c>
      <c r="D6" s="6" t="s">
        <v>51</v>
      </c>
      <c r="E6" s="7"/>
      <c r="F6" s="5">
        <v>4</v>
      </c>
      <c r="G6" s="6" t="s">
        <v>52</v>
      </c>
      <c r="H6" s="6"/>
      <c r="I6" s="6"/>
      <c r="J6" s="7"/>
      <c r="K6" s="7"/>
      <c r="L6" s="7"/>
      <c r="M6" s="7"/>
      <c r="N6" s="7"/>
      <c r="O6" s="7"/>
      <c r="P6" s="7"/>
      <c r="Q6" s="7"/>
      <c r="R6" s="7"/>
      <c r="S6" s="7"/>
      <c r="T6" s="7"/>
      <c r="U6" s="7"/>
      <c r="V6" s="7"/>
      <c r="W6" s="7"/>
      <c r="X6" s="7"/>
      <c r="Y6" s="7"/>
      <c r="Z6" s="7"/>
      <c r="AA6" s="7"/>
      <c r="AB6" s="7"/>
    </row>
    <row r="7" spans="1:28" x14ac:dyDescent="0.25">
      <c r="A7" s="5">
        <v>5</v>
      </c>
      <c r="B7" s="6" t="s">
        <v>53</v>
      </c>
      <c r="C7" s="9" t="s">
        <v>50</v>
      </c>
      <c r="D7" s="6" t="s">
        <v>54</v>
      </c>
      <c r="E7" s="7"/>
      <c r="F7" s="5">
        <v>5</v>
      </c>
      <c r="G7" s="6" t="s">
        <v>55</v>
      </c>
      <c r="H7" s="6"/>
      <c r="I7" s="6"/>
      <c r="J7" s="7"/>
      <c r="K7" s="7"/>
      <c r="L7" s="7"/>
      <c r="M7" s="7"/>
      <c r="N7" s="7"/>
      <c r="O7" s="7"/>
      <c r="P7" s="7"/>
      <c r="Q7" s="7"/>
      <c r="R7" s="7"/>
      <c r="S7" s="7"/>
      <c r="T7" s="7"/>
      <c r="U7" s="7"/>
      <c r="V7" s="7"/>
      <c r="W7" s="7"/>
      <c r="X7" s="7"/>
      <c r="Y7" s="7"/>
      <c r="Z7" s="7"/>
      <c r="AA7" s="7"/>
      <c r="AB7" s="7"/>
    </row>
    <row r="8" spans="1:28" x14ac:dyDescent="0.25">
      <c r="A8" s="5">
        <v>6</v>
      </c>
      <c r="B8" s="6" t="s">
        <v>53</v>
      </c>
      <c r="C8" s="6" t="s">
        <v>38</v>
      </c>
      <c r="D8" s="6" t="s">
        <v>56</v>
      </c>
      <c r="E8" s="7"/>
      <c r="F8" s="5">
        <v>6</v>
      </c>
      <c r="G8" s="6"/>
      <c r="H8" s="6"/>
      <c r="I8" s="6"/>
      <c r="J8" s="7"/>
      <c r="K8" s="7"/>
      <c r="L8" s="7"/>
      <c r="M8" s="7"/>
      <c r="N8" s="7"/>
      <c r="O8" s="7"/>
      <c r="P8" s="7"/>
      <c r="Q8" s="7"/>
      <c r="R8" s="7"/>
      <c r="S8" s="7"/>
      <c r="T8" s="7"/>
      <c r="U8" s="7"/>
      <c r="V8" s="7"/>
      <c r="W8" s="7"/>
      <c r="X8" s="7"/>
      <c r="Y8" s="7"/>
      <c r="Z8" s="7"/>
      <c r="AA8" s="7"/>
      <c r="AB8" s="7"/>
    </row>
    <row r="9" spans="1:28" x14ac:dyDescent="0.25">
      <c r="A9" s="5">
        <v>7</v>
      </c>
      <c r="B9" s="6" t="s">
        <v>57</v>
      </c>
      <c r="C9" s="9" t="s">
        <v>50</v>
      </c>
      <c r="D9" s="6" t="s">
        <v>58</v>
      </c>
      <c r="E9" s="7"/>
      <c r="F9" s="7"/>
      <c r="G9" s="7"/>
      <c r="H9" s="7"/>
      <c r="I9" s="7"/>
      <c r="J9" s="7"/>
      <c r="K9" s="7"/>
      <c r="L9" s="7"/>
      <c r="M9" s="7"/>
      <c r="N9" s="7"/>
      <c r="O9" s="7"/>
      <c r="P9" s="7"/>
      <c r="Q9" s="7"/>
      <c r="R9" s="7"/>
      <c r="S9" s="7"/>
      <c r="T9" s="7"/>
      <c r="U9" s="7"/>
      <c r="V9" s="7"/>
      <c r="W9" s="7"/>
      <c r="X9" s="7"/>
      <c r="Y9" s="7"/>
      <c r="Z9" s="7"/>
      <c r="AA9" s="7"/>
      <c r="AB9" s="7"/>
    </row>
    <row r="10" spans="1:28" x14ac:dyDescent="0.25">
      <c r="A10" s="10"/>
      <c r="B10" s="7"/>
      <c r="C10" s="7"/>
      <c r="D10" s="7"/>
      <c r="E10" s="7"/>
      <c r="F10" s="7"/>
      <c r="G10" s="7"/>
      <c r="H10" s="7"/>
      <c r="I10" s="7"/>
      <c r="J10" s="7"/>
      <c r="K10" s="7"/>
      <c r="L10" s="7"/>
      <c r="M10" s="7"/>
      <c r="N10" s="7"/>
      <c r="O10" s="7"/>
      <c r="P10" s="7"/>
      <c r="Q10" s="7"/>
      <c r="R10" s="7"/>
      <c r="S10" s="7"/>
      <c r="T10" s="7"/>
      <c r="U10" s="7"/>
      <c r="V10" s="7"/>
      <c r="W10" s="7"/>
      <c r="X10" s="7"/>
      <c r="Y10" s="7"/>
      <c r="Z10" s="7"/>
      <c r="AA10" s="7"/>
      <c r="AB10" s="7"/>
    </row>
    <row r="11" spans="1:28" x14ac:dyDescent="0.25">
      <c r="A11" s="10"/>
      <c r="B11" s="7"/>
      <c r="C11" s="7"/>
      <c r="D11" s="7"/>
      <c r="E11" s="7"/>
      <c r="F11" s="7"/>
      <c r="G11" s="7"/>
      <c r="H11" s="7"/>
      <c r="I11" s="7"/>
      <c r="J11" s="7"/>
      <c r="K11" s="7"/>
      <c r="L11" s="7"/>
      <c r="M11" s="7"/>
      <c r="N11" s="7"/>
      <c r="O11" s="7"/>
      <c r="P11" s="7"/>
      <c r="Q11" s="7"/>
      <c r="R11" s="7"/>
      <c r="S11" s="7"/>
      <c r="T11" s="7"/>
      <c r="U11" s="7"/>
      <c r="V11" s="7"/>
      <c r="W11" s="7"/>
      <c r="X11" s="7"/>
      <c r="Y11" s="7"/>
      <c r="Z11" s="7"/>
      <c r="AA11" s="7"/>
      <c r="AB11" s="7"/>
    </row>
    <row r="12" spans="1:28" x14ac:dyDescent="0.25">
      <c r="A12" s="10"/>
      <c r="B12" s="7"/>
      <c r="C12" s="7"/>
      <c r="D12" s="7"/>
      <c r="E12" s="7"/>
      <c r="F12" s="7"/>
      <c r="G12" s="7"/>
      <c r="H12" s="7"/>
      <c r="I12" s="7"/>
      <c r="J12" s="7"/>
      <c r="K12" s="7"/>
      <c r="L12" s="7"/>
      <c r="M12" s="7"/>
      <c r="N12" s="7"/>
      <c r="O12" s="7"/>
      <c r="P12" s="7"/>
      <c r="Q12" s="7"/>
      <c r="R12" s="7"/>
      <c r="S12" s="7"/>
      <c r="T12" s="7"/>
      <c r="U12" s="7"/>
      <c r="V12" s="7"/>
      <c r="W12" s="7"/>
      <c r="X12" s="7"/>
      <c r="Y12" s="7"/>
      <c r="Z12" s="7"/>
      <c r="AA12" s="7"/>
      <c r="AB12" s="7"/>
    </row>
    <row r="13" spans="1:28" x14ac:dyDescent="0.25">
      <c r="A13" s="10"/>
      <c r="B13" s="7"/>
      <c r="C13" s="7"/>
      <c r="D13" s="7"/>
      <c r="E13" s="7"/>
      <c r="F13" s="7"/>
      <c r="G13" s="7"/>
      <c r="H13" s="7"/>
      <c r="I13" s="7"/>
      <c r="J13" s="7"/>
      <c r="K13" s="7"/>
      <c r="L13" s="7"/>
      <c r="M13" s="7"/>
      <c r="N13" s="7"/>
      <c r="O13" s="7"/>
      <c r="P13" s="7"/>
      <c r="Q13" s="7"/>
      <c r="R13" s="7"/>
      <c r="S13" s="7"/>
      <c r="T13" s="7"/>
      <c r="U13" s="7"/>
      <c r="V13" s="7"/>
      <c r="W13" s="7"/>
      <c r="X13" s="7"/>
      <c r="Y13" s="7"/>
      <c r="Z13" s="7"/>
      <c r="AA13" s="7"/>
      <c r="AB13" s="7"/>
    </row>
    <row r="14" spans="1:28" x14ac:dyDescent="0.25">
      <c r="A14" s="10"/>
      <c r="B14" s="7"/>
      <c r="C14" s="7"/>
      <c r="D14" s="7"/>
      <c r="E14" s="7"/>
      <c r="F14" s="7"/>
      <c r="G14" s="7"/>
      <c r="H14" s="7"/>
      <c r="I14" s="7"/>
      <c r="J14" s="7"/>
      <c r="K14" s="7"/>
      <c r="L14" s="7"/>
      <c r="M14" s="7"/>
      <c r="N14" s="7"/>
      <c r="O14" s="7"/>
      <c r="P14" s="7"/>
      <c r="Q14" s="7"/>
      <c r="R14" s="7"/>
      <c r="S14" s="7"/>
      <c r="T14" s="7"/>
      <c r="U14" s="7"/>
      <c r="V14" s="7"/>
      <c r="W14" s="7"/>
      <c r="X14" s="7"/>
      <c r="Y14" s="7"/>
      <c r="Z14" s="7"/>
      <c r="AA14" s="7"/>
      <c r="AB14" s="7"/>
    </row>
    <row r="15" spans="1:28" x14ac:dyDescent="0.25">
      <c r="A15" s="10"/>
      <c r="B15" s="7"/>
      <c r="C15" s="7"/>
      <c r="D15" s="7"/>
      <c r="E15" s="7"/>
      <c r="F15" s="7"/>
      <c r="G15" s="7"/>
      <c r="H15" s="7"/>
      <c r="I15" s="7"/>
      <c r="J15" s="7"/>
      <c r="K15" s="7"/>
      <c r="L15" s="7"/>
      <c r="M15" s="7"/>
      <c r="N15" s="7"/>
      <c r="O15" s="7"/>
      <c r="P15" s="7"/>
      <c r="Q15" s="7"/>
      <c r="R15" s="7"/>
      <c r="S15" s="7"/>
      <c r="T15" s="7"/>
      <c r="U15" s="7"/>
      <c r="V15" s="7"/>
      <c r="W15" s="7"/>
      <c r="X15" s="7"/>
      <c r="Y15" s="7"/>
      <c r="Z15" s="7"/>
      <c r="AA15" s="7"/>
      <c r="AB15" s="7"/>
    </row>
    <row r="16" spans="1:28" x14ac:dyDescent="0.25">
      <c r="A16" s="10"/>
      <c r="B16" s="7"/>
      <c r="C16" s="7"/>
      <c r="D16" s="7"/>
      <c r="E16" s="7"/>
      <c r="F16" s="7"/>
      <c r="G16" s="7"/>
      <c r="H16" s="7"/>
      <c r="I16" s="7"/>
      <c r="J16" s="7"/>
      <c r="K16" s="7"/>
      <c r="L16" s="7"/>
      <c r="M16" s="7"/>
      <c r="N16" s="7"/>
      <c r="O16" s="7"/>
      <c r="P16" s="7"/>
      <c r="Q16" s="7"/>
      <c r="R16" s="7"/>
      <c r="S16" s="7"/>
      <c r="T16" s="7"/>
      <c r="U16" s="7"/>
      <c r="V16" s="7"/>
      <c r="W16" s="7"/>
      <c r="X16" s="7"/>
      <c r="Y16" s="7"/>
      <c r="Z16" s="7"/>
      <c r="AA16" s="7"/>
      <c r="AB16" s="7"/>
    </row>
    <row r="17" spans="1:28" x14ac:dyDescent="0.25">
      <c r="A17" s="10"/>
      <c r="B17" s="7"/>
      <c r="C17" s="7"/>
      <c r="D17" s="7"/>
      <c r="E17" s="7"/>
      <c r="F17" s="7"/>
      <c r="G17" s="7"/>
      <c r="H17" s="7"/>
      <c r="I17" s="7"/>
      <c r="J17" s="7"/>
      <c r="K17" s="7"/>
      <c r="L17" s="7"/>
      <c r="M17" s="7"/>
      <c r="N17" s="7"/>
      <c r="O17" s="7"/>
      <c r="P17" s="7"/>
      <c r="Q17" s="7"/>
      <c r="R17" s="7"/>
      <c r="S17" s="7"/>
      <c r="T17" s="7"/>
      <c r="U17" s="7"/>
      <c r="V17" s="7"/>
      <c r="W17" s="7"/>
      <c r="X17" s="7"/>
      <c r="Y17" s="7"/>
      <c r="Z17" s="7"/>
      <c r="AA17" s="7"/>
      <c r="AB17" s="7"/>
    </row>
    <row r="18" spans="1:28" x14ac:dyDescent="0.25">
      <c r="A18" s="10"/>
      <c r="B18" s="7"/>
      <c r="C18" s="7"/>
      <c r="D18" s="7"/>
      <c r="E18" s="7"/>
      <c r="F18" s="7"/>
      <c r="G18" s="7"/>
      <c r="H18" s="7"/>
      <c r="I18" s="7"/>
      <c r="J18" s="7"/>
      <c r="K18" s="7"/>
      <c r="L18" s="7"/>
      <c r="M18" s="7"/>
      <c r="N18" s="7"/>
      <c r="O18" s="7"/>
      <c r="P18" s="7"/>
      <c r="Q18" s="7"/>
      <c r="R18" s="7"/>
      <c r="S18" s="7"/>
      <c r="T18" s="7"/>
      <c r="U18" s="7"/>
      <c r="V18" s="7"/>
      <c r="W18" s="7"/>
      <c r="X18" s="7"/>
      <c r="Y18" s="7"/>
      <c r="Z18" s="7"/>
      <c r="AA18" s="7"/>
      <c r="AB18" s="7"/>
    </row>
    <row r="19" spans="1:28" x14ac:dyDescent="0.25">
      <c r="A19" s="10"/>
      <c r="B19" s="7"/>
      <c r="C19" s="7"/>
      <c r="D19" s="7"/>
      <c r="E19" s="7"/>
      <c r="F19" s="7"/>
      <c r="G19" s="7"/>
      <c r="H19" s="7"/>
      <c r="I19" s="7"/>
      <c r="J19" s="7"/>
      <c r="K19" s="7"/>
      <c r="L19" s="7"/>
      <c r="M19" s="7"/>
      <c r="N19" s="7"/>
      <c r="O19" s="7"/>
      <c r="P19" s="7"/>
      <c r="Q19" s="7"/>
      <c r="R19" s="7"/>
      <c r="S19" s="7"/>
      <c r="T19" s="7"/>
      <c r="U19" s="7"/>
      <c r="V19" s="7"/>
      <c r="W19" s="7"/>
      <c r="X19" s="7"/>
      <c r="Y19" s="7"/>
      <c r="Z19" s="7"/>
      <c r="AA19" s="7"/>
      <c r="AB19" s="7"/>
    </row>
    <row r="20" spans="1:28" x14ac:dyDescent="0.25">
      <c r="A20" s="10"/>
      <c r="B20" s="7"/>
      <c r="C20" s="7"/>
      <c r="D20" s="7"/>
      <c r="E20" s="7"/>
      <c r="F20" s="7"/>
      <c r="G20" s="7"/>
      <c r="H20" s="7"/>
      <c r="I20" s="7"/>
      <c r="J20" s="7"/>
      <c r="K20" s="7"/>
      <c r="L20" s="7"/>
      <c r="M20" s="7"/>
      <c r="N20" s="7"/>
      <c r="O20" s="7"/>
      <c r="P20" s="7"/>
      <c r="Q20" s="7"/>
      <c r="R20" s="7"/>
      <c r="S20" s="7"/>
      <c r="T20" s="7"/>
      <c r="U20" s="7"/>
      <c r="V20" s="7"/>
      <c r="W20" s="7"/>
      <c r="X20" s="7"/>
      <c r="Y20" s="7"/>
      <c r="Z20" s="7"/>
      <c r="AA20" s="7"/>
      <c r="AB20" s="7"/>
    </row>
    <row r="21" spans="1:28" x14ac:dyDescent="0.25">
      <c r="A21" s="10"/>
      <c r="B21" s="7"/>
      <c r="C21" s="7"/>
      <c r="D21" s="7"/>
      <c r="E21" s="7"/>
      <c r="F21" s="7"/>
      <c r="G21" s="7"/>
      <c r="H21" s="7"/>
      <c r="I21" s="7"/>
      <c r="J21" s="7"/>
      <c r="K21" s="7"/>
      <c r="L21" s="7"/>
      <c r="M21" s="7"/>
      <c r="N21" s="7"/>
      <c r="O21" s="7"/>
      <c r="P21" s="7"/>
      <c r="Q21" s="7"/>
      <c r="R21" s="7"/>
      <c r="S21" s="7"/>
      <c r="T21" s="7"/>
      <c r="U21" s="7"/>
      <c r="V21" s="7"/>
      <c r="W21" s="7"/>
      <c r="X21" s="7"/>
      <c r="Y21" s="7"/>
      <c r="Z21" s="7"/>
      <c r="AA21" s="7"/>
      <c r="AB21" s="7"/>
    </row>
    <row r="22" spans="1:28" x14ac:dyDescent="0.25">
      <c r="A22" s="10"/>
      <c r="B22" s="7"/>
      <c r="C22" s="7"/>
      <c r="D22" s="7"/>
      <c r="E22" s="7"/>
      <c r="F22" s="7"/>
      <c r="G22" s="7"/>
      <c r="H22" s="7"/>
      <c r="I22" s="7"/>
      <c r="J22" s="7"/>
      <c r="K22" s="7"/>
      <c r="L22" s="7"/>
      <c r="M22" s="7"/>
      <c r="N22" s="7"/>
      <c r="O22" s="7"/>
      <c r="P22" s="7"/>
      <c r="Q22" s="7"/>
      <c r="R22" s="7"/>
      <c r="S22" s="7"/>
      <c r="T22" s="7"/>
      <c r="U22" s="7"/>
      <c r="V22" s="7"/>
      <c r="W22" s="7"/>
      <c r="X22" s="7"/>
      <c r="Y22" s="7"/>
      <c r="Z22" s="7"/>
      <c r="AA22" s="7"/>
      <c r="AB22" s="7"/>
    </row>
    <row r="23" spans="1:28" x14ac:dyDescent="0.25">
      <c r="A23" s="10"/>
      <c r="B23" s="7"/>
      <c r="C23" s="7"/>
      <c r="D23" s="7"/>
      <c r="E23" s="7"/>
      <c r="F23" s="7"/>
      <c r="G23" s="7"/>
      <c r="H23" s="7"/>
      <c r="I23" s="7"/>
      <c r="J23" s="7"/>
      <c r="K23" s="7"/>
      <c r="L23" s="7"/>
      <c r="M23" s="7"/>
      <c r="N23" s="7"/>
      <c r="O23" s="7"/>
      <c r="P23" s="7"/>
      <c r="Q23" s="7"/>
      <c r="R23" s="7"/>
      <c r="S23" s="7"/>
      <c r="T23" s="7"/>
      <c r="U23" s="7"/>
      <c r="V23" s="7"/>
      <c r="W23" s="7"/>
      <c r="X23" s="7"/>
      <c r="Y23" s="7"/>
      <c r="Z23" s="7"/>
      <c r="AA23" s="7"/>
      <c r="AB23" s="7"/>
    </row>
    <row r="24" spans="1:28" x14ac:dyDescent="0.25">
      <c r="A24" s="10"/>
      <c r="B24" s="7"/>
      <c r="C24" s="7"/>
      <c r="D24" s="7"/>
      <c r="E24" s="7"/>
      <c r="F24" s="7"/>
      <c r="G24" s="7"/>
      <c r="H24" s="7"/>
      <c r="I24" s="7"/>
      <c r="J24" s="7"/>
      <c r="K24" s="7"/>
      <c r="L24" s="7"/>
      <c r="M24" s="7"/>
      <c r="N24" s="7"/>
      <c r="O24" s="7"/>
      <c r="P24" s="7"/>
      <c r="Q24" s="7"/>
      <c r="R24" s="7"/>
      <c r="S24" s="7"/>
      <c r="T24" s="7"/>
      <c r="U24" s="7"/>
      <c r="V24" s="7"/>
      <c r="W24" s="7"/>
      <c r="X24" s="7"/>
      <c r="Y24" s="7"/>
      <c r="Z24" s="7"/>
      <c r="AA24" s="7"/>
      <c r="AB24" s="7"/>
    </row>
    <row r="25" spans="1:28" x14ac:dyDescent="0.25">
      <c r="A25" s="10"/>
      <c r="B25" s="7"/>
      <c r="C25" s="7"/>
      <c r="D25" s="7"/>
      <c r="E25" s="7"/>
      <c r="F25" s="7"/>
      <c r="G25" s="7"/>
      <c r="H25" s="7"/>
      <c r="I25" s="7"/>
      <c r="J25" s="7"/>
      <c r="K25" s="7"/>
      <c r="L25" s="7"/>
      <c r="M25" s="7"/>
      <c r="N25" s="7"/>
      <c r="O25" s="7"/>
      <c r="P25" s="7"/>
      <c r="Q25" s="7"/>
      <c r="R25" s="7"/>
      <c r="S25" s="7"/>
      <c r="T25" s="7"/>
      <c r="U25" s="7"/>
      <c r="V25" s="7"/>
      <c r="W25" s="7"/>
      <c r="X25" s="7"/>
      <c r="Y25" s="7"/>
      <c r="Z25" s="7"/>
      <c r="AA25" s="7"/>
      <c r="AB25" s="7"/>
    </row>
    <row r="26" spans="1:28" x14ac:dyDescent="0.25">
      <c r="A26" s="10"/>
      <c r="B26" s="7"/>
      <c r="C26" s="7"/>
      <c r="D26" s="7"/>
      <c r="E26" s="7"/>
      <c r="F26" s="7"/>
      <c r="G26" s="7"/>
      <c r="H26" s="7"/>
      <c r="I26" s="7"/>
      <c r="J26" s="7"/>
      <c r="K26" s="7"/>
      <c r="L26" s="7"/>
      <c r="M26" s="7"/>
      <c r="N26" s="7"/>
      <c r="O26" s="7"/>
      <c r="P26" s="7"/>
      <c r="Q26" s="7"/>
      <c r="R26" s="7"/>
      <c r="S26" s="7"/>
      <c r="T26" s="7"/>
      <c r="U26" s="7"/>
      <c r="V26" s="7"/>
      <c r="W26" s="7"/>
      <c r="X26" s="7"/>
      <c r="Y26" s="7"/>
      <c r="Z26" s="7"/>
      <c r="AA26" s="7"/>
      <c r="AB26" s="7"/>
    </row>
    <row r="27" spans="1:28" x14ac:dyDescent="0.25">
      <c r="A27" s="10"/>
      <c r="B27" s="7"/>
      <c r="C27" s="7"/>
      <c r="D27" s="7"/>
      <c r="E27" s="7"/>
      <c r="F27" s="7"/>
      <c r="G27" s="7"/>
      <c r="H27" s="7"/>
      <c r="I27" s="7"/>
      <c r="J27" s="7"/>
      <c r="K27" s="7"/>
      <c r="L27" s="7"/>
      <c r="M27" s="7"/>
      <c r="N27" s="7"/>
      <c r="O27" s="7"/>
      <c r="P27" s="7"/>
      <c r="Q27" s="7"/>
      <c r="R27" s="7"/>
      <c r="S27" s="7"/>
      <c r="T27" s="7"/>
      <c r="U27" s="7"/>
      <c r="V27" s="7"/>
      <c r="W27" s="7"/>
      <c r="X27" s="7"/>
      <c r="Y27" s="7"/>
      <c r="Z27" s="7"/>
      <c r="AA27" s="7"/>
      <c r="AB27" s="7"/>
    </row>
    <row r="28" spans="1:28" x14ac:dyDescent="0.25">
      <c r="A28" s="10"/>
      <c r="B28" s="7"/>
      <c r="C28" s="7"/>
      <c r="D28" s="7"/>
      <c r="E28" s="7"/>
      <c r="F28" s="7"/>
      <c r="G28" s="7"/>
      <c r="H28" s="7"/>
      <c r="I28" s="7"/>
      <c r="J28" s="7"/>
      <c r="K28" s="7"/>
      <c r="L28" s="7"/>
      <c r="M28" s="7"/>
      <c r="N28" s="7"/>
      <c r="O28" s="7"/>
      <c r="P28" s="7"/>
      <c r="Q28" s="7"/>
      <c r="R28" s="7"/>
      <c r="S28" s="7"/>
      <c r="T28" s="7"/>
      <c r="U28" s="7"/>
      <c r="V28" s="7"/>
      <c r="W28" s="7"/>
      <c r="X28" s="7"/>
      <c r="Y28" s="7"/>
      <c r="Z28" s="7"/>
      <c r="AA28" s="7"/>
      <c r="AB28" s="7"/>
    </row>
    <row r="29" spans="1:28" x14ac:dyDescent="0.25">
      <c r="A29" s="10"/>
      <c r="B29" s="7"/>
      <c r="C29" s="7"/>
      <c r="D29" s="7"/>
      <c r="E29" s="7"/>
      <c r="F29" s="7"/>
      <c r="G29" s="7"/>
      <c r="H29" s="7"/>
      <c r="I29" s="7"/>
      <c r="J29" s="7"/>
      <c r="K29" s="7"/>
      <c r="L29" s="7"/>
      <c r="M29" s="7"/>
      <c r="N29" s="7"/>
      <c r="O29" s="7"/>
      <c r="P29" s="7"/>
      <c r="Q29" s="7"/>
      <c r="R29" s="7"/>
      <c r="S29" s="7"/>
      <c r="T29" s="7"/>
      <c r="U29" s="7"/>
      <c r="V29" s="7"/>
      <c r="W29" s="7"/>
      <c r="X29" s="7"/>
      <c r="Y29" s="7"/>
      <c r="Z29" s="7"/>
      <c r="AA29" s="7"/>
      <c r="AB29" s="7"/>
    </row>
    <row r="30" spans="1:28" x14ac:dyDescent="0.25">
      <c r="A30" s="10"/>
      <c r="B30" s="7"/>
      <c r="C30" s="7"/>
      <c r="D30" s="7"/>
      <c r="E30" s="7"/>
      <c r="F30" s="7"/>
      <c r="G30" s="7"/>
      <c r="H30" s="7"/>
      <c r="I30" s="7"/>
      <c r="J30" s="7"/>
      <c r="K30" s="7"/>
      <c r="L30" s="7"/>
      <c r="M30" s="7"/>
      <c r="N30" s="7"/>
      <c r="O30" s="7"/>
      <c r="P30" s="7"/>
      <c r="Q30" s="7"/>
      <c r="R30" s="7"/>
      <c r="S30" s="7"/>
      <c r="T30" s="7"/>
      <c r="U30" s="7"/>
      <c r="V30" s="7"/>
      <c r="W30" s="7"/>
      <c r="X30" s="7"/>
      <c r="Y30" s="7"/>
      <c r="Z30" s="7"/>
      <c r="AA30" s="7"/>
      <c r="AB30" s="7"/>
    </row>
    <row r="31" spans="1:28" x14ac:dyDescent="0.25">
      <c r="A31" s="10"/>
      <c r="B31" s="7"/>
      <c r="C31" s="7"/>
      <c r="D31" s="7"/>
      <c r="E31" s="7"/>
      <c r="F31" s="7"/>
      <c r="G31" s="7"/>
      <c r="H31" s="7"/>
      <c r="I31" s="7"/>
      <c r="J31" s="7"/>
      <c r="K31" s="7"/>
      <c r="L31" s="7"/>
      <c r="M31" s="7"/>
      <c r="N31" s="7"/>
      <c r="O31" s="7"/>
      <c r="P31" s="7"/>
      <c r="Q31" s="7"/>
      <c r="R31" s="7"/>
      <c r="S31" s="7"/>
      <c r="T31" s="7"/>
      <c r="U31" s="7"/>
      <c r="V31" s="7"/>
      <c r="W31" s="7"/>
      <c r="X31" s="7"/>
      <c r="Y31" s="7"/>
      <c r="Z31" s="7"/>
      <c r="AA31" s="7"/>
      <c r="AB31" s="7"/>
    </row>
    <row r="32" spans="1:28" x14ac:dyDescent="0.25">
      <c r="A32" s="10"/>
      <c r="B32" s="7"/>
      <c r="C32" s="7"/>
      <c r="D32" s="7"/>
      <c r="E32" s="7"/>
      <c r="F32" s="7"/>
      <c r="G32" s="7"/>
      <c r="H32" s="7"/>
      <c r="I32" s="7"/>
      <c r="J32" s="7"/>
      <c r="K32" s="7"/>
      <c r="L32" s="7"/>
      <c r="M32" s="7"/>
      <c r="N32" s="7"/>
      <c r="O32" s="7"/>
      <c r="P32" s="7"/>
      <c r="Q32" s="7"/>
      <c r="R32" s="7"/>
      <c r="S32" s="7"/>
      <c r="T32" s="7"/>
      <c r="U32" s="7"/>
      <c r="V32" s="7"/>
      <c r="W32" s="7"/>
      <c r="X32" s="7"/>
      <c r="Y32" s="7"/>
      <c r="Z32" s="7"/>
      <c r="AA32" s="7"/>
      <c r="AB32" s="7"/>
    </row>
    <row r="33" spans="1:28" x14ac:dyDescent="0.25">
      <c r="A33" s="10"/>
      <c r="B33" s="7"/>
      <c r="C33" s="7"/>
      <c r="D33" s="7"/>
      <c r="E33" s="7"/>
      <c r="F33" s="7"/>
      <c r="G33" s="7"/>
      <c r="H33" s="7"/>
      <c r="I33" s="7"/>
      <c r="J33" s="7"/>
      <c r="K33" s="7"/>
      <c r="L33" s="7"/>
      <c r="M33" s="7"/>
      <c r="N33" s="7"/>
      <c r="O33" s="7"/>
      <c r="P33" s="7"/>
      <c r="Q33" s="7"/>
      <c r="R33" s="7"/>
      <c r="S33" s="7"/>
      <c r="T33" s="7"/>
      <c r="U33" s="7"/>
      <c r="V33" s="7"/>
      <c r="W33" s="7"/>
      <c r="X33" s="7"/>
      <c r="Y33" s="7"/>
      <c r="Z33" s="7"/>
      <c r="AA33" s="7"/>
      <c r="AB33" s="7"/>
    </row>
    <row r="34" spans="1:28" x14ac:dyDescent="0.25">
      <c r="A34" s="10"/>
      <c r="B34" s="7"/>
      <c r="C34" s="7"/>
      <c r="D34" s="7"/>
      <c r="E34" s="7"/>
      <c r="F34" s="7"/>
      <c r="G34" s="7"/>
      <c r="H34" s="7"/>
      <c r="I34" s="7"/>
      <c r="J34" s="7"/>
      <c r="K34" s="7"/>
      <c r="L34" s="7"/>
      <c r="M34" s="7"/>
      <c r="N34" s="7"/>
      <c r="O34" s="7"/>
      <c r="P34" s="7"/>
      <c r="Q34" s="7"/>
      <c r="R34" s="7"/>
      <c r="S34" s="7"/>
      <c r="T34" s="7"/>
      <c r="U34" s="7"/>
      <c r="V34" s="7"/>
      <c r="W34" s="7"/>
      <c r="X34" s="7"/>
      <c r="Y34" s="7"/>
      <c r="Z34" s="7"/>
      <c r="AA34" s="7"/>
      <c r="AB34" s="7"/>
    </row>
    <row r="35" spans="1:28" x14ac:dyDescent="0.25">
      <c r="A35" s="10"/>
      <c r="B35" s="7"/>
      <c r="C35" s="7"/>
      <c r="D35" s="7"/>
      <c r="E35" s="7"/>
      <c r="F35" s="7"/>
      <c r="G35" s="7"/>
      <c r="H35" s="7"/>
      <c r="I35" s="7"/>
      <c r="J35" s="7"/>
      <c r="K35" s="7"/>
      <c r="L35" s="7"/>
      <c r="M35" s="7"/>
      <c r="N35" s="7"/>
      <c r="O35" s="7"/>
      <c r="P35" s="7"/>
      <c r="Q35" s="7"/>
      <c r="R35" s="7"/>
      <c r="S35" s="7"/>
      <c r="T35" s="7"/>
      <c r="U35" s="7"/>
      <c r="V35" s="7"/>
      <c r="W35" s="7"/>
      <c r="X35" s="7"/>
      <c r="Y35" s="7"/>
      <c r="Z35" s="7"/>
      <c r="AA35" s="7"/>
      <c r="AB35" s="7"/>
    </row>
    <row r="36" spans="1:28" x14ac:dyDescent="0.25">
      <c r="A36" s="10"/>
      <c r="B36" s="7"/>
      <c r="C36" s="7"/>
      <c r="D36" s="7"/>
      <c r="E36" s="7"/>
      <c r="F36" s="7"/>
      <c r="G36" s="7"/>
      <c r="H36" s="7"/>
      <c r="I36" s="7"/>
      <c r="J36" s="7"/>
      <c r="K36" s="7"/>
      <c r="L36" s="7"/>
      <c r="M36" s="7"/>
      <c r="N36" s="7"/>
      <c r="O36" s="7"/>
      <c r="P36" s="7"/>
      <c r="Q36" s="7"/>
      <c r="R36" s="7"/>
      <c r="S36" s="7"/>
      <c r="T36" s="7"/>
      <c r="U36" s="7"/>
      <c r="V36" s="7"/>
      <c r="W36" s="7"/>
      <c r="X36" s="7"/>
      <c r="Y36" s="7"/>
      <c r="Z36" s="7"/>
      <c r="AA36" s="7"/>
      <c r="AB36" s="7"/>
    </row>
    <row r="37" spans="1:28" x14ac:dyDescent="0.25">
      <c r="A37" s="10"/>
      <c r="B37" s="7"/>
      <c r="C37" s="7"/>
      <c r="D37" s="7"/>
      <c r="E37" s="7"/>
      <c r="F37" s="7"/>
      <c r="G37" s="7"/>
      <c r="H37" s="7"/>
      <c r="I37" s="7"/>
      <c r="J37" s="7"/>
      <c r="K37" s="7"/>
      <c r="L37" s="7"/>
      <c r="M37" s="7"/>
      <c r="N37" s="7"/>
      <c r="O37" s="7"/>
      <c r="P37" s="7"/>
      <c r="Q37" s="7"/>
      <c r="R37" s="7"/>
      <c r="S37" s="7"/>
      <c r="T37" s="7"/>
      <c r="U37" s="7"/>
      <c r="V37" s="7"/>
      <c r="W37" s="7"/>
      <c r="X37" s="7"/>
      <c r="Y37" s="7"/>
      <c r="Z37" s="7"/>
      <c r="AA37" s="7"/>
      <c r="AB37" s="7"/>
    </row>
    <row r="38" spans="1:28" x14ac:dyDescent="0.25">
      <c r="A38" s="10"/>
      <c r="B38" s="7"/>
      <c r="C38" s="7"/>
      <c r="D38" s="7"/>
      <c r="E38" s="7"/>
      <c r="F38" s="7"/>
      <c r="G38" s="7"/>
      <c r="H38" s="7"/>
      <c r="I38" s="7"/>
      <c r="J38" s="7"/>
      <c r="K38" s="7"/>
      <c r="L38" s="7"/>
      <c r="M38" s="7"/>
      <c r="N38" s="7"/>
      <c r="O38" s="7"/>
      <c r="P38" s="7"/>
      <c r="Q38" s="7"/>
      <c r="R38" s="7"/>
      <c r="S38" s="7"/>
      <c r="T38" s="7"/>
      <c r="U38" s="7"/>
      <c r="V38" s="7"/>
      <c r="W38" s="7"/>
      <c r="X38" s="7"/>
      <c r="Y38" s="7"/>
      <c r="Z38" s="7"/>
      <c r="AA38" s="7"/>
      <c r="AB38" s="7"/>
    </row>
    <row r="39" spans="1:28" x14ac:dyDescent="0.25">
      <c r="A39" s="10"/>
      <c r="B39" s="7"/>
      <c r="C39" s="7"/>
      <c r="D39" s="7"/>
      <c r="E39" s="7"/>
      <c r="F39" s="7"/>
      <c r="G39" s="7"/>
      <c r="H39" s="7"/>
      <c r="I39" s="7"/>
      <c r="J39" s="7"/>
      <c r="K39" s="7"/>
      <c r="L39" s="7"/>
      <c r="M39" s="7"/>
      <c r="N39" s="7"/>
      <c r="O39" s="7"/>
      <c r="P39" s="7"/>
      <c r="Q39" s="7"/>
      <c r="R39" s="7"/>
      <c r="S39" s="7"/>
      <c r="T39" s="7"/>
      <c r="U39" s="7"/>
      <c r="V39" s="7"/>
      <c r="W39" s="7"/>
      <c r="X39" s="7"/>
      <c r="Y39" s="7"/>
      <c r="Z39" s="7"/>
      <c r="AA39" s="7"/>
      <c r="AB39" s="7"/>
    </row>
    <row r="40" spans="1:28" x14ac:dyDescent="0.25">
      <c r="A40" s="10"/>
      <c r="B40" s="7"/>
      <c r="C40" s="7"/>
      <c r="D40" s="7"/>
      <c r="E40" s="7"/>
      <c r="F40" s="7"/>
      <c r="G40" s="7"/>
      <c r="H40" s="7"/>
      <c r="I40" s="7"/>
      <c r="J40" s="7"/>
      <c r="K40" s="7"/>
      <c r="L40" s="7"/>
      <c r="M40" s="7"/>
      <c r="N40" s="7"/>
      <c r="O40" s="7"/>
      <c r="P40" s="7"/>
      <c r="Q40" s="7"/>
      <c r="R40" s="7"/>
      <c r="S40" s="7"/>
      <c r="T40" s="7"/>
      <c r="U40" s="7"/>
      <c r="V40" s="7"/>
      <c r="W40" s="7"/>
      <c r="X40" s="7"/>
      <c r="Y40" s="7"/>
      <c r="Z40" s="7"/>
      <c r="AA40" s="7"/>
      <c r="AB40" s="7"/>
    </row>
    <row r="41" spans="1:28" x14ac:dyDescent="0.25">
      <c r="A41" s="10"/>
      <c r="B41" s="7"/>
      <c r="C41" s="7"/>
      <c r="D41" s="7"/>
      <c r="E41" s="7"/>
      <c r="F41" s="7"/>
      <c r="G41" s="7"/>
      <c r="H41" s="7"/>
      <c r="I41" s="7"/>
      <c r="J41" s="7"/>
      <c r="K41" s="7"/>
      <c r="L41" s="7"/>
      <c r="M41" s="7"/>
      <c r="N41" s="7"/>
      <c r="O41" s="7"/>
      <c r="P41" s="7"/>
      <c r="Q41" s="7"/>
      <c r="R41" s="7"/>
      <c r="S41" s="7"/>
      <c r="T41" s="7"/>
      <c r="U41" s="7"/>
      <c r="V41" s="7"/>
      <c r="W41" s="7"/>
      <c r="X41" s="7"/>
      <c r="Y41" s="7"/>
      <c r="Z41" s="7"/>
      <c r="AA41" s="7"/>
      <c r="AB41" s="7"/>
    </row>
    <row r="42" spans="1:28" x14ac:dyDescent="0.25">
      <c r="A42" s="10"/>
      <c r="B42" s="7"/>
      <c r="C42" s="7"/>
      <c r="D42" s="7"/>
      <c r="E42" s="7"/>
      <c r="F42" s="7"/>
      <c r="G42" s="7"/>
      <c r="H42" s="7"/>
      <c r="I42" s="7"/>
      <c r="J42" s="7"/>
      <c r="K42" s="7"/>
      <c r="L42" s="7"/>
      <c r="M42" s="7"/>
      <c r="N42" s="7"/>
      <c r="O42" s="7"/>
      <c r="P42" s="7"/>
      <c r="Q42" s="7"/>
      <c r="R42" s="7"/>
      <c r="S42" s="7"/>
      <c r="T42" s="7"/>
      <c r="U42" s="7"/>
      <c r="V42" s="7"/>
      <c r="W42" s="7"/>
      <c r="X42" s="7"/>
      <c r="Y42" s="7"/>
      <c r="Z42" s="7"/>
      <c r="AA42" s="7"/>
      <c r="AB42" s="7"/>
    </row>
    <row r="43" spans="1:28" x14ac:dyDescent="0.25">
      <c r="A43" s="10"/>
      <c r="B43" s="7"/>
      <c r="C43" s="7"/>
      <c r="D43" s="7"/>
      <c r="E43" s="7"/>
      <c r="F43" s="7"/>
      <c r="G43" s="7"/>
      <c r="H43" s="7"/>
      <c r="I43" s="7"/>
      <c r="J43" s="7"/>
      <c r="K43" s="7"/>
      <c r="L43" s="7"/>
      <c r="M43" s="7"/>
      <c r="N43" s="7"/>
      <c r="O43" s="7"/>
      <c r="P43" s="7"/>
      <c r="Q43" s="7"/>
      <c r="R43" s="7"/>
      <c r="S43" s="7"/>
      <c r="T43" s="7"/>
      <c r="U43" s="7"/>
      <c r="V43" s="7"/>
      <c r="W43" s="7"/>
      <c r="X43" s="7"/>
      <c r="Y43" s="7"/>
      <c r="Z43" s="7"/>
      <c r="AA43" s="7"/>
      <c r="AB43" s="7"/>
    </row>
    <row r="44" spans="1:28" x14ac:dyDescent="0.25">
      <c r="A44" s="10"/>
      <c r="B44" s="7"/>
      <c r="C44" s="7"/>
      <c r="D44" s="7"/>
      <c r="E44" s="7"/>
      <c r="F44" s="7"/>
      <c r="G44" s="7"/>
      <c r="H44" s="7"/>
      <c r="I44" s="7"/>
      <c r="J44" s="7"/>
      <c r="K44" s="7"/>
      <c r="L44" s="7"/>
      <c r="M44" s="7"/>
      <c r="N44" s="7"/>
      <c r="O44" s="7"/>
      <c r="P44" s="7"/>
      <c r="Q44" s="7"/>
      <c r="R44" s="7"/>
      <c r="S44" s="7"/>
      <c r="T44" s="7"/>
      <c r="U44" s="7"/>
      <c r="V44" s="7"/>
      <c r="W44" s="7"/>
      <c r="X44" s="7"/>
      <c r="Y44" s="7"/>
      <c r="Z44" s="7"/>
      <c r="AA44" s="7"/>
      <c r="AB44" s="7"/>
    </row>
    <row r="45" spans="1:28" x14ac:dyDescent="0.25">
      <c r="A45" s="10"/>
      <c r="B45" s="7"/>
      <c r="C45" s="7"/>
      <c r="D45" s="7"/>
      <c r="E45" s="7"/>
      <c r="F45" s="7"/>
      <c r="G45" s="7"/>
      <c r="H45" s="7"/>
      <c r="I45" s="7"/>
      <c r="J45" s="7"/>
      <c r="K45" s="7"/>
      <c r="L45" s="7"/>
      <c r="M45" s="7"/>
      <c r="N45" s="7"/>
      <c r="O45" s="7"/>
      <c r="P45" s="7"/>
      <c r="Q45" s="7"/>
      <c r="R45" s="7"/>
      <c r="S45" s="7"/>
      <c r="T45" s="7"/>
      <c r="U45" s="7"/>
      <c r="V45" s="7"/>
      <c r="W45" s="7"/>
      <c r="X45" s="7"/>
      <c r="Y45" s="7"/>
      <c r="Z45" s="7"/>
      <c r="AA45" s="7"/>
      <c r="AB45" s="7"/>
    </row>
    <row r="46" spans="1:28" x14ac:dyDescent="0.25">
      <c r="A46" s="10"/>
      <c r="B46" s="7"/>
      <c r="C46" s="7"/>
      <c r="D46" s="7"/>
      <c r="E46" s="7"/>
      <c r="F46" s="7"/>
      <c r="G46" s="7"/>
      <c r="H46" s="7"/>
      <c r="I46" s="7"/>
      <c r="J46" s="7"/>
      <c r="K46" s="7"/>
      <c r="L46" s="7"/>
      <c r="M46" s="7"/>
      <c r="N46" s="7"/>
      <c r="O46" s="7"/>
      <c r="P46" s="7"/>
      <c r="Q46" s="7"/>
      <c r="R46" s="7"/>
      <c r="S46" s="7"/>
      <c r="T46" s="7"/>
      <c r="U46" s="7"/>
      <c r="V46" s="7"/>
      <c r="W46" s="7"/>
      <c r="X46" s="7"/>
      <c r="Y46" s="7"/>
      <c r="Z46" s="7"/>
      <c r="AA46" s="7"/>
      <c r="AB46" s="7"/>
    </row>
    <row r="47" spans="1:28" x14ac:dyDescent="0.25">
      <c r="A47" s="10"/>
      <c r="B47" s="7"/>
      <c r="C47" s="7"/>
      <c r="D47" s="7"/>
      <c r="E47" s="7"/>
      <c r="F47" s="7"/>
      <c r="G47" s="7"/>
      <c r="H47" s="7"/>
      <c r="I47" s="7"/>
      <c r="J47" s="7"/>
      <c r="K47" s="7"/>
      <c r="L47" s="7"/>
      <c r="M47" s="7"/>
      <c r="N47" s="7"/>
      <c r="O47" s="7"/>
      <c r="P47" s="7"/>
      <c r="Q47" s="7"/>
      <c r="R47" s="7"/>
      <c r="S47" s="7"/>
      <c r="T47" s="7"/>
      <c r="U47" s="7"/>
      <c r="V47" s="7"/>
      <c r="W47" s="7"/>
      <c r="X47" s="7"/>
      <c r="Y47" s="7"/>
      <c r="Z47" s="7"/>
      <c r="AA47" s="7"/>
      <c r="AB47" s="7"/>
    </row>
    <row r="48" spans="1:28" x14ac:dyDescent="0.25">
      <c r="A48" s="10"/>
      <c r="B48" s="7"/>
      <c r="C48" s="7"/>
      <c r="D48" s="7"/>
      <c r="E48" s="7"/>
      <c r="F48" s="7"/>
      <c r="G48" s="7"/>
      <c r="H48" s="7"/>
      <c r="I48" s="7"/>
      <c r="J48" s="7"/>
      <c r="K48" s="7"/>
      <c r="L48" s="7"/>
      <c r="M48" s="7"/>
      <c r="N48" s="7"/>
      <c r="O48" s="7"/>
      <c r="P48" s="7"/>
      <c r="Q48" s="7"/>
      <c r="R48" s="7"/>
      <c r="S48" s="7"/>
      <c r="T48" s="7"/>
      <c r="U48" s="7"/>
      <c r="V48" s="7"/>
      <c r="W48" s="7"/>
      <c r="X48" s="7"/>
      <c r="Y48" s="7"/>
      <c r="Z48" s="7"/>
      <c r="AA48" s="7"/>
      <c r="AB48" s="7"/>
    </row>
    <row r="49" spans="1:28" x14ac:dyDescent="0.25">
      <c r="A49" s="10"/>
      <c r="B49" s="7"/>
      <c r="C49" s="7"/>
      <c r="D49" s="7"/>
      <c r="E49" s="7"/>
      <c r="F49" s="7"/>
      <c r="G49" s="7"/>
      <c r="H49" s="7"/>
      <c r="I49" s="7"/>
      <c r="J49" s="7"/>
      <c r="K49" s="7"/>
      <c r="L49" s="7"/>
      <c r="M49" s="7"/>
      <c r="N49" s="7"/>
      <c r="O49" s="7"/>
      <c r="P49" s="7"/>
      <c r="Q49" s="7"/>
      <c r="R49" s="7"/>
      <c r="S49" s="7"/>
      <c r="T49" s="7"/>
      <c r="U49" s="7"/>
      <c r="V49" s="7"/>
      <c r="W49" s="7"/>
      <c r="X49" s="7"/>
      <c r="Y49" s="7"/>
      <c r="Z49" s="7"/>
      <c r="AA49" s="7"/>
      <c r="AB49" s="7"/>
    </row>
    <row r="50" spans="1:28" x14ac:dyDescent="0.25">
      <c r="A50" s="10"/>
      <c r="B50" s="7"/>
      <c r="C50" s="7"/>
      <c r="D50" s="7"/>
      <c r="E50" s="7"/>
      <c r="F50" s="7"/>
      <c r="G50" s="7"/>
      <c r="H50" s="7"/>
      <c r="I50" s="7"/>
      <c r="J50" s="7"/>
      <c r="K50" s="7"/>
      <c r="L50" s="7"/>
      <c r="M50" s="7"/>
      <c r="N50" s="7"/>
      <c r="O50" s="7"/>
      <c r="P50" s="7"/>
      <c r="Q50" s="7"/>
      <c r="R50" s="7"/>
      <c r="S50" s="7"/>
      <c r="T50" s="7"/>
      <c r="U50" s="7"/>
      <c r="V50" s="7"/>
      <c r="W50" s="7"/>
      <c r="X50" s="7"/>
      <c r="Y50" s="7"/>
      <c r="Z50" s="7"/>
      <c r="AA50" s="7"/>
      <c r="AB50" s="7"/>
    </row>
    <row r="51" spans="1:28" x14ac:dyDescent="0.25">
      <c r="A51" s="10"/>
      <c r="B51" s="7"/>
      <c r="C51" s="7"/>
      <c r="D51" s="7"/>
      <c r="E51" s="7"/>
      <c r="F51" s="7"/>
      <c r="G51" s="7"/>
      <c r="H51" s="7"/>
      <c r="I51" s="7"/>
      <c r="J51" s="7"/>
      <c r="K51" s="7"/>
      <c r="L51" s="7"/>
      <c r="M51" s="7"/>
      <c r="N51" s="7"/>
      <c r="O51" s="7"/>
      <c r="P51" s="7"/>
      <c r="Q51" s="7"/>
      <c r="R51" s="7"/>
      <c r="S51" s="7"/>
      <c r="T51" s="7"/>
      <c r="U51" s="7"/>
      <c r="V51" s="7"/>
      <c r="W51" s="7"/>
      <c r="X51" s="7"/>
      <c r="Y51" s="7"/>
      <c r="Z51" s="7"/>
      <c r="AA51" s="7"/>
      <c r="AB51" s="7"/>
    </row>
    <row r="52" spans="1:28" x14ac:dyDescent="0.25">
      <c r="A52" s="10"/>
      <c r="B52" s="7"/>
      <c r="C52" s="7"/>
      <c r="D52" s="7"/>
      <c r="E52" s="7"/>
      <c r="F52" s="7"/>
      <c r="G52" s="7"/>
      <c r="H52" s="7"/>
      <c r="I52" s="7"/>
      <c r="J52" s="7"/>
      <c r="K52" s="7"/>
      <c r="L52" s="7"/>
      <c r="M52" s="7"/>
      <c r="N52" s="7"/>
      <c r="O52" s="7"/>
      <c r="P52" s="7"/>
      <c r="Q52" s="7"/>
      <c r="R52" s="7"/>
      <c r="S52" s="7"/>
      <c r="T52" s="7"/>
      <c r="U52" s="7"/>
      <c r="V52" s="7"/>
      <c r="W52" s="7"/>
      <c r="X52" s="7"/>
      <c r="Y52" s="7"/>
      <c r="Z52" s="7"/>
      <c r="AA52" s="7"/>
      <c r="AB52" s="7"/>
    </row>
    <row r="53" spans="1:28" x14ac:dyDescent="0.25">
      <c r="A53" s="10"/>
      <c r="B53" s="7"/>
      <c r="C53" s="7"/>
      <c r="D53" s="7"/>
      <c r="E53" s="7"/>
      <c r="F53" s="7"/>
      <c r="G53" s="7"/>
      <c r="H53" s="7"/>
      <c r="I53" s="7"/>
      <c r="J53" s="7"/>
      <c r="K53" s="7"/>
      <c r="L53" s="7"/>
      <c r="M53" s="7"/>
      <c r="N53" s="7"/>
      <c r="O53" s="7"/>
      <c r="P53" s="7"/>
      <c r="Q53" s="7"/>
      <c r="R53" s="7"/>
      <c r="S53" s="7"/>
      <c r="T53" s="7"/>
      <c r="U53" s="7"/>
      <c r="V53" s="7"/>
      <c r="W53" s="7"/>
      <c r="X53" s="7"/>
      <c r="Y53" s="7"/>
      <c r="Z53" s="7"/>
      <c r="AA53" s="7"/>
      <c r="AB53" s="7"/>
    </row>
    <row r="54" spans="1:28" x14ac:dyDescent="0.25">
      <c r="A54" s="10"/>
      <c r="B54" s="7"/>
      <c r="C54" s="7"/>
      <c r="D54" s="7"/>
      <c r="E54" s="7"/>
      <c r="F54" s="7"/>
      <c r="G54" s="7"/>
      <c r="H54" s="7"/>
      <c r="I54" s="7"/>
      <c r="J54" s="7"/>
      <c r="K54" s="7"/>
      <c r="L54" s="7"/>
      <c r="M54" s="7"/>
      <c r="N54" s="7"/>
      <c r="O54" s="7"/>
      <c r="P54" s="7"/>
      <c r="Q54" s="7"/>
      <c r="R54" s="7"/>
      <c r="S54" s="7"/>
      <c r="T54" s="7"/>
      <c r="U54" s="7"/>
      <c r="V54" s="7"/>
      <c r="W54" s="7"/>
      <c r="X54" s="7"/>
      <c r="Y54" s="7"/>
      <c r="Z54" s="7"/>
      <c r="AA54" s="7"/>
      <c r="AB54" s="7"/>
    </row>
    <row r="55" spans="1:28" x14ac:dyDescent="0.25">
      <c r="A55" s="10"/>
      <c r="B55" s="7"/>
      <c r="C55" s="7"/>
      <c r="D55" s="7"/>
      <c r="E55" s="7"/>
      <c r="F55" s="7"/>
      <c r="G55" s="7"/>
      <c r="H55" s="7"/>
      <c r="I55" s="7"/>
      <c r="J55" s="7"/>
      <c r="K55" s="7"/>
      <c r="L55" s="7"/>
      <c r="M55" s="7"/>
      <c r="N55" s="7"/>
      <c r="O55" s="7"/>
      <c r="P55" s="7"/>
      <c r="Q55" s="7"/>
      <c r="R55" s="7"/>
      <c r="S55" s="7"/>
      <c r="T55" s="7"/>
      <c r="U55" s="7"/>
      <c r="V55" s="7"/>
      <c r="W55" s="7"/>
      <c r="X55" s="7"/>
      <c r="Y55" s="7"/>
      <c r="Z55" s="7"/>
      <c r="AA55" s="7"/>
      <c r="AB55" s="7"/>
    </row>
    <row r="56" spans="1:28" x14ac:dyDescent="0.25">
      <c r="A56" s="10"/>
      <c r="B56" s="7"/>
      <c r="C56" s="7"/>
      <c r="D56" s="7"/>
      <c r="E56" s="7"/>
      <c r="F56" s="7"/>
      <c r="G56" s="7"/>
      <c r="H56" s="7"/>
      <c r="I56" s="7"/>
      <c r="J56" s="7"/>
      <c r="K56" s="7"/>
      <c r="L56" s="7"/>
      <c r="M56" s="7"/>
      <c r="N56" s="7"/>
      <c r="O56" s="7"/>
      <c r="P56" s="7"/>
      <c r="Q56" s="7"/>
      <c r="R56" s="7"/>
      <c r="S56" s="7"/>
      <c r="T56" s="7"/>
      <c r="U56" s="7"/>
      <c r="V56" s="7"/>
      <c r="W56" s="7"/>
      <c r="X56" s="7"/>
      <c r="Y56" s="7"/>
      <c r="Z56" s="7"/>
      <c r="AA56" s="7"/>
      <c r="AB56" s="7"/>
    </row>
    <row r="57" spans="1:28" x14ac:dyDescent="0.25">
      <c r="A57" s="10"/>
      <c r="B57" s="7"/>
      <c r="C57" s="7"/>
      <c r="D57" s="7"/>
      <c r="E57" s="7"/>
      <c r="F57" s="7"/>
      <c r="G57" s="7"/>
      <c r="H57" s="7"/>
      <c r="I57" s="7"/>
      <c r="J57" s="7"/>
      <c r="K57" s="7"/>
      <c r="L57" s="7"/>
      <c r="M57" s="7"/>
      <c r="N57" s="7"/>
      <c r="O57" s="7"/>
      <c r="P57" s="7"/>
      <c r="Q57" s="7"/>
      <c r="R57" s="7"/>
      <c r="S57" s="7"/>
      <c r="T57" s="7"/>
      <c r="U57" s="7"/>
      <c r="V57" s="7"/>
      <c r="W57" s="7"/>
      <c r="X57" s="7"/>
      <c r="Y57" s="7"/>
      <c r="Z57" s="7"/>
      <c r="AA57" s="7"/>
      <c r="AB57" s="7"/>
    </row>
    <row r="58" spans="1:28" x14ac:dyDescent="0.25">
      <c r="A58" s="10"/>
      <c r="B58" s="7"/>
      <c r="C58" s="7"/>
      <c r="D58" s="7"/>
      <c r="E58" s="7"/>
      <c r="F58" s="7"/>
      <c r="G58" s="7"/>
      <c r="H58" s="7"/>
      <c r="I58" s="7"/>
      <c r="J58" s="7"/>
      <c r="K58" s="7"/>
      <c r="L58" s="7"/>
      <c r="M58" s="7"/>
      <c r="N58" s="7"/>
      <c r="O58" s="7"/>
      <c r="P58" s="7"/>
      <c r="Q58" s="7"/>
      <c r="R58" s="7"/>
      <c r="S58" s="7"/>
      <c r="T58" s="7"/>
      <c r="U58" s="7"/>
      <c r="V58" s="7"/>
      <c r="W58" s="7"/>
      <c r="X58" s="7"/>
      <c r="Y58" s="7"/>
      <c r="Z58" s="7"/>
      <c r="AA58" s="7"/>
      <c r="AB58" s="7"/>
    </row>
    <row r="59" spans="1:28" x14ac:dyDescent="0.25">
      <c r="A59" s="10"/>
      <c r="B59" s="7"/>
      <c r="C59" s="7"/>
      <c r="D59" s="7"/>
      <c r="E59" s="7"/>
      <c r="F59" s="7"/>
      <c r="G59" s="7"/>
      <c r="H59" s="7"/>
      <c r="I59" s="7"/>
      <c r="J59" s="7"/>
      <c r="K59" s="7"/>
      <c r="L59" s="7"/>
      <c r="M59" s="7"/>
      <c r="N59" s="7"/>
      <c r="O59" s="7"/>
      <c r="P59" s="7"/>
      <c r="Q59" s="7"/>
      <c r="R59" s="7"/>
      <c r="S59" s="7"/>
      <c r="T59" s="7"/>
      <c r="U59" s="7"/>
      <c r="V59" s="7"/>
      <c r="W59" s="7"/>
      <c r="X59" s="7"/>
      <c r="Y59" s="7"/>
      <c r="Z59" s="7"/>
      <c r="AA59" s="7"/>
      <c r="AB59" s="7"/>
    </row>
    <row r="60" spans="1:28" x14ac:dyDescent="0.25">
      <c r="A60" s="10"/>
      <c r="B60" s="7"/>
      <c r="C60" s="7"/>
      <c r="D60" s="7"/>
      <c r="E60" s="7"/>
      <c r="F60" s="7"/>
      <c r="G60" s="7"/>
      <c r="H60" s="7"/>
      <c r="I60" s="7"/>
      <c r="J60" s="7"/>
      <c r="K60" s="7"/>
      <c r="L60" s="7"/>
      <c r="M60" s="7"/>
      <c r="N60" s="7"/>
      <c r="O60" s="7"/>
      <c r="P60" s="7"/>
      <c r="Q60" s="7"/>
      <c r="R60" s="7"/>
      <c r="S60" s="7"/>
      <c r="T60" s="7"/>
      <c r="U60" s="7"/>
      <c r="V60" s="7"/>
      <c r="W60" s="7"/>
      <c r="X60" s="7"/>
      <c r="Y60" s="7"/>
      <c r="Z60" s="7"/>
      <c r="AA60" s="7"/>
      <c r="AB60" s="7"/>
    </row>
    <row r="61" spans="1:28" x14ac:dyDescent="0.25">
      <c r="A61" s="10"/>
      <c r="B61" s="7"/>
      <c r="C61" s="7"/>
      <c r="D61" s="7"/>
      <c r="E61" s="7"/>
      <c r="F61" s="7"/>
      <c r="G61" s="7"/>
      <c r="H61" s="7"/>
      <c r="I61" s="7"/>
      <c r="J61" s="7"/>
      <c r="K61" s="7"/>
      <c r="L61" s="7"/>
      <c r="M61" s="7"/>
      <c r="N61" s="7"/>
      <c r="O61" s="7"/>
      <c r="P61" s="7"/>
      <c r="Q61" s="7"/>
      <c r="R61" s="7"/>
      <c r="S61" s="7"/>
      <c r="T61" s="7"/>
      <c r="U61" s="7"/>
      <c r="V61" s="7"/>
      <c r="W61" s="7"/>
      <c r="X61" s="7"/>
      <c r="Y61" s="7"/>
      <c r="Z61" s="7"/>
      <c r="AA61" s="7"/>
      <c r="AB61" s="7"/>
    </row>
    <row r="62" spans="1:28" x14ac:dyDescent="0.25">
      <c r="A62" s="10"/>
      <c r="B62" s="7"/>
      <c r="C62" s="7"/>
      <c r="D62" s="7"/>
      <c r="E62" s="7"/>
      <c r="F62" s="7"/>
      <c r="G62" s="7"/>
      <c r="H62" s="7"/>
      <c r="I62" s="7"/>
      <c r="J62" s="7"/>
      <c r="K62" s="7"/>
      <c r="L62" s="7"/>
      <c r="M62" s="7"/>
      <c r="N62" s="7"/>
      <c r="O62" s="7"/>
      <c r="P62" s="7"/>
      <c r="Q62" s="7"/>
      <c r="R62" s="7"/>
      <c r="S62" s="7"/>
      <c r="T62" s="7"/>
      <c r="U62" s="7"/>
      <c r="V62" s="7"/>
      <c r="W62" s="7"/>
      <c r="X62" s="7"/>
      <c r="Y62" s="7"/>
      <c r="Z62" s="7"/>
      <c r="AA62" s="7"/>
      <c r="AB62" s="7"/>
    </row>
    <row r="63" spans="1:28" x14ac:dyDescent="0.25">
      <c r="A63" s="10"/>
      <c r="B63" s="7"/>
      <c r="C63" s="7"/>
      <c r="D63" s="7"/>
      <c r="E63" s="7"/>
      <c r="F63" s="7"/>
      <c r="G63" s="7"/>
      <c r="H63" s="7"/>
      <c r="I63" s="7"/>
      <c r="J63" s="7"/>
      <c r="K63" s="7"/>
      <c r="L63" s="7"/>
      <c r="M63" s="7"/>
      <c r="N63" s="7"/>
      <c r="O63" s="7"/>
      <c r="P63" s="7"/>
      <c r="Q63" s="7"/>
      <c r="R63" s="7"/>
      <c r="S63" s="7"/>
      <c r="T63" s="7"/>
      <c r="U63" s="7"/>
      <c r="V63" s="7"/>
      <c r="W63" s="7"/>
      <c r="X63" s="7"/>
      <c r="Y63" s="7"/>
      <c r="Z63" s="7"/>
      <c r="AA63" s="7"/>
      <c r="AB63" s="7"/>
    </row>
    <row r="64" spans="1:28" x14ac:dyDescent="0.25">
      <c r="A64" s="10"/>
      <c r="B64" s="7"/>
      <c r="C64" s="7"/>
      <c r="D64" s="7"/>
      <c r="E64" s="7"/>
      <c r="F64" s="7"/>
      <c r="G64" s="7"/>
      <c r="H64" s="7"/>
      <c r="I64" s="7"/>
      <c r="J64" s="7"/>
      <c r="K64" s="7"/>
      <c r="L64" s="7"/>
      <c r="M64" s="7"/>
      <c r="N64" s="7"/>
      <c r="O64" s="7"/>
      <c r="P64" s="7"/>
      <c r="Q64" s="7"/>
      <c r="R64" s="7"/>
      <c r="S64" s="7"/>
      <c r="T64" s="7"/>
      <c r="U64" s="7"/>
      <c r="V64" s="7"/>
      <c r="W64" s="7"/>
      <c r="X64" s="7"/>
      <c r="Y64" s="7"/>
      <c r="Z64" s="7"/>
      <c r="AA64" s="7"/>
      <c r="AB64" s="7"/>
    </row>
    <row r="65" spans="1:28" x14ac:dyDescent="0.25">
      <c r="A65" s="10"/>
      <c r="B65" s="7"/>
      <c r="C65" s="7"/>
      <c r="D65" s="7"/>
      <c r="E65" s="7"/>
      <c r="F65" s="7"/>
      <c r="G65" s="7"/>
      <c r="H65" s="7"/>
      <c r="I65" s="7"/>
      <c r="J65" s="7"/>
      <c r="K65" s="7"/>
      <c r="L65" s="7"/>
      <c r="M65" s="7"/>
      <c r="N65" s="7"/>
      <c r="O65" s="7"/>
      <c r="P65" s="7"/>
      <c r="Q65" s="7"/>
      <c r="R65" s="7"/>
      <c r="S65" s="7"/>
      <c r="T65" s="7"/>
      <c r="U65" s="7"/>
      <c r="V65" s="7"/>
      <c r="W65" s="7"/>
      <c r="X65" s="7"/>
      <c r="Y65" s="7"/>
      <c r="Z65" s="7"/>
      <c r="AA65" s="7"/>
      <c r="AB65" s="7"/>
    </row>
    <row r="66" spans="1:28" x14ac:dyDescent="0.25">
      <c r="A66" s="10"/>
      <c r="B66" s="7"/>
      <c r="C66" s="7"/>
      <c r="D66" s="7"/>
      <c r="E66" s="7"/>
      <c r="F66" s="7"/>
      <c r="G66" s="7"/>
      <c r="H66" s="7"/>
      <c r="I66" s="7"/>
      <c r="J66" s="7"/>
      <c r="K66" s="7"/>
      <c r="L66" s="7"/>
      <c r="M66" s="7"/>
      <c r="N66" s="7"/>
      <c r="O66" s="7"/>
      <c r="P66" s="7"/>
      <c r="Q66" s="7"/>
      <c r="R66" s="7"/>
      <c r="S66" s="7"/>
      <c r="T66" s="7"/>
      <c r="U66" s="7"/>
      <c r="V66" s="7"/>
      <c r="W66" s="7"/>
      <c r="X66" s="7"/>
      <c r="Y66" s="7"/>
      <c r="Z66" s="7"/>
      <c r="AA66" s="7"/>
      <c r="AB66" s="7"/>
    </row>
    <row r="67" spans="1:28" x14ac:dyDescent="0.25">
      <c r="A67" s="10"/>
      <c r="B67" s="7"/>
      <c r="C67" s="7"/>
      <c r="D67" s="7"/>
      <c r="E67" s="7"/>
      <c r="F67" s="7"/>
      <c r="G67" s="7"/>
      <c r="H67" s="7"/>
      <c r="I67" s="7"/>
      <c r="J67" s="7"/>
      <c r="K67" s="7"/>
      <c r="L67" s="7"/>
      <c r="M67" s="7"/>
      <c r="N67" s="7"/>
      <c r="O67" s="7"/>
      <c r="P67" s="7"/>
      <c r="Q67" s="7"/>
      <c r="R67" s="7"/>
      <c r="S67" s="7"/>
      <c r="T67" s="7"/>
      <c r="U67" s="7"/>
      <c r="V67" s="7"/>
      <c r="W67" s="7"/>
      <c r="X67" s="7"/>
      <c r="Y67" s="7"/>
      <c r="Z67" s="7"/>
      <c r="AA67" s="7"/>
      <c r="AB67" s="7"/>
    </row>
    <row r="68" spans="1:28" x14ac:dyDescent="0.25">
      <c r="A68" s="10"/>
      <c r="B68" s="7"/>
      <c r="C68" s="7"/>
      <c r="D68" s="7"/>
      <c r="E68" s="7"/>
      <c r="F68" s="7"/>
      <c r="G68" s="7"/>
      <c r="H68" s="7"/>
      <c r="I68" s="7"/>
      <c r="J68" s="7"/>
      <c r="K68" s="7"/>
      <c r="L68" s="7"/>
      <c r="M68" s="7"/>
      <c r="N68" s="7"/>
      <c r="O68" s="7"/>
      <c r="P68" s="7"/>
      <c r="Q68" s="7"/>
      <c r="R68" s="7"/>
      <c r="S68" s="7"/>
      <c r="T68" s="7"/>
      <c r="U68" s="7"/>
      <c r="V68" s="7"/>
      <c r="W68" s="7"/>
      <c r="X68" s="7"/>
      <c r="Y68" s="7"/>
      <c r="Z68" s="7"/>
      <c r="AA68" s="7"/>
      <c r="AB68" s="7"/>
    </row>
    <row r="69" spans="1:28" x14ac:dyDescent="0.25">
      <c r="A69" s="10"/>
      <c r="B69" s="7"/>
      <c r="C69" s="7"/>
      <c r="D69" s="7"/>
      <c r="E69" s="7"/>
      <c r="F69" s="7"/>
      <c r="G69" s="7"/>
      <c r="H69" s="7"/>
      <c r="I69" s="7"/>
      <c r="J69" s="7"/>
      <c r="K69" s="7"/>
      <c r="L69" s="7"/>
      <c r="M69" s="7"/>
      <c r="N69" s="7"/>
      <c r="O69" s="7"/>
      <c r="P69" s="7"/>
      <c r="Q69" s="7"/>
      <c r="R69" s="7"/>
      <c r="S69" s="7"/>
      <c r="T69" s="7"/>
      <c r="U69" s="7"/>
      <c r="V69" s="7"/>
      <c r="W69" s="7"/>
      <c r="X69" s="7"/>
      <c r="Y69" s="7"/>
      <c r="Z69" s="7"/>
      <c r="AA69" s="7"/>
      <c r="AB69" s="7"/>
    </row>
    <row r="70" spans="1:28" x14ac:dyDescent="0.25">
      <c r="A70" s="10"/>
      <c r="B70" s="7"/>
      <c r="C70" s="7"/>
      <c r="D70" s="7"/>
      <c r="E70" s="7"/>
      <c r="F70" s="7"/>
      <c r="G70" s="7"/>
      <c r="H70" s="7"/>
      <c r="I70" s="7"/>
      <c r="J70" s="7"/>
      <c r="K70" s="7"/>
      <c r="L70" s="7"/>
      <c r="M70" s="7"/>
      <c r="N70" s="7"/>
      <c r="O70" s="7"/>
      <c r="P70" s="7"/>
      <c r="Q70" s="7"/>
      <c r="R70" s="7"/>
      <c r="S70" s="7"/>
      <c r="T70" s="7"/>
      <c r="U70" s="7"/>
      <c r="V70" s="7"/>
      <c r="W70" s="7"/>
      <c r="X70" s="7"/>
      <c r="Y70" s="7"/>
      <c r="Z70" s="7"/>
      <c r="AA70" s="7"/>
      <c r="AB70" s="7"/>
    </row>
    <row r="71" spans="1:28" x14ac:dyDescent="0.25">
      <c r="A71" s="10"/>
      <c r="B71" s="7"/>
      <c r="C71" s="7"/>
      <c r="D71" s="7"/>
      <c r="E71" s="7"/>
      <c r="F71" s="7"/>
      <c r="G71" s="7"/>
      <c r="H71" s="7"/>
      <c r="I71" s="7"/>
      <c r="J71" s="7"/>
      <c r="K71" s="7"/>
      <c r="L71" s="7"/>
      <c r="M71" s="7"/>
      <c r="N71" s="7"/>
      <c r="O71" s="7"/>
      <c r="P71" s="7"/>
      <c r="Q71" s="7"/>
      <c r="R71" s="7"/>
      <c r="S71" s="7"/>
      <c r="T71" s="7"/>
      <c r="U71" s="7"/>
      <c r="V71" s="7"/>
      <c r="W71" s="7"/>
      <c r="X71" s="7"/>
      <c r="Y71" s="7"/>
      <c r="Z71" s="7"/>
      <c r="AA71" s="7"/>
      <c r="AB71" s="7"/>
    </row>
    <row r="72" spans="1:28" x14ac:dyDescent="0.25">
      <c r="A72" s="10"/>
      <c r="B72" s="7"/>
      <c r="C72" s="7"/>
      <c r="D72" s="7"/>
      <c r="E72" s="7"/>
      <c r="F72" s="7"/>
      <c r="G72" s="7"/>
      <c r="H72" s="7"/>
      <c r="I72" s="7"/>
      <c r="J72" s="7"/>
      <c r="K72" s="7"/>
      <c r="L72" s="7"/>
      <c r="M72" s="7"/>
      <c r="N72" s="7"/>
      <c r="O72" s="7"/>
      <c r="P72" s="7"/>
      <c r="Q72" s="7"/>
      <c r="R72" s="7"/>
      <c r="S72" s="7"/>
      <c r="T72" s="7"/>
      <c r="U72" s="7"/>
      <c r="V72" s="7"/>
      <c r="W72" s="7"/>
      <c r="X72" s="7"/>
      <c r="Y72" s="7"/>
      <c r="Z72" s="7"/>
      <c r="AA72" s="7"/>
      <c r="AB72" s="7"/>
    </row>
    <row r="73" spans="1:28" x14ac:dyDescent="0.25">
      <c r="A73" s="10"/>
      <c r="B73" s="7"/>
      <c r="C73" s="7"/>
      <c r="D73" s="7"/>
      <c r="E73" s="7"/>
      <c r="F73" s="7"/>
      <c r="G73" s="7"/>
      <c r="H73" s="7"/>
      <c r="I73" s="7"/>
      <c r="J73" s="7"/>
      <c r="K73" s="7"/>
      <c r="L73" s="7"/>
      <c r="M73" s="7"/>
      <c r="N73" s="7"/>
      <c r="O73" s="7"/>
      <c r="P73" s="7"/>
      <c r="Q73" s="7"/>
      <c r="R73" s="7"/>
      <c r="S73" s="7"/>
      <c r="T73" s="7"/>
      <c r="U73" s="7"/>
      <c r="V73" s="7"/>
      <c r="W73" s="7"/>
      <c r="X73" s="7"/>
      <c r="Y73" s="7"/>
      <c r="Z73" s="7"/>
      <c r="AA73" s="7"/>
      <c r="AB73" s="7"/>
    </row>
    <row r="74" spans="1:28" x14ac:dyDescent="0.25">
      <c r="A74" s="10"/>
      <c r="B74" s="7"/>
      <c r="C74" s="7"/>
      <c r="D74" s="7"/>
      <c r="E74" s="7"/>
      <c r="F74" s="7"/>
      <c r="G74" s="7"/>
      <c r="H74" s="7"/>
      <c r="I74" s="7"/>
      <c r="J74" s="7"/>
      <c r="K74" s="7"/>
      <c r="L74" s="7"/>
      <c r="M74" s="7"/>
      <c r="N74" s="7"/>
      <c r="O74" s="7"/>
      <c r="P74" s="7"/>
      <c r="Q74" s="7"/>
      <c r="R74" s="7"/>
      <c r="S74" s="7"/>
      <c r="T74" s="7"/>
      <c r="U74" s="7"/>
      <c r="V74" s="7"/>
      <c r="W74" s="7"/>
      <c r="X74" s="7"/>
      <c r="Y74" s="7"/>
      <c r="Z74" s="7"/>
      <c r="AA74" s="7"/>
      <c r="AB74" s="7"/>
    </row>
    <row r="75" spans="1:28" x14ac:dyDescent="0.25">
      <c r="A75" s="10"/>
      <c r="B75" s="7"/>
      <c r="C75" s="7"/>
      <c r="D75" s="7"/>
      <c r="E75" s="7"/>
      <c r="F75" s="7"/>
      <c r="G75" s="7"/>
      <c r="H75" s="7"/>
      <c r="I75" s="7"/>
      <c r="J75" s="7"/>
      <c r="K75" s="7"/>
      <c r="L75" s="7"/>
      <c r="M75" s="7"/>
      <c r="N75" s="7"/>
      <c r="O75" s="7"/>
      <c r="P75" s="7"/>
      <c r="Q75" s="7"/>
      <c r="R75" s="7"/>
      <c r="S75" s="7"/>
      <c r="T75" s="7"/>
      <c r="U75" s="7"/>
      <c r="V75" s="7"/>
      <c r="W75" s="7"/>
      <c r="X75" s="7"/>
      <c r="Y75" s="7"/>
      <c r="Z75" s="7"/>
      <c r="AA75" s="7"/>
      <c r="AB75" s="7"/>
    </row>
    <row r="76" spans="1:28" x14ac:dyDescent="0.25">
      <c r="A76" s="10"/>
      <c r="B76" s="7"/>
      <c r="C76" s="7"/>
      <c r="D76" s="7"/>
      <c r="E76" s="7"/>
      <c r="F76" s="7"/>
      <c r="G76" s="7"/>
      <c r="H76" s="7"/>
      <c r="I76" s="7"/>
      <c r="J76" s="7"/>
      <c r="K76" s="7"/>
      <c r="L76" s="7"/>
      <c r="M76" s="7"/>
      <c r="N76" s="7"/>
      <c r="O76" s="7"/>
      <c r="P76" s="7"/>
      <c r="Q76" s="7"/>
      <c r="R76" s="7"/>
      <c r="S76" s="7"/>
      <c r="T76" s="7"/>
      <c r="U76" s="7"/>
      <c r="V76" s="7"/>
      <c r="W76" s="7"/>
      <c r="X76" s="7"/>
      <c r="Y76" s="7"/>
      <c r="Z76" s="7"/>
      <c r="AA76" s="7"/>
      <c r="AB76" s="7"/>
    </row>
    <row r="77" spans="1:28" x14ac:dyDescent="0.25">
      <c r="A77" s="10"/>
      <c r="B77" s="7"/>
      <c r="C77" s="7"/>
      <c r="D77" s="7"/>
      <c r="E77" s="7"/>
      <c r="F77" s="7"/>
      <c r="G77" s="7"/>
      <c r="H77" s="7"/>
      <c r="I77" s="7"/>
      <c r="J77" s="7"/>
      <c r="K77" s="7"/>
      <c r="L77" s="7"/>
      <c r="M77" s="7"/>
      <c r="N77" s="7"/>
      <c r="O77" s="7"/>
      <c r="P77" s="7"/>
      <c r="Q77" s="7"/>
      <c r="R77" s="7"/>
      <c r="S77" s="7"/>
      <c r="T77" s="7"/>
      <c r="U77" s="7"/>
      <c r="V77" s="7"/>
      <c r="W77" s="7"/>
      <c r="X77" s="7"/>
      <c r="Y77" s="7"/>
      <c r="Z77" s="7"/>
      <c r="AA77" s="7"/>
      <c r="AB77" s="7"/>
    </row>
    <row r="78" spans="1:28" x14ac:dyDescent="0.25">
      <c r="A78" s="10"/>
      <c r="B78" s="7"/>
      <c r="C78" s="7"/>
      <c r="D78" s="7"/>
      <c r="E78" s="7"/>
      <c r="F78" s="7"/>
      <c r="G78" s="7"/>
      <c r="H78" s="7"/>
      <c r="I78" s="7"/>
      <c r="J78" s="7"/>
      <c r="K78" s="7"/>
      <c r="L78" s="7"/>
      <c r="M78" s="7"/>
      <c r="N78" s="7"/>
      <c r="O78" s="7"/>
      <c r="P78" s="7"/>
      <c r="Q78" s="7"/>
      <c r="R78" s="7"/>
      <c r="S78" s="7"/>
      <c r="T78" s="7"/>
      <c r="U78" s="7"/>
      <c r="V78" s="7"/>
      <c r="W78" s="7"/>
      <c r="X78" s="7"/>
      <c r="Y78" s="7"/>
      <c r="Z78" s="7"/>
      <c r="AA78" s="7"/>
      <c r="AB78" s="7"/>
    </row>
    <row r="79" spans="1:28" x14ac:dyDescent="0.25">
      <c r="A79" s="10"/>
      <c r="B79" s="7"/>
      <c r="C79" s="7"/>
      <c r="D79" s="7"/>
      <c r="E79" s="7"/>
      <c r="F79" s="7"/>
      <c r="G79" s="7"/>
      <c r="H79" s="7"/>
      <c r="I79" s="7"/>
      <c r="J79" s="7"/>
      <c r="K79" s="7"/>
      <c r="L79" s="7"/>
      <c r="M79" s="7"/>
      <c r="N79" s="7"/>
      <c r="O79" s="7"/>
      <c r="P79" s="7"/>
      <c r="Q79" s="7"/>
      <c r="R79" s="7"/>
      <c r="S79" s="7"/>
      <c r="T79" s="7"/>
      <c r="U79" s="7"/>
      <c r="V79" s="7"/>
      <c r="W79" s="7"/>
      <c r="X79" s="7"/>
      <c r="Y79" s="7"/>
      <c r="Z79" s="7"/>
      <c r="AA79" s="7"/>
      <c r="AB79" s="7"/>
    </row>
    <row r="80" spans="1:28" x14ac:dyDescent="0.25">
      <c r="A80" s="10"/>
      <c r="B80" s="7"/>
      <c r="C80" s="7"/>
      <c r="D80" s="7"/>
      <c r="E80" s="7"/>
      <c r="F80" s="7"/>
      <c r="G80" s="7"/>
      <c r="H80" s="7"/>
      <c r="I80" s="7"/>
      <c r="J80" s="7"/>
      <c r="K80" s="7"/>
      <c r="L80" s="7"/>
      <c r="M80" s="7"/>
      <c r="N80" s="7"/>
      <c r="O80" s="7"/>
      <c r="P80" s="7"/>
      <c r="Q80" s="7"/>
      <c r="R80" s="7"/>
      <c r="S80" s="7"/>
      <c r="T80" s="7"/>
      <c r="U80" s="7"/>
      <c r="V80" s="7"/>
      <c r="W80" s="7"/>
      <c r="X80" s="7"/>
      <c r="Y80" s="7"/>
      <c r="Z80" s="7"/>
      <c r="AA80" s="7"/>
      <c r="AB80" s="7"/>
    </row>
    <row r="81" spans="1:28" x14ac:dyDescent="0.25">
      <c r="A81" s="10"/>
      <c r="B81" s="7"/>
      <c r="C81" s="7"/>
      <c r="D81" s="7"/>
      <c r="E81" s="7"/>
      <c r="F81" s="7"/>
      <c r="G81" s="7"/>
      <c r="H81" s="7"/>
      <c r="I81" s="7"/>
      <c r="J81" s="7"/>
      <c r="K81" s="7"/>
      <c r="L81" s="7"/>
      <c r="M81" s="7"/>
      <c r="N81" s="7"/>
      <c r="O81" s="7"/>
      <c r="P81" s="7"/>
      <c r="Q81" s="7"/>
      <c r="R81" s="7"/>
      <c r="S81" s="7"/>
      <c r="T81" s="7"/>
      <c r="U81" s="7"/>
      <c r="V81" s="7"/>
      <c r="W81" s="7"/>
      <c r="X81" s="7"/>
      <c r="Y81" s="7"/>
      <c r="Z81" s="7"/>
      <c r="AA81" s="7"/>
      <c r="AB81" s="7"/>
    </row>
    <row r="82" spans="1:28" x14ac:dyDescent="0.25">
      <c r="A82" s="10"/>
      <c r="B82" s="7"/>
      <c r="C82" s="7"/>
      <c r="D82" s="7"/>
      <c r="E82" s="7"/>
      <c r="F82" s="7"/>
      <c r="G82" s="7"/>
      <c r="H82" s="7"/>
      <c r="I82" s="7"/>
      <c r="J82" s="7"/>
      <c r="K82" s="7"/>
      <c r="L82" s="7"/>
      <c r="M82" s="7"/>
      <c r="N82" s="7"/>
      <c r="O82" s="7"/>
      <c r="P82" s="7"/>
      <c r="Q82" s="7"/>
      <c r="R82" s="7"/>
      <c r="S82" s="7"/>
      <c r="T82" s="7"/>
      <c r="U82" s="7"/>
      <c r="V82" s="7"/>
      <c r="W82" s="7"/>
      <c r="X82" s="7"/>
      <c r="Y82" s="7"/>
      <c r="Z82" s="7"/>
      <c r="AA82" s="7"/>
      <c r="AB82" s="7"/>
    </row>
    <row r="83" spans="1:28" x14ac:dyDescent="0.25">
      <c r="A83" s="10"/>
      <c r="B83" s="7"/>
      <c r="C83" s="7"/>
      <c r="D83" s="7"/>
      <c r="E83" s="7"/>
      <c r="F83" s="7"/>
      <c r="G83" s="7"/>
      <c r="H83" s="7"/>
      <c r="I83" s="7"/>
      <c r="J83" s="7"/>
      <c r="K83" s="7"/>
      <c r="L83" s="7"/>
      <c r="M83" s="7"/>
      <c r="N83" s="7"/>
      <c r="O83" s="7"/>
      <c r="P83" s="7"/>
      <c r="Q83" s="7"/>
      <c r="R83" s="7"/>
      <c r="S83" s="7"/>
      <c r="T83" s="7"/>
      <c r="U83" s="7"/>
      <c r="V83" s="7"/>
      <c r="W83" s="7"/>
      <c r="X83" s="7"/>
      <c r="Y83" s="7"/>
      <c r="Z83" s="7"/>
      <c r="AA83" s="7"/>
      <c r="AB83" s="7"/>
    </row>
    <row r="84" spans="1:28" x14ac:dyDescent="0.25">
      <c r="A84" s="10"/>
      <c r="B84" s="7"/>
      <c r="C84" s="7"/>
      <c r="D84" s="7"/>
      <c r="E84" s="7"/>
      <c r="F84" s="7"/>
      <c r="G84" s="7"/>
      <c r="H84" s="7"/>
      <c r="I84" s="7"/>
      <c r="J84" s="7"/>
      <c r="K84" s="7"/>
      <c r="L84" s="7"/>
      <c r="M84" s="7"/>
      <c r="N84" s="7"/>
      <c r="O84" s="7"/>
      <c r="P84" s="7"/>
      <c r="Q84" s="7"/>
      <c r="R84" s="7"/>
      <c r="S84" s="7"/>
      <c r="T84" s="7"/>
      <c r="U84" s="7"/>
      <c r="V84" s="7"/>
      <c r="W84" s="7"/>
      <c r="X84" s="7"/>
      <c r="Y84" s="7"/>
      <c r="Z84" s="7"/>
      <c r="AA84" s="7"/>
      <c r="AB84" s="7"/>
    </row>
    <row r="85" spans="1:28" x14ac:dyDescent="0.25">
      <c r="A85" s="10"/>
      <c r="B85" s="7"/>
      <c r="C85" s="7"/>
      <c r="D85" s="7"/>
      <c r="E85" s="7"/>
      <c r="F85" s="7"/>
      <c r="G85" s="7"/>
      <c r="H85" s="7"/>
      <c r="I85" s="7"/>
      <c r="J85" s="7"/>
      <c r="K85" s="7"/>
      <c r="L85" s="7"/>
      <c r="M85" s="7"/>
      <c r="N85" s="7"/>
      <c r="O85" s="7"/>
      <c r="P85" s="7"/>
      <c r="Q85" s="7"/>
      <c r="R85" s="7"/>
      <c r="S85" s="7"/>
      <c r="T85" s="7"/>
      <c r="U85" s="7"/>
      <c r="V85" s="7"/>
      <c r="W85" s="7"/>
      <c r="X85" s="7"/>
      <c r="Y85" s="7"/>
      <c r="Z85" s="7"/>
      <c r="AA85" s="7"/>
      <c r="AB85" s="7"/>
    </row>
    <row r="86" spans="1:28" x14ac:dyDescent="0.25">
      <c r="A86" s="10"/>
      <c r="B86" s="7"/>
      <c r="C86" s="7"/>
      <c r="D86" s="7"/>
      <c r="E86" s="7"/>
      <c r="F86" s="7"/>
      <c r="G86" s="7"/>
      <c r="H86" s="7"/>
      <c r="I86" s="7"/>
      <c r="J86" s="7"/>
      <c r="K86" s="7"/>
      <c r="L86" s="7"/>
      <c r="M86" s="7"/>
      <c r="N86" s="7"/>
      <c r="O86" s="7"/>
      <c r="P86" s="7"/>
      <c r="Q86" s="7"/>
      <c r="R86" s="7"/>
      <c r="S86" s="7"/>
      <c r="T86" s="7"/>
      <c r="U86" s="7"/>
      <c r="V86" s="7"/>
      <c r="W86" s="7"/>
      <c r="X86" s="7"/>
      <c r="Y86" s="7"/>
      <c r="Z86" s="7"/>
      <c r="AA86" s="7"/>
      <c r="AB86" s="7"/>
    </row>
    <row r="87" spans="1:28" x14ac:dyDescent="0.25">
      <c r="A87" s="10"/>
      <c r="B87" s="7"/>
      <c r="C87" s="7"/>
      <c r="D87" s="7"/>
      <c r="E87" s="7"/>
      <c r="F87" s="7"/>
      <c r="G87" s="7"/>
      <c r="H87" s="7"/>
      <c r="I87" s="7"/>
      <c r="J87" s="7"/>
      <c r="K87" s="7"/>
      <c r="L87" s="7"/>
      <c r="M87" s="7"/>
      <c r="N87" s="7"/>
      <c r="O87" s="7"/>
      <c r="P87" s="7"/>
      <c r="Q87" s="7"/>
      <c r="R87" s="7"/>
      <c r="S87" s="7"/>
      <c r="T87" s="7"/>
      <c r="U87" s="7"/>
      <c r="V87" s="7"/>
      <c r="W87" s="7"/>
      <c r="X87" s="7"/>
      <c r="Y87" s="7"/>
      <c r="Z87" s="7"/>
      <c r="AA87" s="7"/>
      <c r="AB87" s="7"/>
    </row>
    <row r="88" spans="1:28" x14ac:dyDescent="0.25">
      <c r="A88" s="10"/>
      <c r="B88" s="7"/>
      <c r="C88" s="7"/>
      <c r="D88" s="7"/>
      <c r="E88" s="7"/>
      <c r="F88" s="7"/>
      <c r="G88" s="7"/>
      <c r="H88" s="7"/>
      <c r="I88" s="7"/>
      <c r="J88" s="7"/>
      <c r="K88" s="7"/>
      <c r="L88" s="7"/>
      <c r="M88" s="7"/>
      <c r="N88" s="7"/>
      <c r="O88" s="7"/>
      <c r="P88" s="7"/>
      <c r="Q88" s="7"/>
      <c r="R88" s="7"/>
      <c r="S88" s="7"/>
      <c r="T88" s="7"/>
      <c r="U88" s="7"/>
      <c r="V88" s="7"/>
      <c r="W88" s="7"/>
      <c r="X88" s="7"/>
      <c r="Y88" s="7"/>
      <c r="Z88" s="7"/>
      <c r="AA88" s="7"/>
      <c r="AB88" s="7"/>
    </row>
    <row r="89" spans="1:28" x14ac:dyDescent="0.25">
      <c r="A89" s="10"/>
      <c r="B89" s="7"/>
      <c r="C89" s="7"/>
      <c r="D89" s="7"/>
      <c r="E89" s="7"/>
      <c r="F89" s="7"/>
      <c r="G89" s="7"/>
      <c r="H89" s="7"/>
      <c r="I89" s="7"/>
      <c r="J89" s="7"/>
      <c r="K89" s="7"/>
      <c r="L89" s="7"/>
      <c r="M89" s="7"/>
      <c r="N89" s="7"/>
      <c r="O89" s="7"/>
      <c r="P89" s="7"/>
      <c r="Q89" s="7"/>
      <c r="R89" s="7"/>
      <c r="S89" s="7"/>
      <c r="T89" s="7"/>
      <c r="U89" s="7"/>
      <c r="V89" s="7"/>
      <c r="W89" s="7"/>
      <c r="X89" s="7"/>
      <c r="Y89" s="7"/>
      <c r="Z89" s="7"/>
      <c r="AA89" s="7"/>
      <c r="AB89" s="7"/>
    </row>
    <row r="90" spans="1:28" x14ac:dyDescent="0.25">
      <c r="A90" s="10"/>
      <c r="B90" s="7"/>
      <c r="C90" s="7"/>
      <c r="D90" s="7"/>
      <c r="E90" s="7"/>
      <c r="F90" s="7"/>
      <c r="G90" s="7"/>
      <c r="H90" s="7"/>
      <c r="I90" s="7"/>
      <c r="J90" s="7"/>
      <c r="K90" s="7"/>
      <c r="L90" s="7"/>
      <c r="M90" s="7"/>
      <c r="N90" s="7"/>
      <c r="O90" s="7"/>
      <c r="P90" s="7"/>
      <c r="Q90" s="7"/>
      <c r="R90" s="7"/>
      <c r="S90" s="7"/>
      <c r="T90" s="7"/>
      <c r="U90" s="7"/>
      <c r="V90" s="7"/>
      <c r="W90" s="7"/>
      <c r="X90" s="7"/>
      <c r="Y90" s="7"/>
      <c r="Z90" s="7"/>
      <c r="AA90" s="7"/>
      <c r="AB90" s="7"/>
    </row>
    <row r="91" spans="1:28" x14ac:dyDescent="0.25">
      <c r="A91" s="10"/>
      <c r="B91" s="7"/>
      <c r="C91" s="7"/>
      <c r="D91" s="7"/>
      <c r="E91" s="7"/>
      <c r="F91" s="7"/>
      <c r="G91" s="7"/>
      <c r="H91" s="7"/>
      <c r="I91" s="7"/>
      <c r="J91" s="7"/>
      <c r="K91" s="7"/>
      <c r="L91" s="7"/>
      <c r="M91" s="7"/>
      <c r="N91" s="7"/>
      <c r="O91" s="7"/>
      <c r="P91" s="7"/>
      <c r="Q91" s="7"/>
      <c r="R91" s="7"/>
      <c r="S91" s="7"/>
      <c r="T91" s="7"/>
      <c r="U91" s="7"/>
      <c r="V91" s="7"/>
      <c r="W91" s="7"/>
      <c r="X91" s="7"/>
      <c r="Y91" s="7"/>
      <c r="Z91" s="7"/>
      <c r="AA91" s="7"/>
      <c r="AB91" s="7"/>
    </row>
    <row r="92" spans="1:28" x14ac:dyDescent="0.25">
      <c r="A92" s="10"/>
      <c r="B92" s="7"/>
      <c r="C92" s="7"/>
      <c r="D92" s="7"/>
      <c r="E92" s="7"/>
      <c r="F92" s="7"/>
      <c r="G92" s="7"/>
      <c r="H92" s="7"/>
      <c r="I92" s="7"/>
      <c r="J92" s="7"/>
      <c r="K92" s="7"/>
      <c r="L92" s="7"/>
      <c r="M92" s="7"/>
      <c r="N92" s="7"/>
      <c r="O92" s="7"/>
      <c r="P92" s="7"/>
      <c r="Q92" s="7"/>
      <c r="R92" s="7"/>
      <c r="S92" s="7"/>
      <c r="T92" s="7"/>
      <c r="U92" s="7"/>
      <c r="V92" s="7"/>
      <c r="W92" s="7"/>
      <c r="X92" s="7"/>
      <c r="Y92" s="7"/>
      <c r="Z92" s="7"/>
      <c r="AA92" s="7"/>
      <c r="AB92" s="7"/>
    </row>
    <row r="93" spans="1:28" x14ac:dyDescent="0.25">
      <c r="A93" s="10"/>
      <c r="B93" s="7"/>
      <c r="C93" s="7"/>
      <c r="D93" s="7"/>
      <c r="E93" s="7"/>
      <c r="F93" s="7"/>
      <c r="G93" s="7"/>
      <c r="H93" s="7"/>
      <c r="I93" s="7"/>
      <c r="J93" s="7"/>
      <c r="K93" s="7"/>
      <c r="L93" s="7"/>
      <c r="M93" s="7"/>
      <c r="N93" s="7"/>
      <c r="O93" s="7"/>
      <c r="P93" s="7"/>
      <c r="Q93" s="7"/>
      <c r="R93" s="7"/>
      <c r="S93" s="7"/>
      <c r="T93" s="7"/>
      <c r="U93" s="7"/>
      <c r="V93" s="7"/>
      <c r="W93" s="7"/>
      <c r="X93" s="7"/>
      <c r="Y93" s="7"/>
      <c r="Z93" s="7"/>
      <c r="AA93" s="7"/>
      <c r="AB93" s="7"/>
    </row>
    <row r="94" spans="1:28" x14ac:dyDescent="0.25">
      <c r="A94" s="10"/>
      <c r="B94" s="7"/>
      <c r="C94" s="7"/>
      <c r="D94" s="7"/>
      <c r="E94" s="7"/>
      <c r="F94" s="7"/>
      <c r="G94" s="7"/>
      <c r="H94" s="7"/>
      <c r="I94" s="7"/>
      <c r="J94" s="7"/>
      <c r="K94" s="7"/>
      <c r="L94" s="7"/>
      <c r="M94" s="7"/>
      <c r="N94" s="7"/>
      <c r="O94" s="7"/>
      <c r="P94" s="7"/>
      <c r="Q94" s="7"/>
      <c r="R94" s="7"/>
      <c r="S94" s="7"/>
      <c r="T94" s="7"/>
      <c r="U94" s="7"/>
      <c r="V94" s="7"/>
      <c r="W94" s="7"/>
      <c r="X94" s="7"/>
      <c r="Y94" s="7"/>
      <c r="Z94" s="7"/>
      <c r="AA94" s="7"/>
      <c r="AB94" s="7"/>
    </row>
    <row r="95" spans="1:28" x14ac:dyDescent="0.25">
      <c r="A95" s="10"/>
      <c r="B95" s="7"/>
      <c r="C95" s="7"/>
      <c r="D95" s="7"/>
      <c r="E95" s="7"/>
      <c r="F95" s="7"/>
      <c r="G95" s="7"/>
      <c r="H95" s="7"/>
      <c r="I95" s="7"/>
      <c r="J95" s="7"/>
      <c r="K95" s="7"/>
      <c r="L95" s="7"/>
      <c r="M95" s="7"/>
      <c r="N95" s="7"/>
      <c r="O95" s="7"/>
      <c r="P95" s="7"/>
      <c r="Q95" s="7"/>
      <c r="R95" s="7"/>
      <c r="S95" s="7"/>
      <c r="T95" s="7"/>
      <c r="U95" s="7"/>
      <c r="V95" s="7"/>
      <c r="W95" s="7"/>
      <c r="X95" s="7"/>
      <c r="Y95" s="7"/>
      <c r="Z95" s="7"/>
      <c r="AA95" s="7"/>
      <c r="AB95" s="7"/>
    </row>
    <row r="96" spans="1:28" x14ac:dyDescent="0.25">
      <c r="A96" s="10"/>
      <c r="B96" s="7"/>
      <c r="C96" s="7"/>
      <c r="D96" s="7"/>
      <c r="E96" s="7"/>
      <c r="F96" s="7"/>
      <c r="G96" s="7"/>
      <c r="H96" s="7"/>
      <c r="I96" s="7"/>
      <c r="J96" s="7"/>
      <c r="K96" s="7"/>
      <c r="L96" s="7"/>
      <c r="M96" s="7"/>
      <c r="N96" s="7"/>
      <c r="O96" s="7"/>
      <c r="P96" s="7"/>
      <c r="Q96" s="7"/>
      <c r="R96" s="7"/>
      <c r="S96" s="7"/>
      <c r="T96" s="7"/>
      <c r="U96" s="7"/>
      <c r="V96" s="7"/>
      <c r="W96" s="7"/>
      <c r="X96" s="7"/>
      <c r="Y96" s="7"/>
      <c r="Z96" s="7"/>
      <c r="AA96" s="7"/>
      <c r="AB96" s="7"/>
    </row>
    <row r="97" spans="1:28" x14ac:dyDescent="0.25">
      <c r="A97" s="10"/>
      <c r="B97" s="7"/>
      <c r="C97" s="7"/>
      <c r="D97" s="7"/>
      <c r="E97" s="7"/>
      <c r="F97" s="7"/>
      <c r="G97" s="7"/>
      <c r="H97" s="7"/>
      <c r="I97" s="7"/>
      <c r="J97" s="7"/>
      <c r="K97" s="7"/>
      <c r="L97" s="7"/>
      <c r="M97" s="7"/>
      <c r="N97" s="7"/>
      <c r="O97" s="7"/>
      <c r="P97" s="7"/>
      <c r="Q97" s="7"/>
      <c r="R97" s="7"/>
      <c r="S97" s="7"/>
      <c r="T97" s="7"/>
      <c r="U97" s="7"/>
      <c r="V97" s="7"/>
      <c r="W97" s="7"/>
      <c r="X97" s="7"/>
      <c r="Y97" s="7"/>
      <c r="Z97" s="7"/>
      <c r="AA97" s="7"/>
      <c r="AB97" s="7"/>
    </row>
    <row r="98" spans="1:28" x14ac:dyDescent="0.25">
      <c r="A98" s="10"/>
      <c r="B98" s="7"/>
      <c r="C98" s="7"/>
      <c r="D98" s="7"/>
      <c r="E98" s="7"/>
      <c r="F98" s="7"/>
      <c r="G98" s="7"/>
      <c r="H98" s="7"/>
      <c r="I98" s="7"/>
      <c r="J98" s="7"/>
      <c r="K98" s="7"/>
      <c r="L98" s="7"/>
      <c r="M98" s="7"/>
      <c r="N98" s="7"/>
      <c r="O98" s="7"/>
      <c r="P98" s="7"/>
      <c r="Q98" s="7"/>
      <c r="R98" s="7"/>
      <c r="S98" s="7"/>
      <c r="T98" s="7"/>
      <c r="U98" s="7"/>
      <c r="V98" s="7"/>
      <c r="W98" s="7"/>
      <c r="X98" s="7"/>
      <c r="Y98" s="7"/>
      <c r="Z98" s="7"/>
      <c r="AA98" s="7"/>
      <c r="AB98" s="7"/>
    </row>
    <row r="99" spans="1:28" x14ac:dyDescent="0.25">
      <c r="A99" s="10"/>
      <c r="B99" s="7"/>
      <c r="C99" s="7"/>
      <c r="D99" s="7"/>
      <c r="E99" s="7"/>
      <c r="F99" s="7"/>
      <c r="G99" s="7"/>
      <c r="H99" s="7"/>
      <c r="I99" s="7"/>
      <c r="J99" s="7"/>
      <c r="K99" s="7"/>
      <c r="L99" s="7"/>
      <c r="M99" s="7"/>
      <c r="N99" s="7"/>
      <c r="O99" s="7"/>
      <c r="P99" s="7"/>
      <c r="Q99" s="7"/>
      <c r="R99" s="7"/>
      <c r="S99" s="7"/>
      <c r="T99" s="7"/>
      <c r="U99" s="7"/>
      <c r="V99" s="7"/>
      <c r="W99" s="7"/>
      <c r="X99" s="7"/>
      <c r="Y99" s="7"/>
      <c r="Z99" s="7"/>
      <c r="AA99" s="7"/>
      <c r="AB99" s="7"/>
    </row>
    <row r="100" spans="1:28" x14ac:dyDescent="0.25">
      <c r="A100" s="10"/>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row>
    <row r="101" spans="1:28" x14ac:dyDescent="0.25">
      <c r="A101" s="10"/>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row>
    <row r="102" spans="1:28" x14ac:dyDescent="0.25">
      <c r="A102" s="10"/>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row>
    <row r="103" spans="1:28" x14ac:dyDescent="0.25">
      <c r="A103" s="10"/>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row>
    <row r="104" spans="1:28" x14ac:dyDescent="0.25">
      <c r="A104" s="10"/>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row>
    <row r="105" spans="1:28" x14ac:dyDescent="0.25">
      <c r="A105" s="10"/>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row>
    <row r="106" spans="1:28" x14ac:dyDescent="0.25">
      <c r="A106" s="10"/>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row>
    <row r="107" spans="1:28" x14ac:dyDescent="0.25">
      <c r="A107" s="10"/>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row>
    <row r="108" spans="1:28" x14ac:dyDescent="0.25">
      <c r="A108" s="10"/>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row>
    <row r="109" spans="1:28" x14ac:dyDescent="0.25">
      <c r="A109" s="10"/>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row>
    <row r="110" spans="1:28" x14ac:dyDescent="0.25">
      <c r="A110" s="10"/>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row>
    <row r="111" spans="1:28" x14ac:dyDescent="0.25">
      <c r="A111" s="10"/>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row>
    <row r="112" spans="1:28" x14ac:dyDescent="0.25">
      <c r="A112" s="10"/>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row>
    <row r="113" spans="1:28" x14ac:dyDescent="0.25">
      <c r="A113" s="10"/>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row>
    <row r="114" spans="1:28" x14ac:dyDescent="0.25">
      <c r="A114" s="10"/>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row>
    <row r="115" spans="1:28" x14ac:dyDescent="0.25">
      <c r="A115" s="10"/>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row>
    <row r="116" spans="1:28" x14ac:dyDescent="0.25">
      <c r="A116" s="10"/>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row>
    <row r="117" spans="1:28" x14ac:dyDescent="0.25">
      <c r="A117" s="10"/>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row>
    <row r="118" spans="1:28" x14ac:dyDescent="0.25">
      <c r="A118" s="10"/>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row>
    <row r="119" spans="1:28" x14ac:dyDescent="0.25">
      <c r="A119" s="10"/>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row>
    <row r="120" spans="1:28" x14ac:dyDescent="0.25">
      <c r="A120" s="10"/>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row>
    <row r="121" spans="1:28" x14ac:dyDescent="0.25">
      <c r="A121" s="10"/>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row>
    <row r="122" spans="1:28" x14ac:dyDescent="0.25">
      <c r="A122" s="10"/>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row>
    <row r="123" spans="1:28" x14ac:dyDescent="0.25">
      <c r="A123" s="10"/>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row>
    <row r="124" spans="1:28" x14ac:dyDescent="0.25">
      <c r="A124" s="10"/>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row>
    <row r="125" spans="1:28" x14ac:dyDescent="0.25">
      <c r="A125" s="10"/>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row>
    <row r="126" spans="1:28" x14ac:dyDescent="0.25">
      <c r="A126" s="10"/>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row>
    <row r="127" spans="1:28" x14ac:dyDescent="0.25">
      <c r="A127" s="10"/>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row>
    <row r="128" spans="1:28" x14ac:dyDescent="0.25">
      <c r="A128" s="10"/>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row>
    <row r="129" spans="1:28" x14ac:dyDescent="0.25">
      <c r="A129" s="10"/>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row>
    <row r="130" spans="1:28" x14ac:dyDescent="0.25">
      <c r="A130" s="10"/>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row>
    <row r="131" spans="1:28" x14ac:dyDescent="0.25">
      <c r="A131" s="10"/>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row>
    <row r="132" spans="1:28" x14ac:dyDescent="0.25">
      <c r="A132" s="10"/>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row>
    <row r="133" spans="1:28" x14ac:dyDescent="0.25">
      <c r="A133" s="10"/>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row>
    <row r="134" spans="1:28" x14ac:dyDescent="0.25">
      <c r="A134" s="10"/>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row>
    <row r="135" spans="1:28" x14ac:dyDescent="0.25">
      <c r="A135" s="10"/>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row>
    <row r="136" spans="1:28" x14ac:dyDescent="0.25">
      <c r="A136" s="10"/>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row>
    <row r="137" spans="1:28" x14ac:dyDescent="0.25">
      <c r="A137" s="10"/>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row>
    <row r="138" spans="1:28" x14ac:dyDescent="0.25">
      <c r="A138" s="10"/>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row>
    <row r="139" spans="1:28" x14ac:dyDescent="0.25">
      <c r="A139" s="10"/>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row>
    <row r="140" spans="1:28" x14ac:dyDescent="0.25">
      <c r="A140" s="10"/>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row>
    <row r="141" spans="1:28" x14ac:dyDescent="0.25">
      <c r="A141" s="10"/>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row>
    <row r="142" spans="1:28" x14ac:dyDescent="0.25">
      <c r="A142" s="10"/>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row>
    <row r="143" spans="1:28" x14ac:dyDescent="0.25">
      <c r="A143" s="10"/>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row>
    <row r="144" spans="1:28" x14ac:dyDescent="0.25">
      <c r="A144" s="10"/>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row>
    <row r="145" spans="1:28" x14ac:dyDescent="0.25">
      <c r="A145" s="10"/>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row>
    <row r="146" spans="1:28" x14ac:dyDescent="0.25">
      <c r="A146" s="10"/>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row>
    <row r="147" spans="1:28" x14ac:dyDescent="0.25">
      <c r="A147" s="10"/>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row>
    <row r="148" spans="1:28" x14ac:dyDescent="0.25">
      <c r="A148" s="10"/>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row>
    <row r="149" spans="1:28" x14ac:dyDescent="0.25">
      <c r="A149" s="10"/>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row>
    <row r="150" spans="1:28" x14ac:dyDescent="0.25">
      <c r="A150" s="10"/>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row>
    <row r="151" spans="1:28" x14ac:dyDescent="0.25">
      <c r="A151" s="10"/>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row>
    <row r="152" spans="1:28" x14ac:dyDescent="0.25">
      <c r="A152" s="10"/>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row>
    <row r="153" spans="1:28" x14ac:dyDescent="0.25">
      <c r="A153" s="10"/>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row>
    <row r="154" spans="1:28" x14ac:dyDescent="0.25">
      <c r="A154" s="10"/>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row>
    <row r="155" spans="1:28" x14ac:dyDescent="0.25">
      <c r="A155" s="10"/>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row>
    <row r="156" spans="1:28" x14ac:dyDescent="0.25">
      <c r="A156" s="10"/>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row>
    <row r="157" spans="1:28" x14ac:dyDescent="0.25">
      <c r="A157" s="10"/>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row>
    <row r="158" spans="1:28" x14ac:dyDescent="0.25">
      <c r="A158" s="10"/>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row>
    <row r="159" spans="1:28" x14ac:dyDescent="0.25">
      <c r="A159" s="10"/>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row>
    <row r="160" spans="1:28" x14ac:dyDescent="0.25">
      <c r="A160" s="10"/>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row>
    <row r="161" spans="1:28" x14ac:dyDescent="0.25">
      <c r="A161" s="10"/>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row>
    <row r="162" spans="1:28" x14ac:dyDescent="0.25">
      <c r="A162" s="10"/>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row>
    <row r="163" spans="1:28" x14ac:dyDescent="0.25">
      <c r="A163" s="10"/>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row>
    <row r="164" spans="1:28" x14ac:dyDescent="0.25">
      <c r="A164" s="10"/>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row>
    <row r="165" spans="1:28" x14ac:dyDescent="0.25">
      <c r="A165" s="10"/>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row>
    <row r="166" spans="1:28" x14ac:dyDescent="0.25">
      <c r="A166" s="10"/>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row>
    <row r="167" spans="1:28" x14ac:dyDescent="0.25">
      <c r="A167" s="10"/>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row>
    <row r="168" spans="1:28" x14ac:dyDescent="0.25">
      <c r="A168" s="10"/>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row>
    <row r="169" spans="1:28" x14ac:dyDescent="0.25">
      <c r="A169" s="10"/>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row>
    <row r="170" spans="1:28" x14ac:dyDescent="0.25">
      <c r="A170" s="10"/>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row>
    <row r="171" spans="1:28" x14ac:dyDescent="0.25">
      <c r="A171" s="10"/>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row>
    <row r="172" spans="1:28" x14ac:dyDescent="0.25">
      <c r="A172" s="10"/>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row>
    <row r="173" spans="1:28" x14ac:dyDescent="0.25">
      <c r="A173" s="10"/>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row>
    <row r="174" spans="1:28" x14ac:dyDescent="0.25">
      <c r="A174" s="10"/>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row>
    <row r="175" spans="1:28" x14ac:dyDescent="0.25">
      <c r="A175" s="10"/>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row>
    <row r="176" spans="1:28" x14ac:dyDescent="0.25">
      <c r="A176" s="10"/>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row>
    <row r="177" spans="1:28" x14ac:dyDescent="0.25">
      <c r="A177" s="10"/>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row>
    <row r="178" spans="1:28" x14ac:dyDescent="0.25">
      <c r="A178" s="10"/>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row>
    <row r="179" spans="1:28" x14ac:dyDescent="0.25">
      <c r="A179" s="10"/>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row>
    <row r="180" spans="1:28" x14ac:dyDescent="0.25">
      <c r="A180" s="10"/>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row>
    <row r="181" spans="1:28" x14ac:dyDescent="0.25">
      <c r="A181" s="10"/>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row>
    <row r="182" spans="1:28" x14ac:dyDescent="0.25">
      <c r="A182" s="10"/>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row>
    <row r="183" spans="1:28" x14ac:dyDescent="0.25">
      <c r="A183" s="10"/>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row>
    <row r="184" spans="1:28" x14ac:dyDescent="0.25">
      <c r="A184" s="10"/>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row>
    <row r="185" spans="1:28" x14ac:dyDescent="0.25">
      <c r="A185" s="10"/>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row>
    <row r="186" spans="1:28" x14ac:dyDescent="0.25">
      <c r="A186" s="10"/>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row>
    <row r="187" spans="1:28" x14ac:dyDescent="0.25">
      <c r="A187" s="10"/>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row>
    <row r="188" spans="1:28" x14ac:dyDescent="0.25">
      <c r="A188" s="10"/>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row>
    <row r="189" spans="1:28" x14ac:dyDescent="0.25">
      <c r="A189" s="10"/>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row>
    <row r="190" spans="1:28" x14ac:dyDescent="0.25">
      <c r="A190" s="10"/>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row>
    <row r="191" spans="1:28" x14ac:dyDescent="0.25">
      <c r="A191" s="10"/>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row>
    <row r="192" spans="1:28" x14ac:dyDescent="0.25">
      <c r="A192" s="10"/>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row>
    <row r="193" spans="1:28" x14ac:dyDescent="0.25">
      <c r="A193" s="10"/>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row>
    <row r="194" spans="1:28" x14ac:dyDescent="0.25">
      <c r="A194" s="10"/>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row>
    <row r="195" spans="1:28" x14ac:dyDescent="0.25">
      <c r="A195" s="10"/>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row>
    <row r="196" spans="1:28" x14ac:dyDescent="0.25">
      <c r="A196" s="10"/>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row>
    <row r="197" spans="1:28" x14ac:dyDescent="0.25">
      <c r="A197" s="10"/>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row>
    <row r="198" spans="1:28" x14ac:dyDescent="0.25">
      <c r="A198" s="10"/>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row>
    <row r="199" spans="1:28" x14ac:dyDescent="0.25">
      <c r="A199" s="10"/>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row>
    <row r="200" spans="1:28" x14ac:dyDescent="0.25">
      <c r="A200" s="10"/>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row>
    <row r="201" spans="1:28" x14ac:dyDescent="0.25">
      <c r="A201" s="10"/>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row>
    <row r="202" spans="1:28" x14ac:dyDescent="0.25">
      <c r="A202" s="10"/>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row>
    <row r="203" spans="1:28" x14ac:dyDescent="0.25">
      <c r="A203" s="10"/>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row>
    <row r="204" spans="1:28" x14ac:dyDescent="0.25">
      <c r="A204" s="10"/>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row>
    <row r="205" spans="1:28" x14ac:dyDescent="0.25">
      <c r="A205" s="10"/>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row>
    <row r="206" spans="1:28" x14ac:dyDescent="0.25">
      <c r="A206" s="10"/>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row>
    <row r="207" spans="1:28" x14ac:dyDescent="0.25">
      <c r="A207" s="10"/>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row>
    <row r="208" spans="1:28" x14ac:dyDescent="0.25">
      <c r="A208" s="10"/>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row>
    <row r="209" spans="1:28" x14ac:dyDescent="0.25">
      <c r="A209" s="10"/>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row>
    <row r="210" spans="1:28" x14ac:dyDescent="0.25">
      <c r="A210" s="10"/>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row>
    <row r="211" spans="1:28" x14ac:dyDescent="0.25">
      <c r="A211" s="10"/>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row>
    <row r="212" spans="1:28" x14ac:dyDescent="0.25">
      <c r="A212" s="10"/>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row>
    <row r="213" spans="1:28" x14ac:dyDescent="0.25">
      <c r="A213" s="10"/>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row>
    <row r="214" spans="1:28" x14ac:dyDescent="0.25">
      <c r="A214" s="10"/>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row>
    <row r="215" spans="1:28" x14ac:dyDescent="0.25">
      <c r="A215" s="10"/>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row>
    <row r="216" spans="1:28" x14ac:dyDescent="0.25">
      <c r="A216" s="10"/>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row>
    <row r="217" spans="1:28" x14ac:dyDescent="0.25">
      <c r="A217" s="10"/>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row>
    <row r="218" spans="1:28" x14ac:dyDescent="0.25">
      <c r="A218" s="10"/>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row>
    <row r="219" spans="1:28" x14ac:dyDescent="0.25">
      <c r="A219" s="10"/>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row>
    <row r="220" spans="1:28" x14ac:dyDescent="0.25">
      <c r="A220" s="10"/>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row>
    <row r="221" spans="1:28" x14ac:dyDescent="0.25">
      <c r="A221" s="10"/>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row>
    <row r="222" spans="1:28" x14ac:dyDescent="0.25">
      <c r="A222" s="10"/>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row>
    <row r="223" spans="1:28" x14ac:dyDescent="0.25">
      <c r="A223" s="10"/>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row>
    <row r="224" spans="1:28" x14ac:dyDescent="0.25">
      <c r="A224" s="10"/>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row>
    <row r="225" spans="1:28" x14ac:dyDescent="0.25">
      <c r="A225" s="10"/>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row>
    <row r="226" spans="1:28" x14ac:dyDescent="0.25">
      <c r="A226" s="10"/>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row>
    <row r="227" spans="1:28" x14ac:dyDescent="0.25">
      <c r="A227" s="10"/>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row>
    <row r="228" spans="1:28" x14ac:dyDescent="0.25">
      <c r="A228" s="10"/>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row>
    <row r="229" spans="1:28" x14ac:dyDescent="0.25">
      <c r="A229" s="10"/>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row>
    <row r="230" spans="1:28" x14ac:dyDescent="0.25">
      <c r="A230" s="10"/>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row>
    <row r="231" spans="1:28" x14ac:dyDescent="0.25">
      <c r="A231" s="10"/>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row>
    <row r="232" spans="1:28" x14ac:dyDescent="0.25">
      <c r="A232" s="10"/>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row>
    <row r="233" spans="1:28" x14ac:dyDescent="0.25">
      <c r="A233" s="10"/>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row>
    <row r="234" spans="1:28" x14ac:dyDescent="0.25">
      <c r="A234" s="10"/>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row>
    <row r="235" spans="1:28" x14ac:dyDescent="0.25">
      <c r="A235" s="10"/>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row>
    <row r="236" spans="1:28" x14ac:dyDescent="0.25">
      <c r="A236" s="10"/>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row>
    <row r="237" spans="1:28" x14ac:dyDescent="0.25">
      <c r="A237" s="10"/>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row>
    <row r="238" spans="1:28" x14ac:dyDescent="0.25">
      <c r="A238" s="10"/>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row>
    <row r="239" spans="1:28" x14ac:dyDescent="0.25">
      <c r="A239" s="10"/>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row>
    <row r="240" spans="1:28" x14ac:dyDescent="0.25">
      <c r="A240" s="10"/>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row>
    <row r="241" spans="1:28" x14ac:dyDescent="0.25">
      <c r="A241" s="10"/>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row>
    <row r="242" spans="1:28" x14ac:dyDescent="0.25">
      <c r="A242" s="10"/>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row>
    <row r="243" spans="1:28" x14ac:dyDescent="0.25">
      <c r="A243" s="10"/>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row>
    <row r="244" spans="1:28" x14ac:dyDescent="0.25">
      <c r="A244" s="10"/>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row>
    <row r="245" spans="1:28" x14ac:dyDescent="0.25">
      <c r="A245" s="10"/>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row>
    <row r="246" spans="1:28" x14ac:dyDescent="0.25">
      <c r="A246" s="10"/>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row>
    <row r="247" spans="1:28" x14ac:dyDescent="0.25">
      <c r="A247" s="10"/>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row>
    <row r="248" spans="1:28" x14ac:dyDescent="0.25">
      <c r="A248" s="10"/>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row>
    <row r="249" spans="1:28" x14ac:dyDescent="0.25">
      <c r="A249" s="10"/>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row>
    <row r="250" spans="1:28" x14ac:dyDescent="0.25">
      <c r="A250" s="10"/>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row>
    <row r="251" spans="1:28" x14ac:dyDescent="0.25">
      <c r="A251" s="10"/>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row>
    <row r="252" spans="1:28" x14ac:dyDescent="0.25">
      <c r="A252" s="10"/>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row>
    <row r="253" spans="1:28" x14ac:dyDescent="0.25">
      <c r="A253" s="10"/>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row>
    <row r="254" spans="1:28" x14ac:dyDescent="0.25">
      <c r="A254" s="10"/>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row>
    <row r="255" spans="1:28" x14ac:dyDescent="0.25">
      <c r="A255" s="10"/>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row>
    <row r="256" spans="1:28" x14ac:dyDescent="0.25">
      <c r="A256" s="10"/>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row>
    <row r="257" spans="1:28" x14ac:dyDescent="0.25">
      <c r="A257" s="10"/>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row>
    <row r="258" spans="1:28" x14ac:dyDescent="0.25">
      <c r="A258" s="10"/>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row>
    <row r="259" spans="1:28" x14ac:dyDescent="0.25">
      <c r="A259" s="10"/>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row>
    <row r="260" spans="1:28" x14ac:dyDescent="0.25">
      <c r="A260" s="10"/>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row>
    <row r="261" spans="1:28" x14ac:dyDescent="0.25">
      <c r="A261" s="10"/>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row>
    <row r="262" spans="1:28" x14ac:dyDescent="0.25">
      <c r="A262" s="10"/>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row>
    <row r="263" spans="1:28" x14ac:dyDescent="0.25">
      <c r="A263" s="10"/>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row>
    <row r="264" spans="1:28" x14ac:dyDescent="0.25">
      <c r="A264" s="10"/>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row>
    <row r="265" spans="1:28" x14ac:dyDescent="0.25">
      <c r="A265" s="10"/>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row>
    <row r="266" spans="1:28" x14ac:dyDescent="0.25">
      <c r="A266" s="10"/>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row>
    <row r="267" spans="1:28" x14ac:dyDescent="0.25">
      <c r="A267" s="10"/>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row>
    <row r="268" spans="1:28" x14ac:dyDescent="0.25">
      <c r="A268" s="10"/>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row>
    <row r="269" spans="1:28" x14ac:dyDescent="0.25">
      <c r="A269" s="10"/>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row>
    <row r="270" spans="1:28" x14ac:dyDescent="0.25">
      <c r="A270" s="10"/>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row>
    <row r="271" spans="1:28" x14ac:dyDescent="0.25">
      <c r="A271" s="10"/>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row>
    <row r="272" spans="1:28" x14ac:dyDescent="0.25">
      <c r="A272" s="10"/>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row>
    <row r="273" spans="1:28" x14ac:dyDescent="0.25">
      <c r="A273" s="10"/>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row>
    <row r="274" spans="1:28" x14ac:dyDescent="0.25">
      <c r="A274" s="10"/>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row>
    <row r="275" spans="1:28" x14ac:dyDescent="0.25">
      <c r="A275" s="10"/>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row>
    <row r="276" spans="1:28" x14ac:dyDescent="0.25">
      <c r="A276" s="10"/>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row>
    <row r="277" spans="1:28" x14ac:dyDescent="0.25">
      <c r="A277" s="10"/>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row>
    <row r="278" spans="1:28" x14ac:dyDescent="0.25">
      <c r="A278" s="10"/>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row>
    <row r="279" spans="1:28" x14ac:dyDescent="0.25">
      <c r="A279" s="10"/>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row>
    <row r="280" spans="1:28" x14ac:dyDescent="0.25">
      <c r="A280" s="10"/>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row>
    <row r="281" spans="1:28" x14ac:dyDescent="0.25">
      <c r="A281" s="10"/>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row>
    <row r="282" spans="1:28" x14ac:dyDescent="0.25">
      <c r="A282" s="10"/>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row>
    <row r="283" spans="1:28" x14ac:dyDescent="0.25">
      <c r="A283" s="10"/>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row>
    <row r="284" spans="1:28" x14ac:dyDescent="0.25">
      <c r="A284" s="10"/>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row>
    <row r="285" spans="1:28" x14ac:dyDescent="0.25">
      <c r="A285" s="10"/>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row>
    <row r="286" spans="1:28" x14ac:dyDescent="0.25">
      <c r="A286" s="10"/>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row>
    <row r="287" spans="1:28" x14ac:dyDescent="0.25">
      <c r="A287" s="10"/>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row>
    <row r="288" spans="1:28" x14ac:dyDescent="0.25">
      <c r="A288" s="10"/>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row>
    <row r="289" spans="1:28" x14ac:dyDescent="0.25">
      <c r="A289" s="10"/>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row>
    <row r="290" spans="1:28" x14ac:dyDescent="0.25">
      <c r="A290" s="10"/>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row>
    <row r="291" spans="1:28" x14ac:dyDescent="0.25">
      <c r="A291" s="10"/>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row>
    <row r="292" spans="1:28" x14ac:dyDescent="0.25">
      <c r="A292" s="10"/>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row>
    <row r="293" spans="1:28" x14ac:dyDescent="0.25">
      <c r="A293" s="10"/>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row>
    <row r="294" spans="1:28" x14ac:dyDescent="0.25">
      <c r="A294" s="10"/>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row>
    <row r="295" spans="1:28" x14ac:dyDescent="0.25">
      <c r="A295" s="10"/>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row>
    <row r="296" spans="1:28" x14ac:dyDescent="0.25">
      <c r="A296" s="10"/>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row>
    <row r="297" spans="1:28" x14ac:dyDescent="0.25">
      <c r="A297" s="10"/>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row>
    <row r="298" spans="1:28" x14ac:dyDescent="0.25">
      <c r="A298" s="10"/>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row>
    <row r="299" spans="1:28" x14ac:dyDescent="0.25">
      <c r="A299" s="10"/>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row>
    <row r="300" spans="1:28" x14ac:dyDescent="0.25">
      <c r="A300" s="10"/>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row>
    <row r="301" spans="1:28" x14ac:dyDescent="0.25">
      <c r="A301" s="10"/>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row>
    <row r="302" spans="1:28" x14ac:dyDescent="0.25">
      <c r="A302" s="10"/>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row>
    <row r="303" spans="1:28" x14ac:dyDescent="0.25">
      <c r="A303" s="10"/>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row>
    <row r="304" spans="1:28" x14ac:dyDescent="0.25">
      <c r="A304" s="10"/>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row>
    <row r="305" spans="1:28" x14ac:dyDescent="0.25">
      <c r="A305" s="10"/>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row>
    <row r="306" spans="1:28" x14ac:dyDescent="0.25">
      <c r="A306" s="10"/>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row>
    <row r="307" spans="1:28" x14ac:dyDescent="0.25">
      <c r="A307" s="10"/>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row>
    <row r="308" spans="1:28" x14ac:dyDescent="0.25">
      <c r="A308" s="10"/>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row>
    <row r="309" spans="1:28" x14ac:dyDescent="0.25">
      <c r="A309" s="10"/>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row>
    <row r="310" spans="1:28" x14ac:dyDescent="0.25">
      <c r="A310" s="10"/>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row>
    <row r="311" spans="1:28" x14ac:dyDescent="0.25">
      <c r="A311" s="10"/>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row>
    <row r="312" spans="1:28" x14ac:dyDescent="0.25">
      <c r="A312" s="10"/>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row>
    <row r="313" spans="1:28" x14ac:dyDescent="0.25">
      <c r="A313" s="10"/>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row>
    <row r="314" spans="1:28" x14ac:dyDescent="0.25">
      <c r="A314" s="10"/>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row>
    <row r="315" spans="1:28" x14ac:dyDescent="0.25">
      <c r="A315" s="10"/>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row>
    <row r="316" spans="1:28" x14ac:dyDescent="0.25">
      <c r="A316" s="10"/>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row>
    <row r="317" spans="1:28" x14ac:dyDescent="0.25">
      <c r="A317" s="10"/>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row>
    <row r="318" spans="1:28" x14ac:dyDescent="0.25">
      <c r="A318" s="10"/>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row>
    <row r="319" spans="1:28" x14ac:dyDescent="0.25">
      <c r="A319" s="10"/>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row>
    <row r="320" spans="1:28" x14ac:dyDescent="0.25">
      <c r="A320" s="10"/>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row>
    <row r="321" spans="1:28" x14ac:dyDescent="0.25">
      <c r="A321" s="10"/>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row>
    <row r="322" spans="1:28" x14ac:dyDescent="0.25">
      <c r="A322" s="10"/>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row>
    <row r="323" spans="1:28" x14ac:dyDescent="0.25">
      <c r="A323" s="10"/>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row>
    <row r="324" spans="1:28" x14ac:dyDescent="0.25">
      <c r="A324" s="10"/>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row>
    <row r="325" spans="1:28" x14ac:dyDescent="0.25">
      <c r="A325" s="10"/>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row>
    <row r="326" spans="1:28" x14ac:dyDescent="0.25">
      <c r="A326" s="10"/>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row>
    <row r="327" spans="1:28" x14ac:dyDescent="0.25">
      <c r="A327" s="10"/>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row>
    <row r="328" spans="1:28" x14ac:dyDescent="0.25">
      <c r="A328" s="10"/>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row>
    <row r="329" spans="1:28" x14ac:dyDescent="0.25">
      <c r="A329" s="10"/>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row>
    <row r="330" spans="1:28" x14ac:dyDescent="0.25">
      <c r="A330" s="10"/>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row>
    <row r="331" spans="1:28" x14ac:dyDescent="0.25">
      <c r="A331" s="10"/>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row>
    <row r="332" spans="1:28" x14ac:dyDescent="0.25">
      <c r="A332" s="10"/>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row>
    <row r="333" spans="1:28" x14ac:dyDescent="0.25">
      <c r="A333" s="10"/>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row>
    <row r="334" spans="1:28" x14ac:dyDescent="0.25">
      <c r="A334" s="10"/>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row>
    <row r="335" spans="1:28" x14ac:dyDescent="0.25">
      <c r="A335" s="10"/>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row>
    <row r="336" spans="1:28" x14ac:dyDescent="0.25">
      <c r="A336" s="10"/>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row>
    <row r="337" spans="1:28" x14ac:dyDescent="0.25">
      <c r="A337" s="10"/>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row>
    <row r="338" spans="1:28" x14ac:dyDescent="0.25">
      <c r="A338" s="10"/>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row>
    <row r="339" spans="1:28" x14ac:dyDescent="0.25">
      <c r="A339" s="10"/>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row>
    <row r="340" spans="1:28" x14ac:dyDescent="0.25">
      <c r="A340" s="10"/>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row>
    <row r="341" spans="1:28" x14ac:dyDescent="0.25">
      <c r="A341" s="10"/>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row>
    <row r="342" spans="1:28" x14ac:dyDescent="0.25">
      <c r="A342" s="10"/>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row>
    <row r="343" spans="1:28" x14ac:dyDescent="0.25">
      <c r="A343" s="10"/>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row>
    <row r="344" spans="1:28" x14ac:dyDescent="0.25">
      <c r="A344" s="10"/>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row>
    <row r="345" spans="1:28" x14ac:dyDescent="0.25">
      <c r="A345" s="10"/>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row>
    <row r="346" spans="1:28" x14ac:dyDescent="0.25">
      <c r="A346" s="10"/>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row>
    <row r="347" spans="1:28" x14ac:dyDescent="0.25">
      <c r="A347" s="10"/>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row>
    <row r="348" spans="1:28" x14ac:dyDescent="0.25">
      <c r="A348" s="10"/>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row>
    <row r="349" spans="1:28" x14ac:dyDescent="0.25">
      <c r="A349" s="10"/>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row>
    <row r="350" spans="1:28" x14ac:dyDescent="0.25">
      <c r="A350" s="10"/>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row>
    <row r="351" spans="1:28" x14ac:dyDescent="0.25">
      <c r="A351" s="10"/>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row>
    <row r="352" spans="1:28" x14ac:dyDescent="0.25">
      <c r="A352" s="10"/>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row>
    <row r="353" spans="1:28" x14ac:dyDescent="0.25">
      <c r="A353" s="10"/>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row>
    <row r="354" spans="1:28" x14ac:dyDescent="0.25">
      <c r="A354" s="10"/>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row>
    <row r="355" spans="1:28" x14ac:dyDescent="0.25">
      <c r="A355" s="10"/>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row>
    <row r="356" spans="1:28" x14ac:dyDescent="0.25">
      <c r="A356" s="10"/>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row>
    <row r="357" spans="1:28" x14ac:dyDescent="0.25">
      <c r="A357" s="10"/>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row>
    <row r="358" spans="1:28" x14ac:dyDescent="0.25">
      <c r="A358" s="10"/>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row>
    <row r="359" spans="1:28" x14ac:dyDescent="0.25">
      <c r="A359" s="10"/>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row>
    <row r="360" spans="1:28" x14ac:dyDescent="0.25">
      <c r="A360" s="10"/>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row>
    <row r="361" spans="1:28" x14ac:dyDescent="0.25">
      <c r="A361" s="10"/>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row>
    <row r="362" spans="1:28" x14ac:dyDescent="0.25">
      <c r="A362" s="10"/>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row>
    <row r="363" spans="1:28" x14ac:dyDescent="0.25">
      <c r="A363" s="10"/>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row>
    <row r="364" spans="1:28" x14ac:dyDescent="0.25">
      <c r="A364" s="10"/>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row>
    <row r="365" spans="1:28" x14ac:dyDescent="0.25">
      <c r="A365" s="10"/>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row>
    <row r="366" spans="1:28" x14ac:dyDescent="0.25">
      <c r="A366" s="10"/>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row>
    <row r="367" spans="1:28" x14ac:dyDescent="0.25">
      <c r="A367" s="10"/>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row>
    <row r="368" spans="1:28" x14ac:dyDescent="0.25">
      <c r="A368" s="10"/>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row>
    <row r="369" spans="1:28" x14ac:dyDescent="0.25">
      <c r="A369" s="10"/>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row>
    <row r="370" spans="1:28" x14ac:dyDescent="0.25">
      <c r="A370" s="10"/>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row>
    <row r="371" spans="1:28" x14ac:dyDescent="0.25">
      <c r="A371" s="10"/>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row>
    <row r="372" spans="1:28" x14ac:dyDescent="0.25">
      <c r="A372" s="10"/>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row>
    <row r="373" spans="1:28" x14ac:dyDescent="0.25">
      <c r="A373" s="10"/>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row>
    <row r="374" spans="1:28" x14ac:dyDescent="0.25">
      <c r="A374" s="10"/>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row>
    <row r="375" spans="1:28" x14ac:dyDescent="0.25">
      <c r="A375" s="10"/>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row>
    <row r="376" spans="1:28" x14ac:dyDescent="0.25">
      <c r="A376" s="10"/>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row>
    <row r="377" spans="1:28" x14ac:dyDescent="0.25">
      <c r="A377" s="10"/>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row>
    <row r="378" spans="1:28" x14ac:dyDescent="0.25">
      <c r="A378" s="10"/>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row>
    <row r="379" spans="1:28" x14ac:dyDescent="0.25">
      <c r="A379" s="10"/>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row>
    <row r="380" spans="1:28" x14ac:dyDescent="0.25">
      <c r="A380" s="10"/>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row>
    <row r="381" spans="1:28" x14ac:dyDescent="0.25">
      <c r="A381" s="10"/>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row>
    <row r="382" spans="1:28" x14ac:dyDescent="0.25">
      <c r="A382" s="10"/>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row>
    <row r="383" spans="1:28" x14ac:dyDescent="0.25">
      <c r="A383" s="10"/>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row>
    <row r="384" spans="1:28" x14ac:dyDescent="0.25">
      <c r="A384" s="10"/>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row>
    <row r="385" spans="1:28" x14ac:dyDescent="0.25">
      <c r="A385" s="10"/>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row>
    <row r="386" spans="1:28" x14ac:dyDescent="0.25">
      <c r="A386" s="10"/>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row>
    <row r="387" spans="1:28" x14ac:dyDescent="0.25">
      <c r="A387" s="10"/>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row>
    <row r="388" spans="1:28" x14ac:dyDescent="0.25">
      <c r="A388" s="10"/>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row>
    <row r="389" spans="1:28" x14ac:dyDescent="0.25">
      <c r="A389" s="10"/>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row>
    <row r="390" spans="1:28" x14ac:dyDescent="0.25">
      <c r="A390" s="10"/>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row>
    <row r="391" spans="1:28" x14ac:dyDescent="0.25">
      <c r="A391" s="10"/>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row>
    <row r="392" spans="1:28" x14ac:dyDescent="0.25">
      <c r="A392" s="10"/>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row>
    <row r="393" spans="1:28" x14ac:dyDescent="0.25">
      <c r="A393" s="10"/>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row>
    <row r="394" spans="1:28" x14ac:dyDescent="0.25">
      <c r="A394" s="10"/>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row>
    <row r="395" spans="1:28" x14ac:dyDescent="0.25">
      <c r="A395" s="10"/>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row>
    <row r="396" spans="1:28" x14ac:dyDescent="0.25">
      <c r="A396" s="10"/>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row>
    <row r="397" spans="1:28" x14ac:dyDescent="0.25">
      <c r="A397" s="10"/>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row>
    <row r="398" spans="1:28" x14ac:dyDescent="0.25">
      <c r="A398" s="10"/>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row>
    <row r="399" spans="1:28" x14ac:dyDescent="0.25">
      <c r="A399" s="10"/>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row>
    <row r="400" spans="1:28" x14ac:dyDescent="0.25">
      <c r="A400" s="10"/>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row>
    <row r="401" spans="1:28" x14ac:dyDescent="0.25">
      <c r="A401" s="10"/>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row>
    <row r="402" spans="1:28" x14ac:dyDescent="0.25">
      <c r="A402" s="10"/>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row>
    <row r="403" spans="1:28" x14ac:dyDescent="0.25">
      <c r="A403" s="10"/>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row>
    <row r="404" spans="1:28" x14ac:dyDescent="0.25">
      <c r="A404" s="10"/>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row>
    <row r="405" spans="1:28" x14ac:dyDescent="0.25">
      <c r="A405" s="10"/>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row>
    <row r="406" spans="1:28" x14ac:dyDescent="0.25">
      <c r="A406" s="10"/>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row>
    <row r="407" spans="1:28" x14ac:dyDescent="0.25">
      <c r="A407" s="10"/>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row>
    <row r="408" spans="1:28" x14ac:dyDescent="0.25">
      <c r="A408" s="10"/>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row>
    <row r="409" spans="1:28" x14ac:dyDescent="0.25">
      <c r="A409" s="10"/>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row>
    <row r="410" spans="1:28" x14ac:dyDescent="0.25">
      <c r="A410" s="10"/>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row>
    <row r="411" spans="1:28" x14ac:dyDescent="0.25">
      <c r="A411" s="10"/>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row>
    <row r="412" spans="1:28" x14ac:dyDescent="0.25">
      <c r="A412" s="10"/>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row>
    <row r="413" spans="1:28" x14ac:dyDescent="0.25">
      <c r="A413" s="10"/>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row>
    <row r="414" spans="1:28" x14ac:dyDescent="0.25">
      <c r="A414" s="10"/>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row>
    <row r="415" spans="1:28" x14ac:dyDescent="0.25">
      <c r="A415" s="10"/>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row>
    <row r="416" spans="1:28" x14ac:dyDescent="0.25">
      <c r="A416" s="10"/>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row>
    <row r="417" spans="1:28" x14ac:dyDescent="0.25">
      <c r="A417" s="10"/>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row>
    <row r="418" spans="1:28" x14ac:dyDescent="0.25">
      <c r="A418" s="10"/>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row>
    <row r="419" spans="1:28" x14ac:dyDescent="0.25">
      <c r="A419" s="10"/>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row>
    <row r="420" spans="1:28" x14ac:dyDescent="0.25">
      <c r="A420" s="10"/>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row>
    <row r="421" spans="1:28" x14ac:dyDescent="0.25">
      <c r="A421" s="10"/>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row>
    <row r="422" spans="1:28" x14ac:dyDescent="0.25">
      <c r="A422" s="10"/>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row>
    <row r="423" spans="1:28" x14ac:dyDescent="0.25">
      <c r="A423" s="10"/>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row>
    <row r="424" spans="1:28" x14ac:dyDescent="0.25">
      <c r="A424" s="10"/>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row>
    <row r="425" spans="1:28" x14ac:dyDescent="0.25">
      <c r="A425" s="10"/>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row>
    <row r="426" spans="1:28" x14ac:dyDescent="0.25">
      <c r="A426" s="10"/>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row>
    <row r="427" spans="1:28" x14ac:dyDescent="0.25">
      <c r="A427" s="10"/>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row>
    <row r="428" spans="1:28" x14ac:dyDescent="0.25">
      <c r="A428" s="10"/>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row>
    <row r="429" spans="1:28" x14ac:dyDescent="0.25">
      <c r="A429" s="10"/>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row>
    <row r="430" spans="1:28" x14ac:dyDescent="0.25">
      <c r="A430" s="10"/>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row>
    <row r="431" spans="1:28" x14ac:dyDescent="0.25">
      <c r="A431" s="10"/>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row>
    <row r="432" spans="1:28" x14ac:dyDescent="0.25">
      <c r="A432" s="10"/>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row>
    <row r="433" spans="1:28" x14ac:dyDescent="0.25">
      <c r="A433" s="10"/>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row>
    <row r="434" spans="1:28" x14ac:dyDescent="0.25">
      <c r="A434" s="10"/>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row>
    <row r="435" spans="1:28" x14ac:dyDescent="0.25">
      <c r="A435" s="10"/>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row>
    <row r="436" spans="1:28" x14ac:dyDescent="0.25">
      <c r="A436" s="10"/>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row>
    <row r="437" spans="1:28" x14ac:dyDescent="0.25">
      <c r="A437" s="10"/>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row>
    <row r="438" spans="1:28" x14ac:dyDescent="0.25">
      <c r="A438" s="10"/>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row>
    <row r="439" spans="1:28" x14ac:dyDescent="0.25">
      <c r="A439" s="10"/>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row>
    <row r="440" spans="1:28" x14ac:dyDescent="0.25">
      <c r="A440" s="10"/>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row>
    <row r="441" spans="1:28" x14ac:dyDescent="0.25">
      <c r="A441" s="10"/>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row>
    <row r="442" spans="1:28" x14ac:dyDescent="0.25">
      <c r="A442" s="10"/>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row>
    <row r="443" spans="1:28" x14ac:dyDescent="0.25">
      <c r="A443" s="10"/>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row>
    <row r="444" spans="1:28" x14ac:dyDescent="0.25">
      <c r="A444" s="10"/>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row>
    <row r="445" spans="1:28" x14ac:dyDescent="0.25">
      <c r="A445" s="10"/>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row>
    <row r="446" spans="1:28" x14ac:dyDescent="0.25">
      <c r="A446" s="10"/>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row>
    <row r="447" spans="1:28" x14ac:dyDescent="0.25">
      <c r="A447" s="10"/>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row>
    <row r="448" spans="1:28" x14ac:dyDescent="0.25">
      <c r="A448" s="10"/>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row>
    <row r="449" spans="1:28" x14ac:dyDescent="0.25">
      <c r="A449" s="10"/>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row>
    <row r="450" spans="1:28" x14ac:dyDescent="0.25">
      <c r="A450" s="10"/>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row>
    <row r="451" spans="1:28" x14ac:dyDescent="0.25">
      <c r="A451" s="10"/>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row>
    <row r="452" spans="1:28" x14ac:dyDescent="0.25">
      <c r="A452" s="10"/>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row>
    <row r="453" spans="1:28" x14ac:dyDescent="0.25">
      <c r="A453" s="10"/>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row>
    <row r="454" spans="1:28" x14ac:dyDescent="0.25">
      <c r="A454" s="10"/>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row>
    <row r="455" spans="1:28" x14ac:dyDescent="0.25">
      <c r="A455" s="10"/>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row>
    <row r="456" spans="1:28" x14ac:dyDescent="0.25">
      <c r="A456" s="10"/>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row>
    <row r="457" spans="1:28" x14ac:dyDescent="0.25">
      <c r="A457" s="10"/>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row>
    <row r="458" spans="1:28" x14ac:dyDescent="0.25">
      <c r="A458" s="10"/>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row>
    <row r="459" spans="1:28" x14ac:dyDescent="0.25">
      <c r="A459" s="10"/>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row>
    <row r="460" spans="1:28" x14ac:dyDescent="0.25">
      <c r="A460" s="10"/>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row>
    <row r="461" spans="1:28" x14ac:dyDescent="0.25">
      <c r="A461" s="10"/>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row>
    <row r="462" spans="1:28" x14ac:dyDescent="0.25">
      <c r="A462" s="10"/>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row>
    <row r="463" spans="1:28" x14ac:dyDescent="0.25">
      <c r="A463" s="10"/>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row>
    <row r="464" spans="1:28" x14ac:dyDescent="0.25">
      <c r="A464" s="10"/>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row>
    <row r="465" spans="1:28" x14ac:dyDescent="0.25">
      <c r="A465" s="10"/>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row>
    <row r="466" spans="1:28" x14ac:dyDescent="0.25">
      <c r="A466" s="10"/>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row>
    <row r="467" spans="1:28" x14ac:dyDescent="0.25">
      <c r="A467" s="10"/>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row>
    <row r="468" spans="1:28" x14ac:dyDescent="0.25">
      <c r="A468" s="10"/>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row>
    <row r="469" spans="1:28" x14ac:dyDescent="0.25">
      <c r="A469" s="10"/>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row>
    <row r="470" spans="1:28" x14ac:dyDescent="0.25">
      <c r="A470" s="10"/>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row>
    <row r="471" spans="1:28" x14ac:dyDescent="0.25">
      <c r="A471" s="10"/>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row>
    <row r="472" spans="1:28" x14ac:dyDescent="0.25">
      <c r="A472" s="10"/>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row>
    <row r="473" spans="1:28" x14ac:dyDescent="0.25">
      <c r="A473" s="10"/>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row>
    <row r="474" spans="1:28" x14ac:dyDescent="0.25">
      <c r="A474" s="10"/>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row>
    <row r="475" spans="1:28" x14ac:dyDescent="0.25">
      <c r="A475" s="10"/>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row>
    <row r="476" spans="1:28" x14ac:dyDescent="0.25">
      <c r="A476" s="10"/>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row>
    <row r="477" spans="1:28" x14ac:dyDescent="0.25">
      <c r="A477" s="10"/>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row>
    <row r="478" spans="1:28" x14ac:dyDescent="0.25">
      <c r="A478" s="10"/>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row>
    <row r="479" spans="1:28" x14ac:dyDescent="0.25">
      <c r="A479" s="10"/>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row>
    <row r="480" spans="1:28" x14ac:dyDescent="0.25">
      <c r="A480" s="10"/>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row>
    <row r="481" spans="1:28" x14ac:dyDescent="0.25">
      <c r="A481" s="10"/>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row>
    <row r="482" spans="1:28" x14ac:dyDescent="0.25">
      <c r="A482" s="10"/>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row>
    <row r="483" spans="1:28" x14ac:dyDescent="0.25">
      <c r="A483" s="10"/>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row>
    <row r="484" spans="1:28" x14ac:dyDescent="0.25">
      <c r="A484" s="10"/>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row>
    <row r="485" spans="1:28" x14ac:dyDescent="0.25">
      <c r="A485" s="10"/>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row>
    <row r="486" spans="1:28" x14ac:dyDescent="0.25">
      <c r="A486" s="10"/>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row>
    <row r="487" spans="1:28" x14ac:dyDescent="0.25">
      <c r="A487" s="10"/>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row>
    <row r="488" spans="1:28" x14ac:dyDescent="0.25">
      <c r="A488" s="10"/>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row>
    <row r="489" spans="1:28" x14ac:dyDescent="0.25">
      <c r="A489" s="10"/>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row>
    <row r="490" spans="1:28" x14ac:dyDescent="0.25">
      <c r="A490" s="10"/>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row>
    <row r="491" spans="1:28" x14ac:dyDescent="0.25">
      <c r="A491" s="10"/>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row>
    <row r="492" spans="1:28" x14ac:dyDescent="0.25">
      <c r="A492" s="10"/>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row>
    <row r="493" spans="1:28" x14ac:dyDescent="0.25">
      <c r="A493" s="10"/>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row>
    <row r="494" spans="1:28" x14ac:dyDescent="0.25">
      <c r="A494" s="10"/>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row>
    <row r="495" spans="1:28" x14ac:dyDescent="0.25">
      <c r="A495" s="10"/>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row>
    <row r="496" spans="1:28" x14ac:dyDescent="0.25">
      <c r="A496" s="10"/>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row>
    <row r="497" spans="1:28" x14ac:dyDescent="0.25">
      <c r="A497" s="10"/>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row>
    <row r="498" spans="1:28" x14ac:dyDescent="0.25">
      <c r="A498" s="10"/>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row>
    <row r="499" spans="1:28" x14ac:dyDescent="0.25">
      <c r="A499" s="10"/>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row>
    <row r="500" spans="1:28" x14ac:dyDescent="0.25">
      <c r="A500" s="10"/>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row>
    <row r="501" spans="1:28" x14ac:dyDescent="0.25">
      <c r="A501" s="10"/>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row>
    <row r="502" spans="1:28" x14ac:dyDescent="0.25">
      <c r="A502" s="10"/>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row>
    <row r="503" spans="1:28" x14ac:dyDescent="0.25">
      <c r="A503" s="10"/>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row>
    <row r="504" spans="1:28" x14ac:dyDescent="0.25">
      <c r="A504" s="10"/>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row>
    <row r="505" spans="1:28" x14ac:dyDescent="0.25">
      <c r="A505" s="10"/>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row>
    <row r="506" spans="1:28" x14ac:dyDescent="0.25">
      <c r="A506" s="10"/>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row>
    <row r="507" spans="1:28" x14ac:dyDescent="0.25">
      <c r="A507" s="10"/>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row>
    <row r="508" spans="1:28" x14ac:dyDescent="0.25">
      <c r="A508" s="10"/>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row>
    <row r="509" spans="1:28" x14ac:dyDescent="0.25">
      <c r="A509" s="10"/>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row>
    <row r="510" spans="1:28" x14ac:dyDescent="0.25">
      <c r="A510" s="10"/>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row>
    <row r="511" spans="1:28" x14ac:dyDescent="0.25">
      <c r="A511" s="10"/>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row>
    <row r="512" spans="1:28" x14ac:dyDescent="0.25">
      <c r="A512" s="10"/>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row>
    <row r="513" spans="1:28" x14ac:dyDescent="0.25">
      <c r="A513" s="10"/>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row>
    <row r="514" spans="1:28" x14ac:dyDescent="0.25">
      <c r="A514" s="10"/>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row>
    <row r="515" spans="1:28" x14ac:dyDescent="0.25">
      <c r="A515" s="10"/>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row>
    <row r="516" spans="1:28" x14ac:dyDescent="0.25">
      <c r="A516" s="10"/>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row>
    <row r="517" spans="1:28" x14ac:dyDescent="0.25">
      <c r="A517" s="10"/>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row>
    <row r="518" spans="1:28" x14ac:dyDescent="0.25">
      <c r="A518" s="10"/>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row>
    <row r="519" spans="1:28" x14ac:dyDescent="0.25">
      <c r="A519" s="10"/>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row>
    <row r="520" spans="1:28" x14ac:dyDescent="0.25">
      <c r="A520" s="10"/>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row>
    <row r="521" spans="1:28" x14ac:dyDescent="0.25">
      <c r="A521" s="10"/>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row>
    <row r="522" spans="1:28" x14ac:dyDescent="0.25">
      <c r="A522" s="10"/>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row>
    <row r="523" spans="1:28" x14ac:dyDescent="0.25">
      <c r="A523" s="10"/>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row>
    <row r="524" spans="1:28" x14ac:dyDescent="0.25">
      <c r="A524" s="10"/>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row>
    <row r="525" spans="1:28" x14ac:dyDescent="0.25">
      <c r="A525" s="10"/>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row>
    <row r="526" spans="1:28" x14ac:dyDescent="0.25">
      <c r="A526" s="10"/>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row>
    <row r="527" spans="1:28" x14ac:dyDescent="0.25">
      <c r="A527" s="10"/>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row>
    <row r="528" spans="1:28" x14ac:dyDescent="0.25">
      <c r="A528" s="10"/>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row>
    <row r="529" spans="1:28" x14ac:dyDescent="0.25">
      <c r="A529" s="10"/>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row>
    <row r="530" spans="1:28" x14ac:dyDescent="0.25">
      <c r="A530" s="10"/>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row>
    <row r="531" spans="1:28" x14ac:dyDescent="0.25">
      <c r="A531" s="10"/>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row>
    <row r="532" spans="1:28" x14ac:dyDescent="0.25">
      <c r="A532" s="10"/>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row>
    <row r="533" spans="1:28" x14ac:dyDescent="0.25">
      <c r="A533" s="10"/>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row>
    <row r="534" spans="1:28" x14ac:dyDescent="0.25">
      <c r="A534" s="10"/>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row>
    <row r="535" spans="1:28" x14ac:dyDescent="0.25">
      <c r="A535" s="10"/>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row>
    <row r="536" spans="1:28" x14ac:dyDescent="0.25">
      <c r="A536" s="10"/>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row>
    <row r="537" spans="1:28" x14ac:dyDescent="0.25">
      <c r="A537" s="10"/>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row>
    <row r="538" spans="1:28" x14ac:dyDescent="0.25">
      <c r="A538" s="10"/>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row>
    <row r="539" spans="1:28" x14ac:dyDescent="0.25">
      <c r="A539" s="10"/>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row>
    <row r="540" spans="1:28" x14ac:dyDescent="0.25">
      <c r="A540" s="10"/>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row>
    <row r="541" spans="1:28" x14ac:dyDescent="0.25">
      <c r="A541" s="10"/>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row>
    <row r="542" spans="1:28" x14ac:dyDescent="0.25">
      <c r="A542" s="10"/>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row>
    <row r="543" spans="1:28" x14ac:dyDescent="0.25">
      <c r="A543" s="10"/>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row>
    <row r="544" spans="1:28" x14ac:dyDescent="0.25">
      <c r="A544" s="10"/>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row>
    <row r="545" spans="1:28" x14ac:dyDescent="0.25">
      <c r="A545" s="10"/>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row>
    <row r="546" spans="1:28" x14ac:dyDescent="0.25">
      <c r="A546" s="10"/>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row>
    <row r="547" spans="1:28" x14ac:dyDescent="0.25">
      <c r="A547" s="10"/>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row>
    <row r="548" spans="1:28" x14ac:dyDescent="0.25">
      <c r="A548" s="10"/>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row>
    <row r="549" spans="1:28" x14ac:dyDescent="0.25">
      <c r="A549" s="10"/>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row>
    <row r="550" spans="1:28" x14ac:dyDescent="0.25">
      <c r="A550" s="10"/>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row>
    <row r="551" spans="1:28" x14ac:dyDescent="0.25">
      <c r="A551" s="10"/>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row>
    <row r="552" spans="1:28" x14ac:dyDescent="0.25">
      <c r="A552" s="10"/>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row>
    <row r="553" spans="1:28" x14ac:dyDescent="0.25">
      <c r="A553" s="10"/>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row>
    <row r="554" spans="1:28" x14ac:dyDescent="0.25">
      <c r="A554" s="10"/>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row>
    <row r="555" spans="1:28" x14ac:dyDescent="0.25">
      <c r="A555" s="10"/>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row>
    <row r="556" spans="1:28" x14ac:dyDescent="0.25">
      <c r="A556" s="10"/>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row>
    <row r="557" spans="1:28" x14ac:dyDescent="0.25">
      <c r="A557" s="10"/>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row>
    <row r="558" spans="1:28" x14ac:dyDescent="0.25">
      <c r="A558" s="10"/>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row>
    <row r="559" spans="1:28" x14ac:dyDescent="0.25">
      <c r="A559" s="10"/>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row>
    <row r="560" spans="1:28" x14ac:dyDescent="0.25">
      <c r="A560" s="10"/>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row>
    <row r="561" spans="1:28" x14ac:dyDescent="0.25">
      <c r="A561" s="10"/>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row>
    <row r="562" spans="1:28" x14ac:dyDescent="0.25">
      <c r="A562" s="10"/>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row>
    <row r="563" spans="1:28" x14ac:dyDescent="0.25">
      <c r="A563" s="10"/>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row>
    <row r="564" spans="1:28" x14ac:dyDescent="0.25">
      <c r="A564" s="10"/>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row>
    <row r="565" spans="1:28" x14ac:dyDescent="0.25">
      <c r="A565" s="10"/>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row>
    <row r="566" spans="1:28" x14ac:dyDescent="0.25">
      <c r="A566" s="10"/>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row>
    <row r="567" spans="1:28" x14ac:dyDescent="0.25">
      <c r="A567" s="10"/>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row>
    <row r="568" spans="1:28" x14ac:dyDescent="0.25">
      <c r="A568" s="10"/>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row>
    <row r="569" spans="1:28" x14ac:dyDescent="0.25">
      <c r="A569" s="10"/>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row>
    <row r="570" spans="1:28" x14ac:dyDescent="0.25">
      <c r="A570" s="10"/>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row>
    <row r="571" spans="1:28" x14ac:dyDescent="0.25">
      <c r="A571" s="10"/>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row>
    <row r="572" spans="1:28" x14ac:dyDescent="0.25">
      <c r="A572" s="10"/>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row>
    <row r="573" spans="1:28" x14ac:dyDescent="0.25">
      <c r="A573" s="10"/>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row>
    <row r="574" spans="1:28" x14ac:dyDescent="0.25">
      <c r="A574" s="10"/>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row>
    <row r="575" spans="1:28" x14ac:dyDescent="0.25">
      <c r="A575" s="10"/>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row>
    <row r="576" spans="1:28" x14ac:dyDescent="0.25">
      <c r="A576" s="10"/>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row>
    <row r="577" spans="1:28" x14ac:dyDescent="0.25">
      <c r="A577" s="10"/>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row>
    <row r="578" spans="1:28" x14ac:dyDescent="0.25">
      <c r="A578" s="10"/>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row>
    <row r="579" spans="1:28" x14ac:dyDescent="0.25">
      <c r="A579" s="10"/>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row>
    <row r="580" spans="1:28" x14ac:dyDescent="0.25">
      <c r="A580" s="10"/>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row>
    <row r="581" spans="1:28" x14ac:dyDescent="0.25">
      <c r="A581" s="10"/>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row>
    <row r="582" spans="1:28" x14ac:dyDescent="0.25">
      <c r="A582" s="10"/>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row>
    <row r="583" spans="1:28" x14ac:dyDescent="0.25">
      <c r="A583" s="10"/>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row>
    <row r="584" spans="1:28" x14ac:dyDescent="0.25">
      <c r="A584" s="10"/>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row>
    <row r="585" spans="1:28" x14ac:dyDescent="0.25">
      <c r="A585" s="10"/>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row>
    <row r="586" spans="1:28" x14ac:dyDescent="0.25">
      <c r="A586" s="10"/>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row>
    <row r="587" spans="1:28" x14ac:dyDescent="0.25">
      <c r="A587" s="10"/>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row>
    <row r="588" spans="1:28" x14ac:dyDescent="0.25">
      <c r="A588" s="10"/>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row>
    <row r="589" spans="1:28" x14ac:dyDescent="0.25">
      <c r="A589" s="10"/>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row>
    <row r="590" spans="1:28" x14ac:dyDescent="0.25">
      <c r="A590" s="10"/>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row>
    <row r="591" spans="1:28" x14ac:dyDescent="0.25">
      <c r="A591" s="10"/>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row>
    <row r="592" spans="1:28" x14ac:dyDescent="0.25">
      <c r="A592" s="10"/>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row>
    <row r="593" spans="1:28" x14ac:dyDescent="0.25">
      <c r="A593" s="10"/>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row>
    <row r="594" spans="1:28" x14ac:dyDescent="0.25">
      <c r="A594" s="10"/>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row>
    <row r="595" spans="1:28" x14ac:dyDescent="0.25">
      <c r="A595" s="10"/>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row>
    <row r="596" spans="1:28" x14ac:dyDescent="0.25">
      <c r="A596" s="10"/>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row>
    <row r="597" spans="1:28" x14ac:dyDescent="0.25">
      <c r="A597" s="10"/>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row>
    <row r="598" spans="1:28" x14ac:dyDescent="0.25">
      <c r="A598" s="10"/>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row>
    <row r="599" spans="1:28" x14ac:dyDescent="0.25">
      <c r="A599" s="10"/>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row>
    <row r="600" spans="1:28" x14ac:dyDescent="0.25">
      <c r="A600" s="10"/>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row>
    <row r="601" spans="1:28" x14ac:dyDescent="0.25">
      <c r="A601" s="10"/>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row>
    <row r="602" spans="1:28" x14ac:dyDescent="0.25">
      <c r="A602" s="10"/>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row>
    <row r="603" spans="1:28" x14ac:dyDescent="0.25">
      <c r="A603" s="10"/>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row>
    <row r="604" spans="1:28" x14ac:dyDescent="0.25">
      <c r="A604" s="10"/>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row>
    <row r="605" spans="1:28" x14ac:dyDescent="0.25">
      <c r="A605" s="10"/>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row>
    <row r="606" spans="1:28" x14ac:dyDescent="0.25">
      <c r="A606" s="10"/>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row>
    <row r="607" spans="1:28" x14ac:dyDescent="0.25">
      <c r="A607" s="10"/>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row>
    <row r="608" spans="1:28" x14ac:dyDescent="0.25">
      <c r="A608" s="10"/>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row>
    <row r="609" spans="1:28" x14ac:dyDescent="0.25">
      <c r="A609" s="10"/>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row>
    <row r="610" spans="1:28" x14ac:dyDescent="0.25">
      <c r="A610" s="10"/>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row>
    <row r="611" spans="1:28" x14ac:dyDescent="0.25">
      <c r="A611" s="10"/>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row>
    <row r="612" spans="1:28" x14ac:dyDescent="0.25">
      <c r="A612" s="10"/>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row>
    <row r="613" spans="1:28" x14ac:dyDescent="0.25">
      <c r="A613" s="10"/>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row>
    <row r="614" spans="1:28" x14ac:dyDescent="0.25">
      <c r="A614" s="10"/>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row>
    <row r="615" spans="1:28" x14ac:dyDescent="0.25">
      <c r="A615" s="10"/>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row>
    <row r="616" spans="1:28" x14ac:dyDescent="0.25">
      <c r="A616" s="10"/>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row>
    <row r="617" spans="1:28" x14ac:dyDescent="0.25">
      <c r="A617" s="10"/>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row>
    <row r="618" spans="1:28" x14ac:dyDescent="0.25">
      <c r="A618" s="10"/>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row>
    <row r="619" spans="1:28" x14ac:dyDescent="0.25">
      <c r="A619" s="10"/>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row>
    <row r="620" spans="1:28" x14ac:dyDescent="0.25">
      <c r="A620" s="10"/>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row>
    <row r="621" spans="1:28" x14ac:dyDescent="0.25">
      <c r="A621" s="10"/>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row>
    <row r="622" spans="1:28" x14ac:dyDescent="0.25">
      <c r="A622" s="10"/>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row>
    <row r="623" spans="1:28" x14ac:dyDescent="0.25">
      <c r="A623" s="10"/>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row>
    <row r="624" spans="1:28" x14ac:dyDescent="0.25">
      <c r="A624" s="10"/>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row>
    <row r="625" spans="1:28" x14ac:dyDescent="0.25">
      <c r="A625" s="10"/>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row>
    <row r="626" spans="1:28" x14ac:dyDescent="0.25">
      <c r="A626" s="10"/>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row>
    <row r="627" spans="1:28" x14ac:dyDescent="0.25">
      <c r="A627" s="10"/>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row>
    <row r="628" spans="1:28" x14ac:dyDescent="0.25">
      <c r="A628" s="10"/>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row>
    <row r="629" spans="1:28" x14ac:dyDescent="0.25">
      <c r="A629" s="10"/>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row>
    <row r="630" spans="1:28" x14ac:dyDescent="0.25">
      <c r="A630" s="10"/>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row>
    <row r="631" spans="1:28" x14ac:dyDescent="0.25">
      <c r="A631" s="10"/>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row>
    <row r="632" spans="1:28" x14ac:dyDescent="0.25">
      <c r="A632" s="10"/>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row>
    <row r="633" spans="1:28" x14ac:dyDescent="0.25">
      <c r="A633" s="10"/>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row>
    <row r="634" spans="1:28" x14ac:dyDescent="0.25">
      <c r="A634" s="10"/>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row>
    <row r="635" spans="1:28" x14ac:dyDescent="0.25">
      <c r="A635" s="10"/>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row>
    <row r="636" spans="1:28" x14ac:dyDescent="0.25">
      <c r="A636" s="10"/>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row>
    <row r="637" spans="1:28" x14ac:dyDescent="0.25">
      <c r="A637" s="10"/>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row>
    <row r="638" spans="1:28" x14ac:dyDescent="0.25">
      <c r="A638" s="10"/>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row>
    <row r="639" spans="1:28" x14ac:dyDescent="0.25">
      <c r="A639" s="10"/>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row>
    <row r="640" spans="1:28" x14ac:dyDescent="0.25">
      <c r="A640" s="10"/>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row>
    <row r="641" spans="1:28" x14ac:dyDescent="0.25">
      <c r="A641" s="10"/>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row>
    <row r="642" spans="1:28" x14ac:dyDescent="0.25">
      <c r="A642" s="10"/>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row>
    <row r="643" spans="1:28" x14ac:dyDescent="0.25">
      <c r="A643" s="10"/>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row>
    <row r="644" spans="1:28" x14ac:dyDescent="0.25">
      <c r="A644" s="10"/>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row>
    <row r="645" spans="1:28" x14ac:dyDescent="0.25">
      <c r="A645" s="10"/>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row>
    <row r="646" spans="1:28" x14ac:dyDescent="0.25">
      <c r="A646" s="10"/>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row>
    <row r="647" spans="1:28" x14ac:dyDescent="0.25">
      <c r="A647" s="10"/>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row>
    <row r="648" spans="1:28" x14ac:dyDescent="0.25">
      <c r="A648" s="10"/>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row>
    <row r="649" spans="1:28" x14ac:dyDescent="0.25">
      <c r="A649" s="10"/>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row>
    <row r="650" spans="1:28" x14ac:dyDescent="0.25">
      <c r="A650" s="10"/>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row>
    <row r="651" spans="1:28" x14ac:dyDescent="0.25">
      <c r="A651" s="10"/>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row>
    <row r="652" spans="1:28" x14ac:dyDescent="0.25">
      <c r="A652" s="10"/>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row>
    <row r="653" spans="1:28" x14ac:dyDescent="0.25">
      <c r="A653" s="10"/>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row>
    <row r="654" spans="1:28" x14ac:dyDescent="0.25">
      <c r="A654" s="10"/>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row>
    <row r="655" spans="1:28" x14ac:dyDescent="0.25">
      <c r="A655" s="10"/>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row>
    <row r="656" spans="1:28" x14ac:dyDescent="0.25">
      <c r="A656" s="10"/>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row>
    <row r="657" spans="1:28" x14ac:dyDescent="0.25">
      <c r="A657" s="10"/>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row>
    <row r="658" spans="1:28" x14ac:dyDescent="0.25">
      <c r="A658" s="10"/>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row>
    <row r="659" spans="1:28" x14ac:dyDescent="0.25">
      <c r="A659" s="10"/>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row>
    <row r="660" spans="1:28" x14ac:dyDescent="0.25">
      <c r="A660" s="10"/>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row>
    <row r="661" spans="1:28" x14ac:dyDescent="0.25">
      <c r="A661" s="10"/>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row>
    <row r="662" spans="1:28" x14ac:dyDescent="0.25">
      <c r="A662" s="10"/>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row>
    <row r="663" spans="1:28" x14ac:dyDescent="0.25">
      <c r="A663" s="10"/>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row>
    <row r="664" spans="1:28" x14ac:dyDescent="0.25">
      <c r="A664" s="10"/>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row>
    <row r="665" spans="1:28" x14ac:dyDescent="0.25">
      <c r="A665" s="10"/>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row>
    <row r="666" spans="1:28" x14ac:dyDescent="0.25">
      <c r="A666" s="10"/>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row>
    <row r="667" spans="1:28" x14ac:dyDescent="0.25">
      <c r="A667" s="10"/>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row>
    <row r="668" spans="1:28" x14ac:dyDescent="0.25">
      <c r="A668" s="10"/>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row>
    <row r="669" spans="1:28" x14ac:dyDescent="0.25">
      <c r="A669" s="10"/>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row>
    <row r="670" spans="1:28" x14ac:dyDescent="0.25">
      <c r="A670" s="10"/>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row>
    <row r="671" spans="1:28" x14ac:dyDescent="0.25">
      <c r="A671" s="10"/>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row>
    <row r="672" spans="1:28" x14ac:dyDescent="0.25">
      <c r="A672" s="10"/>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row>
    <row r="673" spans="1:28" x14ac:dyDescent="0.25">
      <c r="A673" s="10"/>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row>
    <row r="674" spans="1:28" x14ac:dyDescent="0.25">
      <c r="A674" s="10"/>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row>
    <row r="675" spans="1:28" x14ac:dyDescent="0.25">
      <c r="A675" s="10"/>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row>
    <row r="676" spans="1:28" x14ac:dyDescent="0.25">
      <c r="A676" s="10"/>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row>
    <row r="677" spans="1:28" x14ac:dyDescent="0.25">
      <c r="A677" s="10"/>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row>
    <row r="678" spans="1:28" x14ac:dyDescent="0.25">
      <c r="A678" s="10"/>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row>
    <row r="679" spans="1:28" x14ac:dyDescent="0.25">
      <c r="A679" s="10"/>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row>
    <row r="680" spans="1:28" x14ac:dyDescent="0.25">
      <c r="A680" s="10"/>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row>
    <row r="681" spans="1:28" x14ac:dyDescent="0.25">
      <c r="A681" s="10"/>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row>
    <row r="682" spans="1:28" x14ac:dyDescent="0.25">
      <c r="A682" s="10"/>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row>
    <row r="683" spans="1:28" x14ac:dyDescent="0.25">
      <c r="A683" s="10"/>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row>
    <row r="684" spans="1:28" x14ac:dyDescent="0.25">
      <c r="A684" s="10"/>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row>
    <row r="685" spans="1:28" x14ac:dyDescent="0.25">
      <c r="A685" s="10"/>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row>
    <row r="686" spans="1:28" x14ac:dyDescent="0.25">
      <c r="A686" s="10"/>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row>
    <row r="687" spans="1:28" x14ac:dyDescent="0.25">
      <c r="A687" s="10"/>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row>
    <row r="688" spans="1:28" x14ac:dyDescent="0.25">
      <c r="A688" s="10"/>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row>
    <row r="689" spans="1:28" x14ac:dyDescent="0.25">
      <c r="A689" s="10"/>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row>
    <row r="690" spans="1:28" x14ac:dyDescent="0.25">
      <c r="A690" s="10"/>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row>
    <row r="691" spans="1:28" x14ac:dyDescent="0.25">
      <c r="A691" s="10"/>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row>
    <row r="692" spans="1:28" x14ac:dyDescent="0.25">
      <c r="A692" s="10"/>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row>
    <row r="693" spans="1:28" x14ac:dyDescent="0.25">
      <c r="A693" s="10"/>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row>
    <row r="694" spans="1:28" x14ac:dyDescent="0.25">
      <c r="A694" s="10"/>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row>
    <row r="695" spans="1:28" x14ac:dyDescent="0.25">
      <c r="A695" s="10"/>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row>
    <row r="696" spans="1:28" x14ac:dyDescent="0.25">
      <c r="A696" s="10"/>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row>
    <row r="697" spans="1:28" x14ac:dyDescent="0.25">
      <c r="A697" s="10"/>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row>
    <row r="698" spans="1:28" x14ac:dyDescent="0.25">
      <c r="A698" s="10"/>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row>
    <row r="699" spans="1:28" x14ac:dyDescent="0.25">
      <c r="A699" s="10"/>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row>
    <row r="700" spans="1:28" x14ac:dyDescent="0.25">
      <c r="A700" s="10"/>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row>
    <row r="701" spans="1:28" x14ac:dyDescent="0.25">
      <c r="A701" s="10"/>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row>
    <row r="702" spans="1:28" x14ac:dyDescent="0.25">
      <c r="A702" s="10"/>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row>
    <row r="703" spans="1:28" x14ac:dyDescent="0.25">
      <c r="A703" s="10"/>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row>
    <row r="704" spans="1:28" x14ac:dyDescent="0.25">
      <c r="A704" s="10"/>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row>
    <row r="705" spans="1:28" x14ac:dyDescent="0.25">
      <c r="A705" s="10"/>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row>
    <row r="706" spans="1:28" x14ac:dyDescent="0.25">
      <c r="A706" s="10"/>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row>
    <row r="707" spans="1:28" x14ac:dyDescent="0.25">
      <c r="A707" s="10"/>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row>
    <row r="708" spans="1:28" x14ac:dyDescent="0.25">
      <c r="A708" s="10"/>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row>
    <row r="709" spans="1:28" x14ac:dyDescent="0.25">
      <c r="A709" s="10"/>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row>
    <row r="710" spans="1:28" x14ac:dyDescent="0.25">
      <c r="A710" s="10"/>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row>
    <row r="711" spans="1:28" x14ac:dyDescent="0.25">
      <c r="A711" s="10"/>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row>
    <row r="712" spans="1:28" x14ac:dyDescent="0.25">
      <c r="A712" s="10"/>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row>
    <row r="713" spans="1:28" x14ac:dyDescent="0.25">
      <c r="A713" s="10"/>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row>
    <row r="714" spans="1:28" x14ac:dyDescent="0.25">
      <c r="A714" s="10"/>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row>
    <row r="715" spans="1:28" x14ac:dyDescent="0.25">
      <c r="A715" s="10"/>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row>
    <row r="716" spans="1:28" x14ac:dyDescent="0.25">
      <c r="A716" s="10"/>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row>
    <row r="717" spans="1:28" x14ac:dyDescent="0.25">
      <c r="A717" s="10"/>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row>
    <row r="718" spans="1:28" x14ac:dyDescent="0.25">
      <c r="A718" s="10"/>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row>
    <row r="719" spans="1:28" x14ac:dyDescent="0.25">
      <c r="A719" s="10"/>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row>
    <row r="720" spans="1:28" x14ac:dyDescent="0.25">
      <c r="A720" s="10"/>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row>
    <row r="721" spans="1:28" x14ac:dyDescent="0.25">
      <c r="A721" s="10"/>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row>
    <row r="722" spans="1:28" x14ac:dyDescent="0.25">
      <c r="A722" s="10"/>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row>
    <row r="723" spans="1:28" x14ac:dyDescent="0.25">
      <c r="A723" s="10"/>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row>
    <row r="724" spans="1:28" x14ac:dyDescent="0.25">
      <c r="A724" s="10"/>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row>
    <row r="725" spans="1:28" x14ac:dyDescent="0.25">
      <c r="A725" s="10"/>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row>
    <row r="726" spans="1:28" x14ac:dyDescent="0.25">
      <c r="A726" s="10"/>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row>
    <row r="727" spans="1:28" x14ac:dyDescent="0.25">
      <c r="A727" s="10"/>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row>
    <row r="728" spans="1:28" x14ac:dyDescent="0.25">
      <c r="A728" s="10"/>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row>
    <row r="729" spans="1:28" x14ac:dyDescent="0.25">
      <c r="A729" s="10"/>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row>
    <row r="730" spans="1:28" x14ac:dyDescent="0.25">
      <c r="A730" s="10"/>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row>
    <row r="731" spans="1:28" x14ac:dyDescent="0.25">
      <c r="A731" s="10"/>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row>
    <row r="732" spans="1:28" x14ac:dyDescent="0.25">
      <c r="A732" s="10"/>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row>
    <row r="733" spans="1:28" x14ac:dyDescent="0.25">
      <c r="A733" s="10"/>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row>
    <row r="734" spans="1:28" x14ac:dyDescent="0.25">
      <c r="A734" s="10"/>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row>
    <row r="735" spans="1:28" x14ac:dyDescent="0.25">
      <c r="A735" s="10"/>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row>
    <row r="736" spans="1:28" x14ac:dyDescent="0.25">
      <c r="A736" s="10"/>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row>
    <row r="737" spans="1:28" x14ac:dyDescent="0.25">
      <c r="A737" s="10"/>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row>
    <row r="738" spans="1:28" x14ac:dyDescent="0.25">
      <c r="A738" s="10"/>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row>
    <row r="739" spans="1:28" x14ac:dyDescent="0.25">
      <c r="A739" s="10"/>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row>
    <row r="740" spans="1:28" x14ac:dyDescent="0.25">
      <c r="A740" s="10"/>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row>
    <row r="741" spans="1:28" x14ac:dyDescent="0.25">
      <c r="A741" s="10"/>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row>
    <row r="742" spans="1:28" x14ac:dyDescent="0.25">
      <c r="A742" s="10"/>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row>
    <row r="743" spans="1:28" x14ac:dyDescent="0.25">
      <c r="A743" s="10"/>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row>
    <row r="744" spans="1:28" x14ac:dyDescent="0.25">
      <c r="A744" s="10"/>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row>
    <row r="745" spans="1:28" x14ac:dyDescent="0.25">
      <c r="A745" s="10"/>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row>
    <row r="746" spans="1:28" x14ac:dyDescent="0.25">
      <c r="A746" s="10"/>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row>
    <row r="747" spans="1:28" x14ac:dyDescent="0.25">
      <c r="A747" s="10"/>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row>
    <row r="748" spans="1:28" x14ac:dyDescent="0.25">
      <c r="A748" s="10"/>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row>
    <row r="749" spans="1:28" x14ac:dyDescent="0.25">
      <c r="A749" s="10"/>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row>
    <row r="750" spans="1:28" x14ac:dyDescent="0.25">
      <c r="A750" s="10"/>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row>
    <row r="751" spans="1:28" x14ac:dyDescent="0.25">
      <c r="A751" s="10"/>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row>
    <row r="752" spans="1:28" x14ac:dyDescent="0.25">
      <c r="A752" s="10"/>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row>
    <row r="753" spans="1:28" x14ac:dyDescent="0.25">
      <c r="A753" s="10"/>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row>
    <row r="754" spans="1:28" x14ac:dyDescent="0.25">
      <c r="A754" s="10"/>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row>
    <row r="755" spans="1:28" x14ac:dyDescent="0.25">
      <c r="A755" s="10"/>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row>
    <row r="756" spans="1:28" x14ac:dyDescent="0.25">
      <c r="A756" s="10"/>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row>
    <row r="757" spans="1:28" x14ac:dyDescent="0.25">
      <c r="A757" s="10"/>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row>
    <row r="758" spans="1:28" x14ac:dyDescent="0.25">
      <c r="A758" s="10"/>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row>
    <row r="759" spans="1:28" x14ac:dyDescent="0.25">
      <c r="A759" s="10"/>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row>
    <row r="760" spans="1:28" x14ac:dyDescent="0.25">
      <c r="A760" s="10"/>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row>
    <row r="761" spans="1:28" x14ac:dyDescent="0.25">
      <c r="A761" s="10"/>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row>
    <row r="762" spans="1:28" x14ac:dyDescent="0.25">
      <c r="A762" s="10"/>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row>
    <row r="763" spans="1:28" x14ac:dyDescent="0.25">
      <c r="A763" s="10"/>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row>
    <row r="764" spans="1:28" x14ac:dyDescent="0.25">
      <c r="A764" s="10"/>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row>
    <row r="765" spans="1:28" x14ac:dyDescent="0.25">
      <c r="A765" s="10"/>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row>
    <row r="766" spans="1:28" x14ac:dyDescent="0.25">
      <c r="A766" s="10"/>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row>
    <row r="767" spans="1:28" x14ac:dyDescent="0.25">
      <c r="A767" s="10"/>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row>
    <row r="768" spans="1:28" x14ac:dyDescent="0.25">
      <c r="A768" s="10"/>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row>
    <row r="769" spans="1:28" x14ac:dyDescent="0.25">
      <c r="A769" s="10"/>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row>
    <row r="770" spans="1:28" x14ac:dyDescent="0.25">
      <c r="A770" s="10"/>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row>
    <row r="771" spans="1:28" x14ac:dyDescent="0.25">
      <c r="A771" s="10"/>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row>
    <row r="772" spans="1:28" x14ac:dyDescent="0.25">
      <c r="A772" s="10"/>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row>
    <row r="773" spans="1:28" x14ac:dyDescent="0.25">
      <c r="A773" s="10"/>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row>
    <row r="774" spans="1:28" x14ac:dyDescent="0.25">
      <c r="A774" s="10"/>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row>
    <row r="775" spans="1:28" x14ac:dyDescent="0.25">
      <c r="A775" s="10"/>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row>
    <row r="776" spans="1:28" x14ac:dyDescent="0.25">
      <c r="A776" s="10"/>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row>
    <row r="777" spans="1:28" x14ac:dyDescent="0.25">
      <c r="A777" s="10"/>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row>
    <row r="778" spans="1:28" x14ac:dyDescent="0.25">
      <c r="A778" s="10"/>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row>
    <row r="779" spans="1:28" x14ac:dyDescent="0.25">
      <c r="A779" s="10"/>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row>
    <row r="780" spans="1:28" x14ac:dyDescent="0.25">
      <c r="A780" s="10"/>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row>
    <row r="781" spans="1:28" x14ac:dyDescent="0.25">
      <c r="A781" s="10"/>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row>
    <row r="782" spans="1:28" x14ac:dyDescent="0.25">
      <c r="A782" s="10"/>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row>
    <row r="783" spans="1:28" x14ac:dyDescent="0.25">
      <c r="A783" s="10"/>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row>
    <row r="784" spans="1:28" x14ac:dyDescent="0.25">
      <c r="A784" s="10"/>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row>
    <row r="785" spans="1:28" x14ac:dyDescent="0.25">
      <c r="A785" s="10"/>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row>
    <row r="786" spans="1:28" x14ac:dyDescent="0.25">
      <c r="A786" s="10"/>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row>
    <row r="787" spans="1:28" x14ac:dyDescent="0.25">
      <c r="A787" s="10"/>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row>
    <row r="788" spans="1:28" x14ac:dyDescent="0.25">
      <c r="A788" s="10"/>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row>
    <row r="789" spans="1:28" x14ac:dyDescent="0.25">
      <c r="A789" s="10"/>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row>
    <row r="790" spans="1:28" x14ac:dyDescent="0.25">
      <c r="A790" s="10"/>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row>
    <row r="791" spans="1:28" x14ac:dyDescent="0.25">
      <c r="A791" s="10"/>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row>
    <row r="792" spans="1:28" x14ac:dyDescent="0.25">
      <c r="A792" s="10"/>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row>
    <row r="793" spans="1:28" x14ac:dyDescent="0.25">
      <c r="A793" s="10"/>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row>
    <row r="794" spans="1:28" x14ac:dyDescent="0.25">
      <c r="A794" s="10"/>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row>
    <row r="795" spans="1:28" x14ac:dyDescent="0.25">
      <c r="A795" s="10"/>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row>
    <row r="796" spans="1:28" x14ac:dyDescent="0.25">
      <c r="A796" s="10"/>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row>
    <row r="797" spans="1:28" x14ac:dyDescent="0.25">
      <c r="A797" s="10"/>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row>
    <row r="798" spans="1:28" x14ac:dyDescent="0.25">
      <c r="A798" s="10"/>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row>
    <row r="799" spans="1:28" x14ac:dyDescent="0.25">
      <c r="A799" s="10"/>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row>
    <row r="800" spans="1:28" x14ac:dyDescent="0.25">
      <c r="A800" s="10"/>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row>
    <row r="801" spans="1:28" x14ac:dyDescent="0.25">
      <c r="A801" s="10"/>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row>
    <row r="802" spans="1:28" x14ac:dyDescent="0.25">
      <c r="A802" s="10"/>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row>
    <row r="803" spans="1:28" x14ac:dyDescent="0.25">
      <c r="A803" s="10"/>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row>
    <row r="804" spans="1:28" x14ac:dyDescent="0.25">
      <c r="A804" s="10"/>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row>
    <row r="805" spans="1:28" x14ac:dyDescent="0.25">
      <c r="A805" s="10"/>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row>
    <row r="806" spans="1:28" x14ac:dyDescent="0.25">
      <c r="A806" s="10"/>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row>
    <row r="807" spans="1:28" x14ac:dyDescent="0.25">
      <c r="A807" s="10"/>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row>
    <row r="808" spans="1:28" x14ac:dyDescent="0.25">
      <c r="A808" s="10"/>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row>
    <row r="809" spans="1:28" x14ac:dyDescent="0.25">
      <c r="A809" s="10"/>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row>
    <row r="810" spans="1:28" x14ac:dyDescent="0.25">
      <c r="A810" s="10"/>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row>
    <row r="811" spans="1:28" x14ac:dyDescent="0.25">
      <c r="A811" s="10"/>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row>
    <row r="812" spans="1:28" x14ac:dyDescent="0.25">
      <c r="A812" s="10"/>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row>
    <row r="813" spans="1:28" x14ac:dyDescent="0.25">
      <c r="A813" s="10"/>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row>
    <row r="814" spans="1:28" x14ac:dyDescent="0.25">
      <c r="A814" s="10"/>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row>
    <row r="815" spans="1:28" x14ac:dyDescent="0.25">
      <c r="A815" s="10"/>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row>
    <row r="816" spans="1:28" x14ac:dyDescent="0.25">
      <c r="A816" s="10"/>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row>
    <row r="817" spans="1:28" x14ac:dyDescent="0.25">
      <c r="A817" s="10"/>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row>
    <row r="818" spans="1:28" x14ac:dyDescent="0.25">
      <c r="A818" s="10"/>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row>
    <row r="819" spans="1:28" x14ac:dyDescent="0.25">
      <c r="A819" s="10"/>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row>
    <row r="820" spans="1:28" x14ac:dyDescent="0.25">
      <c r="A820" s="10"/>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row>
    <row r="821" spans="1:28" x14ac:dyDescent="0.25">
      <c r="A821" s="10"/>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row>
    <row r="822" spans="1:28" x14ac:dyDescent="0.25">
      <c r="A822" s="10"/>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row>
    <row r="823" spans="1:28" x14ac:dyDescent="0.25">
      <c r="A823" s="10"/>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row>
    <row r="824" spans="1:28" x14ac:dyDescent="0.25">
      <c r="A824" s="10"/>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row>
    <row r="825" spans="1:28" x14ac:dyDescent="0.25">
      <c r="A825" s="10"/>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row>
    <row r="826" spans="1:28" x14ac:dyDescent="0.25">
      <c r="A826" s="10"/>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row>
    <row r="827" spans="1:28" x14ac:dyDescent="0.25">
      <c r="A827" s="10"/>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row>
    <row r="828" spans="1:28" x14ac:dyDescent="0.25">
      <c r="A828" s="10"/>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row>
    <row r="829" spans="1:28" x14ac:dyDescent="0.25">
      <c r="A829" s="10"/>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row>
    <row r="830" spans="1:28" x14ac:dyDescent="0.25">
      <c r="A830" s="10"/>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row>
    <row r="831" spans="1:28" x14ac:dyDescent="0.25">
      <c r="A831" s="10"/>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row>
    <row r="832" spans="1:28" x14ac:dyDescent="0.25">
      <c r="A832" s="10"/>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row>
    <row r="833" spans="1:28" x14ac:dyDescent="0.25">
      <c r="A833" s="10"/>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row>
    <row r="834" spans="1:28" x14ac:dyDescent="0.25">
      <c r="A834" s="10"/>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row>
    <row r="835" spans="1:28" x14ac:dyDescent="0.25">
      <c r="A835" s="10"/>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row>
    <row r="836" spans="1:28" x14ac:dyDescent="0.25">
      <c r="A836" s="10"/>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row>
    <row r="837" spans="1:28" x14ac:dyDescent="0.25">
      <c r="A837" s="10"/>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row>
    <row r="838" spans="1:28" x14ac:dyDescent="0.25">
      <c r="A838" s="10"/>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row>
    <row r="839" spans="1:28" x14ac:dyDescent="0.25">
      <c r="A839" s="10"/>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row>
    <row r="840" spans="1:28" x14ac:dyDescent="0.25">
      <c r="A840" s="10"/>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row>
    <row r="841" spans="1:28" x14ac:dyDescent="0.25">
      <c r="A841" s="10"/>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row>
    <row r="842" spans="1:28" x14ac:dyDescent="0.25">
      <c r="A842" s="10"/>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row>
    <row r="843" spans="1:28" x14ac:dyDescent="0.25">
      <c r="A843" s="10"/>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row>
    <row r="844" spans="1:28" x14ac:dyDescent="0.25">
      <c r="A844" s="10"/>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row>
    <row r="845" spans="1:28" x14ac:dyDescent="0.25">
      <c r="A845" s="10"/>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row>
    <row r="846" spans="1:28" x14ac:dyDescent="0.25">
      <c r="A846" s="10"/>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row>
    <row r="847" spans="1:28" x14ac:dyDescent="0.25">
      <c r="A847" s="10"/>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row>
    <row r="848" spans="1:28" x14ac:dyDescent="0.25">
      <c r="A848" s="10"/>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row>
    <row r="849" spans="1:28" x14ac:dyDescent="0.25">
      <c r="A849" s="10"/>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row>
    <row r="850" spans="1:28" x14ac:dyDescent="0.25">
      <c r="A850" s="10"/>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row>
    <row r="851" spans="1:28" x14ac:dyDescent="0.25">
      <c r="A851" s="10"/>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row>
    <row r="852" spans="1:28" x14ac:dyDescent="0.25">
      <c r="A852" s="10"/>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row>
    <row r="853" spans="1:28" x14ac:dyDescent="0.25">
      <c r="A853" s="10"/>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row>
    <row r="854" spans="1:28" x14ac:dyDescent="0.25">
      <c r="A854" s="10"/>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row>
    <row r="855" spans="1:28" x14ac:dyDescent="0.25">
      <c r="A855" s="10"/>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row>
    <row r="856" spans="1:28" x14ac:dyDescent="0.25">
      <c r="A856" s="10"/>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row>
    <row r="857" spans="1:28" x14ac:dyDescent="0.25">
      <c r="A857" s="10"/>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row>
    <row r="858" spans="1:28" x14ac:dyDescent="0.25">
      <c r="A858" s="10"/>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row>
    <row r="859" spans="1:28" x14ac:dyDescent="0.25">
      <c r="A859" s="10"/>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row>
    <row r="860" spans="1:28" x14ac:dyDescent="0.25">
      <c r="A860" s="10"/>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row>
    <row r="861" spans="1:28" x14ac:dyDescent="0.25">
      <c r="A861" s="10"/>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row>
    <row r="862" spans="1:28" x14ac:dyDescent="0.25">
      <c r="A862" s="10"/>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row>
    <row r="863" spans="1:28" x14ac:dyDescent="0.25">
      <c r="A863" s="10"/>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row>
    <row r="864" spans="1:28" x14ac:dyDescent="0.25">
      <c r="A864" s="10"/>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row>
    <row r="865" spans="1:28" x14ac:dyDescent="0.25">
      <c r="A865" s="10"/>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row>
    <row r="866" spans="1:28" x14ac:dyDescent="0.25">
      <c r="A866" s="10"/>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row>
    <row r="867" spans="1:28" x14ac:dyDescent="0.25">
      <c r="A867" s="10"/>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row>
    <row r="868" spans="1:28" x14ac:dyDescent="0.25">
      <c r="A868" s="10"/>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row>
    <row r="869" spans="1:28" x14ac:dyDescent="0.25">
      <c r="A869" s="10"/>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row>
    <row r="870" spans="1:28" x14ac:dyDescent="0.25">
      <c r="A870" s="10"/>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row>
    <row r="871" spans="1:28" x14ac:dyDescent="0.25">
      <c r="A871" s="10"/>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row>
    <row r="872" spans="1:28" x14ac:dyDescent="0.25">
      <c r="A872" s="10"/>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row>
    <row r="873" spans="1:28" x14ac:dyDescent="0.25">
      <c r="A873" s="10"/>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row>
    <row r="874" spans="1:28" x14ac:dyDescent="0.25">
      <c r="A874" s="10"/>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row>
    <row r="875" spans="1:28" x14ac:dyDescent="0.25">
      <c r="A875" s="10"/>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row>
    <row r="876" spans="1:28" x14ac:dyDescent="0.25">
      <c r="A876" s="10"/>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row>
    <row r="877" spans="1:28" x14ac:dyDescent="0.25">
      <c r="A877" s="10"/>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row>
    <row r="878" spans="1:28" x14ac:dyDescent="0.25">
      <c r="A878" s="10"/>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row>
    <row r="879" spans="1:28" x14ac:dyDescent="0.25">
      <c r="A879" s="10"/>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row>
    <row r="880" spans="1:28" x14ac:dyDescent="0.25">
      <c r="A880" s="10"/>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row>
    <row r="881" spans="1:28" x14ac:dyDescent="0.25">
      <c r="A881" s="10"/>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row>
    <row r="882" spans="1:28" x14ac:dyDescent="0.25">
      <c r="A882" s="10"/>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row>
    <row r="883" spans="1:28" x14ac:dyDescent="0.25">
      <c r="A883" s="10"/>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row>
    <row r="884" spans="1:28" x14ac:dyDescent="0.25">
      <c r="A884" s="10"/>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row>
    <row r="885" spans="1:28" x14ac:dyDescent="0.25">
      <c r="A885" s="10"/>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row>
    <row r="886" spans="1:28" x14ac:dyDescent="0.25">
      <c r="A886" s="10"/>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row>
    <row r="887" spans="1:28" x14ac:dyDescent="0.25">
      <c r="A887" s="10"/>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row>
    <row r="888" spans="1:28" x14ac:dyDescent="0.25">
      <c r="A888" s="10"/>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row>
    <row r="889" spans="1:28" x14ac:dyDescent="0.25">
      <c r="A889" s="10"/>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row>
    <row r="890" spans="1:28" x14ac:dyDescent="0.25">
      <c r="A890" s="10"/>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row>
    <row r="891" spans="1:28" x14ac:dyDescent="0.25">
      <c r="A891" s="10"/>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row>
    <row r="892" spans="1:28" x14ac:dyDescent="0.25">
      <c r="A892" s="10"/>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row>
    <row r="893" spans="1:28" x14ac:dyDescent="0.25">
      <c r="A893" s="10"/>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row>
    <row r="894" spans="1:28" x14ac:dyDescent="0.25">
      <c r="A894" s="10"/>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row>
    <row r="895" spans="1:28" x14ac:dyDescent="0.25">
      <c r="A895" s="10"/>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row>
    <row r="896" spans="1:28" x14ac:dyDescent="0.25">
      <c r="A896" s="10"/>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row>
    <row r="897" spans="1:28" x14ac:dyDescent="0.25">
      <c r="A897" s="10"/>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row>
    <row r="898" spans="1:28" x14ac:dyDescent="0.25">
      <c r="A898" s="10"/>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row>
    <row r="899" spans="1:28" x14ac:dyDescent="0.25">
      <c r="A899" s="10"/>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row>
    <row r="900" spans="1:28" x14ac:dyDescent="0.25">
      <c r="A900" s="10"/>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row>
    <row r="901" spans="1:28" x14ac:dyDescent="0.25">
      <c r="A901" s="10"/>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row>
    <row r="902" spans="1:28" x14ac:dyDescent="0.25">
      <c r="A902" s="10"/>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row>
    <row r="903" spans="1:28" x14ac:dyDescent="0.25">
      <c r="A903" s="10"/>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row>
    <row r="904" spans="1:28" x14ac:dyDescent="0.25">
      <c r="A904" s="10"/>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row>
    <row r="905" spans="1:28" x14ac:dyDescent="0.25">
      <c r="A905" s="10"/>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row>
    <row r="906" spans="1:28" x14ac:dyDescent="0.25">
      <c r="A906" s="10"/>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row>
    <row r="907" spans="1:28" x14ac:dyDescent="0.25">
      <c r="A907" s="10"/>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row>
    <row r="908" spans="1:28" x14ac:dyDescent="0.25">
      <c r="A908" s="10"/>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row>
    <row r="909" spans="1:28" x14ac:dyDescent="0.25">
      <c r="A909" s="10"/>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row>
    <row r="910" spans="1:28" x14ac:dyDescent="0.25">
      <c r="A910" s="10"/>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row>
    <row r="911" spans="1:28" x14ac:dyDescent="0.25">
      <c r="A911" s="10"/>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row>
    <row r="912" spans="1:28" x14ac:dyDescent="0.25">
      <c r="A912" s="10"/>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row>
    <row r="913" spans="1:28" x14ac:dyDescent="0.25">
      <c r="A913" s="10"/>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row>
    <row r="914" spans="1:28" x14ac:dyDescent="0.25">
      <c r="A914" s="10"/>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row>
    <row r="915" spans="1:28" x14ac:dyDescent="0.25">
      <c r="A915" s="10"/>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row>
    <row r="916" spans="1:28" x14ac:dyDescent="0.25">
      <c r="A916" s="10"/>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row>
    <row r="917" spans="1:28" x14ac:dyDescent="0.25">
      <c r="A917" s="10"/>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row>
    <row r="918" spans="1:28" x14ac:dyDescent="0.25">
      <c r="A918" s="10"/>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row>
    <row r="919" spans="1:28" x14ac:dyDescent="0.25">
      <c r="A919" s="10"/>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row>
    <row r="920" spans="1:28" x14ac:dyDescent="0.25">
      <c r="A920" s="10"/>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row>
    <row r="921" spans="1:28" x14ac:dyDescent="0.25">
      <c r="A921" s="10"/>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row>
    <row r="922" spans="1:28" x14ac:dyDescent="0.25">
      <c r="A922" s="10"/>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row>
    <row r="923" spans="1:28" x14ac:dyDescent="0.25">
      <c r="A923" s="10"/>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row>
    <row r="924" spans="1:28" x14ac:dyDescent="0.25">
      <c r="A924" s="10"/>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row>
    <row r="925" spans="1:28" x14ac:dyDescent="0.25">
      <c r="A925" s="10"/>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row>
    <row r="926" spans="1:28" x14ac:dyDescent="0.25">
      <c r="A926" s="10"/>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row>
    <row r="927" spans="1:28" x14ac:dyDescent="0.25">
      <c r="A927" s="10"/>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row>
    <row r="928" spans="1:28" x14ac:dyDescent="0.25">
      <c r="A928" s="10"/>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row>
    <row r="929" spans="1:28" x14ac:dyDescent="0.25">
      <c r="A929" s="10"/>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row>
    <row r="930" spans="1:28" x14ac:dyDescent="0.25">
      <c r="A930" s="10"/>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row>
    <row r="931" spans="1:28" x14ac:dyDescent="0.25">
      <c r="A931" s="10"/>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row>
    <row r="932" spans="1:28" x14ac:dyDescent="0.25">
      <c r="A932" s="10"/>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row>
    <row r="933" spans="1:28" x14ac:dyDescent="0.25">
      <c r="A933" s="10"/>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row>
    <row r="934" spans="1:28" x14ac:dyDescent="0.25">
      <c r="A934" s="10"/>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row>
    <row r="935" spans="1:28" x14ac:dyDescent="0.25">
      <c r="A935" s="10"/>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row>
    <row r="936" spans="1:28" x14ac:dyDescent="0.25">
      <c r="A936" s="10"/>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row>
    <row r="937" spans="1:28" x14ac:dyDescent="0.25">
      <c r="A937" s="10"/>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row>
    <row r="938" spans="1:28" x14ac:dyDescent="0.25">
      <c r="A938" s="10"/>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row>
    <row r="939" spans="1:28" x14ac:dyDescent="0.25">
      <c r="A939" s="10"/>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row>
    <row r="940" spans="1:28" x14ac:dyDescent="0.25">
      <c r="A940" s="10"/>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row>
    <row r="941" spans="1:28" x14ac:dyDescent="0.25">
      <c r="A941" s="10"/>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row>
    <row r="942" spans="1:28" x14ac:dyDescent="0.25">
      <c r="A942" s="10"/>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row>
    <row r="943" spans="1:28" x14ac:dyDescent="0.25">
      <c r="A943" s="10"/>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row>
    <row r="944" spans="1:28" x14ac:dyDescent="0.25">
      <c r="A944" s="10"/>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row>
    <row r="945" spans="1:28" x14ac:dyDescent="0.25">
      <c r="A945" s="10"/>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row>
    <row r="946" spans="1:28" x14ac:dyDescent="0.25">
      <c r="A946" s="10"/>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row>
    <row r="947" spans="1:28" x14ac:dyDescent="0.25">
      <c r="A947" s="10"/>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row>
    <row r="948" spans="1:28" x14ac:dyDescent="0.25">
      <c r="A948" s="10"/>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row>
    <row r="949" spans="1:28" x14ac:dyDescent="0.25">
      <c r="A949" s="10"/>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row>
    <row r="950" spans="1:28" x14ac:dyDescent="0.25">
      <c r="A950" s="10"/>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row>
    <row r="951" spans="1:28" x14ac:dyDescent="0.25">
      <c r="A951" s="10"/>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row>
    <row r="952" spans="1:28" x14ac:dyDescent="0.25">
      <c r="A952" s="10"/>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row>
    <row r="953" spans="1:28" x14ac:dyDescent="0.25">
      <c r="A953" s="10"/>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row>
    <row r="954" spans="1:28" x14ac:dyDescent="0.25">
      <c r="A954" s="10"/>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row>
    <row r="955" spans="1:28" x14ac:dyDescent="0.25">
      <c r="A955" s="10"/>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row>
    <row r="956" spans="1:28" x14ac:dyDescent="0.25">
      <c r="A956" s="10"/>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row>
    <row r="957" spans="1:28" x14ac:dyDescent="0.25">
      <c r="A957" s="10"/>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row>
    <row r="958" spans="1:28" x14ac:dyDescent="0.25">
      <c r="A958" s="10"/>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row>
    <row r="959" spans="1:28" x14ac:dyDescent="0.25">
      <c r="A959" s="10"/>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row>
    <row r="960" spans="1:28" x14ac:dyDescent="0.25">
      <c r="A960" s="10"/>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row>
    <row r="961" spans="1:28" x14ac:dyDescent="0.25">
      <c r="A961" s="10"/>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row>
    <row r="962" spans="1:28" x14ac:dyDescent="0.25">
      <c r="A962" s="10"/>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row>
    <row r="963" spans="1:28" x14ac:dyDescent="0.25">
      <c r="A963" s="10"/>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row>
    <row r="964" spans="1:28" x14ac:dyDescent="0.25">
      <c r="A964" s="10"/>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row>
    <row r="965" spans="1:28" x14ac:dyDescent="0.25">
      <c r="A965" s="10"/>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row>
    <row r="966" spans="1:28" x14ac:dyDescent="0.25">
      <c r="A966" s="10"/>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row>
    <row r="967" spans="1:28" x14ac:dyDescent="0.25">
      <c r="A967" s="10"/>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row>
    <row r="968" spans="1:28" x14ac:dyDescent="0.25">
      <c r="A968" s="10"/>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row>
    <row r="969" spans="1:28" x14ac:dyDescent="0.25">
      <c r="A969" s="10"/>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row>
    <row r="970" spans="1:28" x14ac:dyDescent="0.25">
      <c r="A970" s="10"/>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row>
    <row r="971" spans="1:28" x14ac:dyDescent="0.25">
      <c r="A971" s="10"/>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row>
    <row r="972" spans="1:28" x14ac:dyDescent="0.25">
      <c r="A972" s="10"/>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row>
    <row r="973" spans="1:28" x14ac:dyDescent="0.25">
      <c r="A973" s="10"/>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row>
    <row r="974" spans="1:28" x14ac:dyDescent="0.25">
      <c r="A974" s="10"/>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row>
    <row r="975" spans="1:28" x14ac:dyDescent="0.25">
      <c r="A975" s="10"/>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row>
    <row r="976" spans="1:28" x14ac:dyDescent="0.25">
      <c r="A976" s="10"/>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row>
    <row r="977" spans="1:28" x14ac:dyDescent="0.25">
      <c r="A977" s="10"/>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row>
    <row r="978" spans="1:28" x14ac:dyDescent="0.25">
      <c r="A978" s="10"/>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row>
    <row r="979" spans="1:28" x14ac:dyDescent="0.25">
      <c r="A979" s="10"/>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row>
    <row r="980" spans="1:28" x14ac:dyDescent="0.25">
      <c r="A980" s="10"/>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row>
    <row r="981" spans="1:28" x14ac:dyDescent="0.25">
      <c r="A981" s="10"/>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row>
    <row r="982" spans="1:28" x14ac:dyDescent="0.25">
      <c r="A982" s="10"/>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row>
    <row r="983" spans="1:28" x14ac:dyDescent="0.25">
      <c r="A983" s="10"/>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row>
    <row r="984" spans="1:28" x14ac:dyDescent="0.25">
      <c r="A984" s="10"/>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row>
    <row r="985" spans="1:28" x14ac:dyDescent="0.25">
      <c r="A985" s="10"/>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row>
    <row r="986" spans="1:28" x14ac:dyDescent="0.25">
      <c r="A986" s="10"/>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row>
    <row r="987" spans="1:28" x14ac:dyDescent="0.25">
      <c r="A987" s="10"/>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row>
    <row r="988" spans="1:28" x14ac:dyDescent="0.25">
      <c r="A988" s="10"/>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row>
    <row r="989" spans="1:28" x14ac:dyDescent="0.25">
      <c r="A989" s="10"/>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row>
    <row r="990" spans="1:28" x14ac:dyDescent="0.25">
      <c r="A990" s="10"/>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row>
    <row r="991" spans="1:28" x14ac:dyDescent="0.25">
      <c r="A991" s="10"/>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row>
    <row r="992" spans="1:28" x14ac:dyDescent="0.25">
      <c r="A992" s="10"/>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row>
    <row r="993" spans="1:28" x14ac:dyDescent="0.25">
      <c r="A993" s="10"/>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row>
    <row r="994" spans="1:28" x14ac:dyDescent="0.25">
      <c r="A994" s="10"/>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row>
    <row r="995" spans="1:28" x14ac:dyDescent="0.25">
      <c r="A995" s="10"/>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row>
    <row r="996" spans="1:28" x14ac:dyDescent="0.25">
      <c r="A996" s="10"/>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row>
    <row r="997" spans="1:28" x14ac:dyDescent="0.25">
      <c r="A997" s="10"/>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row>
    <row r="998" spans="1:28" x14ac:dyDescent="0.25">
      <c r="A998" s="10"/>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row>
    <row r="999" spans="1:28" x14ac:dyDescent="0.25">
      <c r="A999" s="10"/>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row>
    <row r="1000" spans="1:28" x14ac:dyDescent="0.25">
      <c r="A1000" s="10"/>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row>
    <row r="1001" spans="1:28" x14ac:dyDescent="0.25">
      <c r="A1001" s="10"/>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c r="AA1001" s="7"/>
      <c r="AB1001" s="7"/>
    </row>
  </sheetData>
  <mergeCells count="2">
    <mergeCell ref="A1:D1"/>
    <mergeCell ref="F1:I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3C47D"/>
    <outlinePr summaryBelow="0" summaryRight="0"/>
  </sheetPr>
  <dimension ref="A1:I38"/>
  <sheetViews>
    <sheetView workbookViewId="0"/>
  </sheetViews>
  <sheetFormatPr defaultColWidth="12.6640625" defaultRowHeight="15.75" customHeight="1" x14ac:dyDescent="0.25"/>
  <cols>
    <col min="1" max="1" width="12.6640625" customWidth="1"/>
    <col min="2" max="2" width="21.77734375" customWidth="1"/>
    <col min="3" max="3" width="34.6640625" customWidth="1"/>
    <col min="4" max="4" width="12.6640625" customWidth="1"/>
    <col min="5" max="5" width="19.33203125" customWidth="1"/>
    <col min="6" max="6" width="21.77734375" hidden="1" customWidth="1"/>
    <col min="7" max="7" width="21.77734375" customWidth="1"/>
    <col min="8" max="8" width="17.88671875" customWidth="1"/>
    <col min="9" max="9" width="65" customWidth="1"/>
  </cols>
  <sheetData>
    <row r="1" spans="1:9" ht="36" customHeight="1" x14ac:dyDescent="0.25">
      <c r="A1" s="11" t="str">
        <f ca="1">IFERROR(__xludf.DUMMYFUNCTION("{IFERROR(query('Callings Releasings'!A2:AV38,""select 'Callings', E, F, G, D, B, AD, AR, AV where E &lt;&gt; '' and D &lt;&gt; 'Complete' and D &lt;&gt; 'Declined' and D &lt;&gt; 'Cancelled' Order by D, B DESC label 'Callings' 'Type', B 'Last Update'""),{""No Callings"","" "","""&amp;" "","" "","" "","" "","" "","" ""});
IFERROR(query(Ordinations!A3:AQ38,""select 'Ordinations', E, F, G, D, B, AC,' ',AQ Where D &lt;&gt; 'Complete' and D &lt;&gt; 'Declined' Order by B DESC label 'Ordinations' '',' ' ''"",0),{""No Ordinations"","" "","" "","" "","" "&amp;""","" "","" "","" "","" ""});
IFERROR(query('Release Only'!A3:Q38,""select 'Releasings',E,F,G,D,B,J,' ',Q Where D &lt;&gt; 'Complete' Order By B DESC label 'Releasings' '',' ' ''"",0),{""No Releasings"","" "","" "","" "","" "","" "","" "","" "","" ""})}"),"Type")</f>
        <v>Type</v>
      </c>
      <c r="B1" s="12" t="str">
        <f ca="1">IFERROR(__xludf.DUMMYFUNCTION("""COMPUTED_VALUE"""),"Member Name")</f>
        <v>Member Name</v>
      </c>
      <c r="C1" s="12" t="str">
        <f ca="1">IFERROR(__xludf.DUMMYFUNCTION("""COMPUTED_VALUE"""),"Calling")</f>
        <v>Calling</v>
      </c>
      <c r="D1" s="12" t="str">
        <f ca="1">IFERROR(__xludf.DUMMYFUNCTION("""COMPUTED_VALUE"""),"Unit")</f>
        <v>Unit</v>
      </c>
      <c r="E1" s="13" t="str">
        <f ca="1">IFERROR(__xludf.DUMMYFUNCTION("""COMPUTED_VALUE"""),"Current Step")</f>
        <v>Current Step</v>
      </c>
      <c r="F1" s="14" t="str">
        <f ca="1">IFERROR(__xludf.DUMMYFUNCTION("""COMPUTED_VALUE"""),"Last Update")</f>
        <v>Last Update</v>
      </c>
      <c r="G1" s="15" t="str">
        <f ca="1">IFERROR(__xludf.DUMMYFUNCTION("""COMPUTED_VALUE"""),"Assigned to Extend Calling / Release")</f>
        <v>Assigned to Extend Calling / Release</v>
      </c>
      <c r="H1" s="15" t="str">
        <f ca="1">IFERROR(__xludf.DUMMYFUNCTION("""COMPUTED_VALUE"""),"Assigned Trainer")</f>
        <v>Assigned Trainer</v>
      </c>
      <c r="I1" s="16" t="str">
        <f ca="1">IFERROR(__xludf.DUMMYFUNCTION("""COMPUTED_VALUE"""),"Hyperlink")</f>
        <v>Hyperlink</v>
      </c>
    </row>
    <row r="2" spans="1:9" ht="13.2" x14ac:dyDescent="0.25">
      <c r="A2" s="17" t="str">
        <f ca="1">IFERROR(__xludf.DUMMYFUNCTION("""COMPUTED_VALUE"""),"Callings")</f>
        <v>Callings</v>
      </c>
      <c r="B2" s="18" t="str">
        <f ca="1">IFERROR(__xludf.DUMMYFUNCTION("""COMPUTED_VALUE"""),"Temple McCrary")</f>
        <v>Temple McCrary</v>
      </c>
      <c r="C2" s="17" t="str">
        <f ca="1">IFERROR(__xludf.DUMMYFUNCTION("""COMPUTED_VALUE"""),"Stake Auditor")</f>
        <v>Stake Auditor</v>
      </c>
      <c r="D2" s="17" t="str">
        <f ca="1">IFERROR(__xludf.DUMMYFUNCTION("""COMPUTED_VALUE"""),"Lansing")</f>
        <v>Lansing</v>
      </c>
      <c r="E2" s="19" t="str">
        <f ca="1">IFERROR(__xludf.DUMMYFUNCTION("""COMPUTED_VALUE"""),"Call / Release")</f>
        <v>Call / Release</v>
      </c>
      <c r="F2" s="20">
        <f ca="1">IFERROR(__xludf.DUMMYFUNCTION("""COMPUTED_VALUE"""),45946.8624311458)</f>
        <v>45946.862431145797</v>
      </c>
      <c r="G2" s="21" t="str">
        <f ca="1">IFERROR(__xludf.DUMMYFUNCTION("""COMPUTED_VALUE"""),"Pierce")</f>
        <v>Pierce</v>
      </c>
      <c r="H2" s="20"/>
      <c r="I2" s="22" t="str">
        <f ca="1">IFERROR(__xludf.DUMMYFUNCTION("""COMPUTED_VALUE"""),"https://docs.google.com/forms/d/e/1FAIpQLSd37AKX0Ca1Yeje6eC6NuliFZj5Spn7I7mXRsa9kBsXMqB-Ag/viewform?edit2=2_ABaOnuc084FrjG7zAzRmpPq49Y4JP88xiAcq-g7-VvQwWFeceQLWBMs_PDHeU79-Vo2bATc")</f>
        <v>https://docs.google.com/forms/d/e/1FAIpQLSd37AKX0Ca1Yeje6eC6NuliFZj5Spn7I7mXRsa9kBsXMqB-Ag/viewform?edit2=2_ABaOnuc084FrjG7zAzRmpPq49Y4JP88xiAcq-g7-VvQwWFeceQLWBMs_PDHeU79-Vo2bATc</v>
      </c>
    </row>
    <row r="3" spans="1:9" ht="13.2" x14ac:dyDescent="0.25">
      <c r="A3" s="17" t="str">
        <f ca="1">IFERROR(__xludf.DUMMYFUNCTION("""COMPUTED_VALUE"""),"Callings")</f>
        <v>Callings</v>
      </c>
      <c r="B3" s="18" t="str">
        <f ca="1">IFERROR(__xludf.DUMMYFUNCTION("""COMPUTED_VALUE"""),"Tristan Packard")</f>
        <v>Tristan Packard</v>
      </c>
      <c r="C3" s="17" t="str">
        <f ca="1">IFERROR(__xludf.DUMMYFUNCTION("""COMPUTED_VALUE"""),"Bishopric 2nd Counselor")</f>
        <v>Bishopric 2nd Counselor</v>
      </c>
      <c r="D3" s="17" t="str">
        <f ca="1">IFERROR(__xludf.DUMMYFUNCTION("""COMPUTED_VALUE"""),"Lansing")</f>
        <v>Lansing</v>
      </c>
      <c r="E3" s="19" t="str">
        <f ca="1">IFERROR(__xludf.DUMMYFUNCTION("""COMPUTED_VALUE"""),"Set Apart")</f>
        <v>Set Apart</v>
      </c>
      <c r="F3" s="20">
        <f ca="1">IFERROR(__xludf.DUMMYFUNCTION("""COMPUTED_VALUE"""),46159.5519751967)</f>
        <v>46159.5519751967</v>
      </c>
      <c r="G3" s="21" t="str">
        <f ca="1">IFERROR(__xludf.DUMMYFUNCTION("""COMPUTED_VALUE"""),"Earl")</f>
        <v>Earl</v>
      </c>
      <c r="H3" s="20" t="str">
        <f ca="1">IFERROR(__xludf.DUMMYFUNCTION("""COMPUTED_VALUE"""),"Earl")</f>
        <v>Earl</v>
      </c>
      <c r="I3" s="22" t="str">
        <f ca="1">IFERROR(__xludf.DUMMYFUNCTION("""COMPUTED_VALUE"""),"https://docs.google.com/forms/d/e/1FAIpQLSd37AKX0Ca1Yeje6eC6NuliFZj5Spn7I7mXRsa9kBsXMqB-Ag/viewform?edit2=2_ABaOnucU6DOq6qcvz42zkHjhZlqUckdI_P7WQvTHT6kRvXPS0nedw-Lqwshw-TPP60rFl40")</f>
        <v>https://docs.google.com/forms/d/e/1FAIpQLSd37AKX0Ca1Yeje6eC6NuliFZj5Spn7I7mXRsa9kBsXMqB-Ag/viewform?edit2=2_ABaOnucU6DOq6qcvz42zkHjhZlqUckdI_P7WQvTHT6kRvXPS0nedw-Lqwshw-TPP60rFl40</v>
      </c>
    </row>
    <row r="4" spans="1:9" ht="13.2" x14ac:dyDescent="0.25">
      <c r="A4" s="17" t="str">
        <f ca="1">IFERROR(__xludf.DUMMYFUNCTION("""COMPUTED_VALUE"""),"Callings")</f>
        <v>Callings</v>
      </c>
      <c r="B4" s="18" t="str">
        <f ca="1">IFERROR(__xludf.DUMMYFUNCTION("""COMPUTED_VALUE"""),"Gavin Johnson")</f>
        <v>Gavin Johnson</v>
      </c>
      <c r="C4" s="17" t="str">
        <f ca="1">IFERROR(__xludf.DUMMYFUNCTION("""COMPUTED_VALUE"""),"Bishopric 1st Counselor")</f>
        <v>Bishopric 1st Counselor</v>
      </c>
      <c r="D4" s="17" t="str">
        <f ca="1">IFERROR(__xludf.DUMMYFUNCTION("""COMPUTED_VALUE"""),"Lansing")</f>
        <v>Lansing</v>
      </c>
      <c r="E4" s="19" t="str">
        <f ca="1">IFERROR(__xludf.DUMMYFUNCTION("""COMPUTED_VALUE"""),"Set Apart")</f>
        <v>Set Apart</v>
      </c>
      <c r="F4" s="20">
        <f ca="1">IFERROR(__xludf.DUMMYFUNCTION("""COMPUTED_VALUE"""),46159.5517208449)</f>
        <v>46159.551720844902</v>
      </c>
      <c r="G4" s="21" t="str">
        <f ca="1">IFERROR(__xludf.DUMMYFUNCTION("""COMPUTED_VALUE"""),"Earl")</f>
        <v>Earl</v>
      </c>
      <c r="H4" s="20" t="str">
        <f ca="1">IFERROR(__xludf.DUMMYFUNCTION("""COMPUTED_VALUE"""),"Earl")</f>
        <v>Earl</v>
      </c>
      <c r="I4" s="22" t="str">
        <f ca="1">IFERROR(__xludf.DUMMYFUNCTION("""COMPUTED_VALUE"""),"https://docs.google.com/forms/d/e/1FAIpQLSd37AKX0Ca1Yeje6eC6NuliFZj5Spn7I7mXRsa9kBsXMqB-Ag/viewform?edit2=2_ABaOnuerF-9S-0PUnAo-xLIpSHuJa6TuFg8a5-HK4pKoELYuVYouRoOvSYDtqHqjDqv1WPE")</f>
        <v>https://docs.google.com/forms/d/e/1FAIpQLSd37AKX0Ca1Yeje6eC6NuliFZj5Spn7I7mXRsa9kBsXMqB-Ag/viewform?edit2=2_ABaOnuerF-9S-0PUnAo-xLIpSHuJa6TuFg8a5-HK4pKoELYuVYouRoOvSYDtqHqjDqv1WPE</v>
      </c>
    </row>
    <row r="5" spans="1:9" ht="13.2" x14ac:dyDescent="0.25">
      <c r="A5" s="17" t="str">
        <f ca="1">IFERROR(__xludf.DUMMYFUNCTION("""COMPUTED_VALUE"""),"Callings")</f>
        <v>Callings</v>
      </c>
      <c r="B5" s="18" t="str">
        <f ca="1">IFERROR(__xludf.DUMMYFUNCTION("""COMPUTED_VALUE"""),"Sawyer Barney")</f>
        <v>Sawyer Barney</v>
      </c>
      <c r="C5" s="17" t="str">
        <f ca="1">IFERROR(__xludf.DUMMYFUNCTION("""COMPUTED_VALUE"""),"Executive Secretary")</f>
        <v>Executive Secretary</v>
      </c>
      <c r="D5" s="17" t="str">
        <f ca="1">IFERROR(__xludf.DUMMYFUNCTION("""COMPUTED_VALUE"""),"Lansing")</f>
        <v>Lansing</v>
      </c>
      <c r="E5" s="19" t="str">
        <f ca="1">IFERROR(__xludf.DUMMYFUNCTION("""COMPUTED_VALUE"""),"Training")</f>
        <v>Training</v>
      </c>
      <c r="F5" s="20">
        <f ca="1">IFERROR(__xludf.DUMMYFUNCTION("""COMPUTED_VALUE"""),46159.5525981365)</f>
        <v>46159.552598136499</v>
      </c>
      <c r="G5" s="21" t="str">
        <f ca="1">IFERROR(__xludf.DUMMYFUNCTION("""COMPUTED_VALUE"""),"Earl")</f>
        <v>Earl</v>
      </c>
      <c r="H5" s="20" t="str">
        <f ca="1">IFERROR(__xludf.DUMMYFUNCTION("""COMPUTED_VALUE"""),"Hilgendorf")</f>
        <v>Hilgendorf</v>
      </c>
      <c r="I5" s="22" t="str">
        <f ca="1">IFERROR(__xludf.DUMMYFUNCTION("""COMPUTED_VALUE"""),"https://docs.google.com/forms/d/e/1FAIpQLSd37AKX0Ca1Yeje6eC6NuliFZj5Spn7I7mXRsa9kBsXMqB-Ag/viewform?edit2=2_ABaOnue8mI5AYqilJnQ-23IHeU09ipqfAONkBPAhQ3a3okU2s71v_L1uHn7A2GfefVIT5vE")</f>
        <v>https://docs.google.com/forms/d/e/1FAIpQLSd37AKX0Ca1Yeje6eC6NuliFZj5Spn7I7mXRsa9kBsXMqB-Ag/viewform?edit2=2_ABaOnue8mI5AYqilJnQ-23IHeU09ipqfAONkBPAhQ3a3okU2s71v_L1uHn7A2GfefVIT5vE</v>
      </c>
    </row>
    <row r="6" spans="1:9" ht="13.2" x14ac:dyDescent="0.25">
      <c r="A6" s="17" t="str">
        <f ca="1">IFERROR(__xludf.DUMMYFUNCTION("""COMPUTED_VALUE"""),"Callings")</f>
        <v>Callings</v>
      </c>
      <c r="B6" s="18" t="str">
        <f ca="1">IFERROR(__xludf.DUMMYFUNCTION("""COMPUTED_VALUE"""),"Tanner Hickman")</f>
        <v>Tanner Hickman</v>
      </c>
      <c r="C6" s="17" t="str">
        <f ca="1">IFERROR(__xludf.DUMMYFUNCTION("""COMPUTED_VALUE"""),"Bishop")</f>
        <v>Bishop</v>
      </c>
      <c r="D6" s="17" t="str">
        <f ca="1">IFERROR(__xludf.DUMMYFUNCTION("""COMPUTED_VALUE"""),"Lansing")</f>
        <v>Lansing</v>
      </c>
      <c r="E6" s="19" t="str">
        <f ca="1">IFERROR(__xludf.DUMMYFUNCTION("""COMPUTED_VALUE"""),"Training")</f>
        <v>Training</v>
      </c>
      <c r="F6" s="20">
        <f ca="1">IFERROR(__xludf.DUMMYFUNCTION("""COMPUTED_VALUE"""),46159.5506377083)</f>
        <v>46159.5506377083</v>
      </c>
      <c r="G6" s="21" t="str">
        <f ca="1">IFERROR(__xludf.DUMMYFUNCTION("""COMPUTED_VALUE"""),"Rawson")</f>
        <v>Rawson</v>
      </c>
      <c r="H6" s="20" t="str">
        <f ca="1">IFERROR(__xludf.DUMMYFUNCTION("""COMPUTED_VALUE"""),"Earl")</f>
        <v>Earl</v>
      </c>
      <c r="I6" s="22" t="str">
        <f ca="1">IFERROR(__xludf.DUMMYFUNCTION("""COMPUTED_VALUE"""),"https://docs.google.com/forms/d/e/1FAIpQLSd37AKX0Ca1Yeje6eC6NuliFZj5Spn7I7mXRsa9kBsXMqB-Ag/viewform?edit2=2_ABaOnuf2j7989Basd7RqeWk5ShbfC9vglbQAYME_8G0y9KgxN5a2Sxu33yjZSF-7UYqZu8U")</f>
        <v>https://docs.google.com/forms/d/e/1FAIpQLSd37AKX0Ca1Yeje6eC6NuliFZj5Spn7I7mXRsa9kBsXMqB-Ag/viewform?edit2=2_ABaOnuf2j7989Basd7RqeWk5ShbfC9vglbQAYME_8G0y9KgxN5a2Sxu33yjZSF-7UYqZu8U</v>
      </c>
    </row>
    <row r="7" spans="1:9" ht="13.2" x14ac:dyDescent="0.25">
      <c r="A7" s="17" t="str">
        <f ca="1">IFERROR(__xludf.DUMMYFUNCTION("""COMPUTED_VALUE"""),"Callings")</f>
        <v>Callings</v>
      </c>
      <c r="B7" s="18" t="str">
        <f ca="1">IFERROR(__xludf.DUMMYFUNCTION("""COMPUTED_VALUE"""),"Skyler Roper")</f>
        <v>Skyler Roper</v>
      </c>
      <c r="C7" s="17" t="str">
        <f ca="1">IFERROR(__xludf.DUMMYFUNCTION("""COMPUTED_VALUE"""),"Branch President")</f>
        <v>Branch President</v>
      </c>
      <c r="D7" s="17" t="str">
        <f ca="1">IFERROR(__xludf.DUMMYFUNCTION("""COMPUTED_VALUE"""),"Portland")</f>
        <v>Portland</v>
      </c>
      <c r="E7" s="19" t="str">
        <f ca="1">IFERROR(__xludf.DUMMYFUNCTION("""COMPUTED_VALUE"""),"Training")</f>
        <v>Training</v>
      </c>
      <c r="F7" s="20">
        <f ca="1">IFERROR(__xludf.DUMMYFUNCTION("""COMPUTED_VALUE"""),46159.3955542476)</f>
        <v>46159.395554247603</v>
      </c>
      <c r="G7" s="21" t="str">
        <f ca="1">IFERROR(__xludf.DUMMYFUNCTION("""COMPUTED_VALUE"""),"Rawson")</f>
        <v>Rawson</v>
      </c>
      <c r="H7" s="20" t="str">
        <f ca="1">IFERROR(__xludf.DUMMYFUNCTION("""COMPUTED_VALUE"""),"Earl")</f>
        <v>Earl</v>
      </c>
      <c r="I7" s="22" t="str">
        <f ca="1">IFERROR(__xludf.DUMMYFUNCTION("""COMPUTED_VALUE"""),"https://docs.google.com/forms/d/e/1FAIpQLSd37AKX0Ca1Yeje6eC6NuliFZj5Spn7I7mXRsa9kBsXMqB-Ag/viewform?edit2=2_ABaOnueza0QWbrwz8T7sWbuoj8RQ0uTYVPMjIOquJLrwomLqVasBXKQ7q4oPdU42q5sebnY")</f>
        <v>https://docs.google.com/forms/d/e/1FAIpQLSd37AKX0Ca1Yeje6eC6NuliFZj5Spn7I7mXRsa9kBsXMqB-Ag/viewform?edit2=2_ABaOnueza0QWbrwz8T7sWbuoj8RQ0uTYVPMjIOquJLrwomLqVasBXKQ7q4oPdU42q5sebnY</v>
      </c>
    </row>
    <row r="8" spans="1:9" ht="13.2" x14ac:dyDescent="0.25">
      <c r="A8" s="17" t="str">
        <f ca="1">IFERROR(__xludf.DUMMYFUNCTION("""COMPUTED_VALUE"""),"Callings")</f>
        <v>Callings</v>
      </c>
      <c r="B8" s="18" t="str">
        <f ca="1">IFERROR(__xludf.DUMMYFUNCTION("""COMPUTED_VALUE"""),"Giacinto Lucci Sr.")</f>
        <v>Giacinto Lucci Sr.</v>
      </c>
      <c r="C8" s="17" t="str">
        <f ca="1">IFERROR(__xludf.DUMMYFUNCTION("""COMPUTED_VALUE"""),"EQ 1st Counselor")</f>
        <v>EQ 1st Counselor</v>
      </c>
      <c r="D8" s="17" t="str">
        <f ca="1">IFERROR(__xludf.DUMMYFUNCTION("""COMPUTED_VALUE"""),"Charlotte")</f>
        <v>Charlotte</v>
      </c>
      <c r="E8" s="19" t="str">
        <f ca="1">IFERROR(__xludf.DUMMYFUNCTION("""COMPUTED_VALUE"""),"Training")</f>
        <v>Training</v>
      </c>
      <c r="F8" s="20">
        <f ca="1">IFERROR(__xludf.DUMMYFUNCTION("""COMPUTED_VALUE"""),46158.742712824)</f>
        <v>46158.742712824002</v>
      </c>
      <c r="G8" s="21" t="str">
        <f ca="1">IFERROR(__xludf.DUMMYFUNCTION("""COMPUTED_VALUE"""),"Nelson")</f>
        <v>Nelson</v>
      </c>
      <c r="H8" s="20" t="str">
        <f ca="1">IFERROR(__xludf.DUMMYFUNCTION("""COMPUTED_VALUE"""),"Nelson")</f>
        <v>Nelson</v>
      </c>
      <c r="I8" s="22" t="str">
        <f ca="1">IFERROR(__xludf.DUMMYFUNCTION("""COMPUTED_VALUE"""),"https://docs.google.com/forms/d/e/1FAIpQLSd37AKX0Ca1Yeje6eC6NuliFZj5Spn7I7mXRsa9kBsXMqB-Ag/viewform?edit2=2_ABaOnufG4qkFQOtlvqNs92E6J7QIRFpabq77LhYs1EKoIUylzebWNv8mFo_PoidwofkyZ0Y")</f>
        <v>https://docs.google.com/forms/d/e/1FAIpQLSd37AKX0Ca1Yeje6eC6NuliFZj5Spn7I7mXRsa9kBsXMqB-Ag/viewform?edit2=2_ABaOnufG4qkFQOtlvqNs92E6J7QIRFpabq77LhYs1EKoIUylzebWNv8mFo_PoidwofkyZ0Y</v>
      </c>
    </row>
    <row r="9" spans="1:9" ht="13.2" x14ac:dyDescent="0.25">
      <c r="A9" s="17" t="str">
        <f ca="1">IFERROR(__xludf.DUMMYFUNCTION("""COMPUTED_VALUE"""),"Callings")</f>
        <v>Callings</v>
      </c>
      <c r="B9" s="18" t="str">
        <f ca="1">IFERROR(__xludf.DUMMYFUNCTION("""COMPUTED_VALUE"""),"David Polhamus")</f>
        <v>David Polhamus</v>
      </c>
      <c r="C9" s="17" t="str">
        <f ca="1">IFERROR(__xludf.DUMMYFUNCTION("""COMPUTED_VALUE"""),"EQ 2nd Counselor")</f>
        <v>EQ 2nd Counselor</v>
      </c>
      <c r="D9" s="17" t="str">
        <f ca="1">IFERROR(__xludf.DUMMYFUNCTION("""COMPUTED_VALUE"""),"Charlotte")</f>
        <v>Charlotte</v>
      </c>
      <c r="E9" s="19" t="str">
        <f ca="1">IFERROR(__xludf.DUMMYFUNCTION("""COMPUTED_VALUE"""),"Training")</f>
        <v>Training</v>
      </c>
      <c r="F9" s="20">
        <f ca="1">IFERROR(__xludf.DUMMYFUNCTION("""COMPUTED_VALUE"""),46145.6688329166)</f>
        <v>46145.668832916599</v>
      </c>
      <c r="G9" s="21" t="str">
        <f ca="1">IFERROR(__xludf.DUMMYFUNCTION("""COMPUTED_VALUE"""),"Nelson")</f>
        <v>Nelson</v>
      </c>
      <c r="H9" s="20" t="str">
        <f ca="1">IFERROR(__xludf.DUMMYFUNCTION("""COMPUTED_VALUE"""),"Nelson")</f>
        <v>Nelson</v>
      </c>
      <c r="I9" s="22" t="str">
        <f ca="1">IFERROR(__xludf.DUMMYFUNCTION("""COMPUTED_VALUE"""),"https://docs.google.com/forms/d/e/1FAIpQLSd37AKX0Ca1Yeje6eC6NuliFZj5Spn7I7mXRsa9kBsXMqB-Ag/viewform?edit2=2_ABaOnueYWLUCkhOyJAhdd6sl35WX-SzQl1fVfL0acBK39C3PrSGDfh5FKCpV-EWK10pwrqQ")</f>
        <v>https://docs.google.com/forms/d/e/1FAIpQLSd37AKX0Ca1Yeje6eC6NuliFZj5Spn7I7mXRsa9kBsXMqB-Ag/viewform?edit2=2_ABaOnueYWLUCkhOyJAhdd6sl35WX-SzQl1fVfL0acBK39C3PrSGDfh5FKCpV-EWK10pwrqQ</v>
      </c>
    </row>
    <row r="10" spans="1:9" ht="13.2" x14ac:dyDescent="0.25">
      <c r="A10" s="17" t="str">
        <f ca="1">IFERROR(__xludf.DUMMYFUNCTION("""COMPUTED_VALUE"""),"Callings")</f>
        <v>Callings</v>
      </c>
      <c r="B10" s="18" t="str">
        <f ca="1">IFERROR(__xludf.DUMMYFUNCTION("""COMPUTED_VALUE"""),"Jordan Coker")</f>
        <v>Jordan Coker</v>
      </c>
      <c r="C10" s="17" t="str">
        <f ca="1">IFERROR(__xludf.DUMMYFUNCTION("""COMPUTED_VALUE"""),"Elders Quorum President")</f>
        <v>Elders Quorum President</v>
      </c>
      <c r="D10" s="17" t="str">
        <f ca="1">IFERROR(__xludf.DUMMYFUNCTION("""COMPUTED_VALUE"""),"Charlotte")</f>
        <v>Charlotte</v>
      </c>
      <c r="E10" s="19" t="str">
        <f ca="1">IFERROR(__xludf.DUMMYFUNCTION("""COMPUTED_VALUE"""),"Training")</f>
        <v>Training</v>
      </c>
      <c r="F10" s="20">
        <f ca="1">IFERROR(__xludf.DUMMYFUNCTION("""COMPUTED_VALUE"""),46145.667756331)</f>
        <v>46145.667756331</v>
      </c>
      <c r="G10" s="21" t="str">
        <f ca="1">IFERROR(__xludf.DUMMYFUNCTION("""COMPUTED_VALUE"""),"Rawson")</f>
        <v>Rawson</v>
      </c>
      <c r="H10" s="20" t="str">
        <f ca="1">IFERROR(__xludf.DUMMYFUNCTION("""COMPUTED_VALUE"""),"Nelson")</f>
        <v>Nelson</v>
      </c>
      <c r="I10" s="22" t="str">
        <f ca="1">IFERROR(__xludf.DUMMYFUNCTION("""COMPUTED_VALUE"""),"https://docs.google.com/forms/d/e/1FAIpQLSd37AKX0Ca1Yeje6eC6NuliFZj5Spn7I7mXRsa9kBsXMqB-Ag/viewform?edit2=2_ABaOnucjwEQQpKVtkpHfLLSdr7wlsJ123jmny_Y0VAZ3t1dzFLz17xf1AylOpEj0gIyz5Dg")</f>
        <v>https://docs.google.com/forms/d/e/1FAIpQLSd37AKX0Ca1Yeje6eC6NuliFZj5Spn7I7mXRsa9kBsXMqB-Ag/viewform?edit2=2_ABaOnucjwEQQpKVtkpHfLLSdr7wlsJ123jmny_Y0VAZ3t1dzFLz17xf1AylOpEj0gIyz5Dg</v>
      </c>
    </row>
    <row r="11" spans="1:9" ht="13.2" x14ac:dyDescent="0.25">
      <c r="A11" s="17" t="str">
        <f ca="1">IFERROR(__xludf.DUMMYFUNCTION("""COMPUTED_VALUE"""),"Callings")</f>
        <v>Callings</v>
      </c>
      <c r="B11" s="18" t="str">
        <f ca="1">IFERROR(__xludf.DUMMYFUNCTION("""COMPUTED_VALUE"""),"Mark Witbeck")</f>
        <v>Mark Witbeck</v>
      </c>
      <c r="C11" s="17" t="str">
        <f ca="1">IFERROR(__xludf.DUMMYFUNCTION("""COMPUTED_VALUE"""),"Branch Presidency 2nd Counselor")</f>
        <v>Branch Presidency 2nd Counselor</v>
      </c>
      <c r="D11" s="17" t="str">
        <f ca="1">IFERROR(__xludf.DUMMYFUNCTION("""COMPUTED_VALUE"""),"Portland")</f>
        <v>Portland</v>
      </c>
      <c r="E11" s="19" t="str">
        <f ca="1">IFERROR(__xludf.DUMMYFUNCTION("""COMPUTED_VALUE"""),"Training")</f>
        <v>Training</v>
      </c>
      <c r="F11" s="20">
        <f ca="1">IFERROR(__xludf.DUMMYFUNCTION("""COMPUTED_VALUE"""),46124.5513174189)</f>
        <v>46124.551317418904</v>
      </c>
      <c r="G11" s="21" t="str">
        <f ca="1">IFERROR(__xludf.DUMMYFUNCTION("""COMPUTED_VALUE"""),"Earl")</f>
        <v>Earl</v>
      </c>
      <c r="H11" s="20" t="str">
        <f ca="1">IFERROR(__xludf.DUMMYFUNCTION("""COMPUTED_VALUE"""),"Earl")</f>
        <v>Earl</v>
      </c>
      <c r="I11" s="22" t="str">
        <f ca="1">IFERROR(__xludf.DUMMYFUNCTION("""COMPUTED_VALUE"""),"https://docs.google.com/forms/d/e/1FAIpQLSd37AKX0Ca1Yeje6eC6NuliFZj5Spn7I7mXRsa9kBsXMqB-Ag/viewform?edit2=2_ABaOnuf6drCWA-IZBlNqDAotDEssKORUs-S1i6ryHOYbNmm5r74FiPSdK2RgyzyGz8V24y8")</f>
        <v>https://docs.google.com/forms/d/e/1FAIpQLSd37AKX0Ca1Yeje6eC6NuliFZj5Spn7I7mXRsa9kBsXMqB-Ag/viewform?edit2=2_ABaOnuf6drCWA-IZBlNqDAotDEssKORUs-S1i6ryHOYbNmm5r74FiPSdK2RgyzyGz8V24y8</v>
      </c>
    </row>
    <row r="12" spans="1:9" ht="13.2" x14ac:dyDescent="0.25">
      <c r="A12" s="17" t="str">
        <f ca="1">IFERROR(__xludf.DUMMYFUNCTION("""COMPUTED_VALUE"""),"Callings")</f>
        <v>Callings</v>
      </c>
      <c r="B12" s="18" t="str">
        <f ca="1">IFERROR(__xludf.DUMMYFUNCTION("""COMPUTED_VALUE"""),"Del Sterling")</f>
        <v>Del Sterling</v>
      </c>
      <c r="C12" s="17" t="str">
        <f ca="1">IFERROR(__xludf.DUMMYFUNCTION("""COMPUTED_VALUE"""),"Branch Presidency 1st Counselor")</f>
        <v>Branch Presidency 1st Counselor</v>
      </c>
      <c r="D12" s="17" t="str">
        <f ca="1">IFERROR(__xludf.DUMMYFUNCTION("""COMPUTED_VALUE"""),"Portland")</f>
        <v>Portland</v>
      </c>
      <c r="E12" s="19" t="str">
        <f ca="1">IFERROR(__xludf.DUMMYFUNCTION("""COMPUTED_VALUE"""),"Training")</f>
        <v>Training</v>
      </c>
      <c r="F12" s="20">
        <f ca="1">IFERROR(__xludf.DUMMYFUNCTION("""COMPUTED_VALUE"""),46124.5499401504)</f>
        <v>46124.549940150398</v>
      </c>
      <c r="G12" s="21" t="str">
        <f ca="1">IFERROR(__xludf.DUMMYFUNCTION("""COMPUTED_VALUE"""),"Earl")</f>
        <v>Earl</v>
      </c>
      <c r="H12" s="20" t="str">
        <f ca="1">IFERROR(__xludf.DUMMYFUNCTION("""COMPUTED_VALUE"""),"Earl")</f>
        <v>Earl</v>
      </c>
      <c r="I12" s="22" t="str">
        <f ca="1">IFERROR(__xludf.DUMMYFUNCTION("""COMPUTED_VALUE"""),"https://docs.google.com/forms/d/e/1FAIpQLSd37AKX0Ca1Yeje6eC6NuliFZj5Spn7I7mXRsa9kBsXMqB-Ag/viewform?edit2=2_ABaOnucXYh7TXzTa8Eiqh6G2iI9SDkB9z7HxXc-muPtZY1lxw5j5SfdnONWyGViUYdQGjOE")</f>
        <v>https://docs.google.com/forms/d/e/1FAIpQLSd37AKX0Ca1Yeje6eC6NuliFZj5Spn7I7mXRsa9kBsXMqB-Ag/viewform?edit2=2_ABaOnucXYh7TXzTa8Eiqh6G2iI9SDkB9z7HxXc-muPtZY1lxw5j5SfdnONWyGViUYdQGjOE</v>
      </c>
    </row>
    <row r="13" spans="1:9" ht="13.2" x14ac:dyDescent="0.25">
      <c r="A13" s="17" t="str">
        <f ca="1">IFERROR(__xludf.DUMMYFUNCTION("""COMPUTED_VALUE"""),"Callings")</f>
        <v>Callings</v>
      </c>
      <c r="B13" s="18" t="str">
        <f ca="1">IFERROR(__xludf.DUMMYFUNCTION("""COMPUTED_VALUE"""),"Barbara Miller")</f>
        <v>Barbara Miller</v>
      </c>
      <c r="C13" s="17" t="str">
        <f ca="1">IFERROR(__xludf.DUMMYFUNCTION("""COMPUTED_VALUE"""),"Stake YW Secretary")</f>
        <v>Stake YW Secretary</v>
      </c>
      <c r="D13" s="17" t="str">
        <f ca="1">IFERROR(__xludf.DUMMYFUNCTION("""COMPUTED_VALUE"""),"Williamston")</f>
        <v>Williamston</v>
      </c>
      <c r="E13" s="19" t="str">
        <f ca="1">IFERROR(__xludf.DUMMYFUNCTION("""COMPUTED_VALUE"""),"Training")</f>
        <v>Training</v>
      </c>
      <c r="F13" s="20">
        <f ca="1">IFERROR(__xludf.DUMMYFUNCTION("""COMPUTED_VALUE"""),46124.5453848842)</f>
        <v>46124.545384884201</v>
      </c>
      <c r="G13" s="21" t="str">
        <f ca="1">IFERROR(__xludf.DUMMYFUNCTION("""COMPUTED_VALUE"""),"B. Thorpe")</f>
        <v>B. Thorpe</v>
      </c>
      <c r="H13" s="20" t="str">
        <f ca="1">IFERROR(__xludf.DUMMYFUNCTION("""COMPUTED_VALUE"""),"B. Thorpe")</f>
        <v>B. Thorpe</v>
      </c>
      <c r="I13" s="22" t="str">
        <f ca="1">IFERROR(__xludf.DUMMYFUNCTION("""COMPUTED_VALUE"""),"https://docs.google.com/forms/d/e/1FAIpQLSd37AKX0Ca1Yeje6eC6NuliFZj5Spn7I7mXRsa9kBsXMqB-Ag/viewform?edit2=2_ABaOnueqOA9jOURj75fgFVzTPRoS4CvrWRrmHCOIfJ0-em66xU40R2VatgNoW4WQt5tTjMU")</f>
        <v>https://docs.google.com/forms/d/e/1FAIpQLSd37AKX0Ca1Yeje6eC6NuliFZj5Spn7I7mXRsa9kBsXMqB-Ag/viewform?edit2=2_ABaOnueqOA9jOURj75fgFVzTPRoS4CvrWRrmHCOIfJ0-em66xU40R2VatgNoW4WQt5tTjMU</v>
      </c>
    </row>
    <row r="14" spans="1:9" ht="13.2" x14ac:dyDescent="0.25">
      <c r="A14" s="17" t="str">
        <f ca="1">IFERROR(__xludf.DUMMYFUNCTION("""COMPUTED_VALUE"""),"Callings")</f>
        <v>Callings</v>
      </c>
      <c r="B14" s="18" t="str">
        <f ca="1">IFERROR(__xludf.DUMMYFUNCTION("""COMPUTED_VALUE"""),"Jonathan Boegler")</f>
        <v>Jonathan Boegler</v>
      </c>
      <c r="C14" s="17" t="str">
        <f ca="1">IFERROR(__xludf.DUMMYFUNCTION("""COMPUTED_VALUE"""),"EQ 1st Counselor")</f>
        <v>EQ 1st Counselor</v>
      </c>
      <c r="D14" s="17" t="str">
        <f ca="1">IFERROR(__xludf.DUMMYFUNCTION("""COMPUTED_VALUE"""),"Jackson")</f>
        <v>Jackson</v>
      </c>
      <c r="E14" s="19" t="str">
        <f ca="1">IFERROR(__xludf.DUMMYFUNCTION("""COMPUTED_VALUE"""),"Training")</f>
        <v>Training</v>
      </c>
      <c r="F14" s="20">
        <f ca="1">IFERROR(__xludf.DUMMYFUNCTION("""COMPUTED_VALUE"""),46104.4127032291)</f>
        <v>46104.4127032291</v>
      </c>
      <c r="G14" s="21" t="str">
        <f ca="1">IFERROR(__xludf.DUMMYFUNCTION("""COMPUTED_VALUE"""),"D. Thorpe")</f>
        <v>D. Thorpe</v>
      </c>
      <c r="H14" s="20" t="str">
        <f ca="1">IFERROR(__xludf.DUMMYFUNCTION("""COMPUTED_VALUE"""),"D. Thorpe")</f>
        <v>D. Thorpe</v>
      </c>
      <c r="I14" s="22" t="str">
        <f ca="1">IFERROR(__xludf.DUMMYFUNCTION("""COMPUTED_VALUE"""),"https://docs.google.com/forms/d/e/1FAIpQLSd37AKX0Ca1Yeje6eC6NuliFZj5Spn7I7mXRsa9kBsXMqB-Ag/viewform?edit2=2_ABaOnuff1NqAKnZeZFWYAZ37X-J5lZZRuI-4HxjIyakngMffc9MgN7mqhOsy4yZwbSwlM5A")</f>
        <v>https://docs.google.com/forms/d/e/1FAIpQLSd37AKX0Ca1Yeje6eC6NuliFZj5Spn7I7mXRsa9kBsXMqB-Ag/viewform?edit2=2_ABaOnuff1NqAKnZeZFWYAZ37X-J5lZZRuI-4HxjIyakngMffc9MgN7mqhOsy4yZwbSwlM5A</v>
      </c>
    </row>
    <row r="15" spans="1:9" ht="13.2" x14ac:dyDescent="0.25">
      <c r="A15" s="17" t="str">
        <f ca="1">IFERROR(__xludf.DUMMYFUNCTION("""COMPUTED_VALUE"""),"Callings")</f>
        <v>Callings</v>
      </c>
      <c r="B15" s="18" t="str">
        <f ca="1">IFERROR(__xludf.DUMMYFUNCTION("""COMPUTED_VALUE"""),"Andrea Lowder")</f>
        <v>Andrea Lowder</v>
      </c>
      <c r="C15" s="17" t="str">
        <f ca="1">IFERROR(__xludf.DUMMYFUNCTION("""COMPUTED_VALUE"""),"Stake YW 1st Counselor")</f>
        <v>Stake YW 1st Counselor</v>
      </c>
      <c r="D15" s="17" t="str">
        <f ca="1">IFERROR(__xludf.DUMMYFUNCTION("""COMPUTED_VALUE"""),"Holt")</f>
        <v>Holt</v>
      </c>
      <c r="E15" s="19" t="str">
        <f ca="1">IFERROR(__xludf.DUMMYFUNCTION("""COMPUTED_VALUE"""),"Training")</f>
        <v>Training</v>
      </c>
      <c r="F15" s="20">
        <f ca="1">IFERROR(__xludf.DUMMYFUNCTION("""COMPUTED_VALUE"""),46085.8726847106)</f>
        <v>46085.872684710601</v>
      </c>
      <c r="G15" s="21" t="str">
        <f ca="1">IFERROR(__xludf.DUMMYFUNCTION("""COMPUTED_VALUE"""),"B. Thorpe")</f>
        <v>B. Thorpe</v>
      </c>
      <c r="H15" s="20" t="str">
        <f ca="1">IFERROR(__xludf.DUMMYFUNCTION("""COMPUTED_VALUE"""),"B. Thorpe")</f>
        <v>B. Thorpe</v>
      </c>
      <c r="I15" s="22" t="str">
        <f ca="1">IFERROR(__xludf.DUMMYFUNCTION("""COMPUTED_VALUE"""),"https://docs.google.com/forms/d/e/1FAIpQLSd37AKX0Ca1Yeje6eC6NuliFZj5Spn7I7mXRsa9kBsXMqB-Ag/viewform?edit2=2_ABaOnudeQNpZK8qo5P01o5m8u1nK-nidTP440bH0iWjs2673t7t6cup8pQiFCCzYZAU0aPQ")</f>
        <v>https://docs.google.com/forms/d/e/1FAIpQLSd37AKX0Ca1Yeje6eC6NuliFZj5Spn7I7mXRsa9kBsXMqB-Ag/viewform?edit2=2_ABaOnudeQNpZK8qo5P01o5m8u1nK-nidTP440bH0iWjs2673t7t6cup8pQiFCCzYZAU0aPQ</v>
      </c>
    </row>
    <row r="16" spans="1:9" ht="13.2" x14ac:dyDescent="0.25">
      <c r="A16" s="17" t="str">
        <f ca="1">IFERROR(__xludf.DUMMYFUNCTION("""COMPUTED_VALUE"""),"Ordinations")</f>
        <v>Ordinations</v>
      </c>
      <c r="B16" s="18" t="str">
        <f ca="1">IFERROR(__xludf.DUMMYFUNCTION("""COMPUTED_VALUE"""),"Gavin Johnson")</f>
        <v>Gavin Johnson</v>
      </c>
      <c r="C16" s="17" t="str">
        <f ca="1">IFERROR(__xludf.DUMMYFUNCTION("""COMPUTED_VALUE"""),"High Priest")</f>
        <v>High Priest</v>
      </c>
      <c r="D16" s="17" t="str">
        <f ca="1">IFERROR(__xludf.DUMMYFUNCTION("""COMPUTED_VALUE"""),"Lansing")</f>
        <v>Lansing</v>
      </c>
      <c r="E16" s="19" t="str">
        <f ca="1">IFERROR(__xludf.DUMMYFUNCTION("""COMPUTED_VALUE"""),"Ordination")</f>
        <v>Ordination</v>
      </c>
      <c r="F16" s="20">
        <f ca="1">IFERROR(__xludf.DUMMYFUNCTION("""COMPUTED_VALUE"""),46159.5498840046)</f>
        <v>46159.549884004598</v>
      </c>
      <c r="G16" s="21" t="str">
        <f ca="1">IFERROR(__xludf.DUMMYFUNCTION("""COMPUTED_VALUE"""),"Earl")</f>
        <v>Earl</v>
      </c>
      <c r="H16" s="20" t="str">
        <f ca="1">IFERROR(__xludf.DUMMYFUNCTION("""COMPUTED_VALUE""")," ")</f>
        <v xml:space="preserve"> </v>
      </c>
      <c r="I16" s="22" t="str">
        <f ca="1">IFERROR(__xludf.DUMMYFUNCTION("""COMPUTED_VALUE"""),"https://docs.google.com/forms/d/e/1FAIpQLScKfK1Xq_AfFRyZkOlyT2n4Ugr8FdePyUxPct4kYLgKJ3YlMQ/viewform?edit2=2_ABaOnucYlNz1YoXLPBAYyST6WlmELb1kBnM9BfkUaTxKov-rM8gB0ieRnkyVKFnayrBrwdE")</f>
        <v>https://docs.google.com/forms/d/e/1FAIpQLScKfK1Xq_AfFRyZkOlyT2n4Ugr8FdePyUxPct4kYLgKJ3YlMQ/viewform?edit2=2_ABaOnucYlNz1YoXLPBAYyST6WlmELb1kBnM9BfkUaTxKov-rM8gB0ieRnkyVKFnayrBrwdE</v>
      </c>
    </row>
    <row r="17" spans="1:9" ht="13.2" x14ac:dyDescent="0.25">
      <c r="A17" s="17" t="str">
        <f ca="1">IFERROR(__xludf.DUMMYFUNCTION("""COMPUTED_VALUE"""),"Ordinations")</f>
        <v>Ordinations</v>
      </c>
      <c r="B17" s="18" t="str">
        <f ca="1">IFERROR(__xludf.DUMMYFUNCTION("""COMPUTED_VALUE"""),"Tristan Packard")</f>
        <v>Tristan Packard</v>
      </c>
      <c r="C17" s="17" t="str">
        <f ca="1">IFERROR(__xludf.DUMMYFUNCTION("""COMPUTED_VALUE"""),"High Priest")</f>
        <v>High Priest</v>
      </c>
      <c r="D17" s="17" t="str">
        <f ca="1">IFERROR(__xludf.DUMMYFUNCTION("""COMPUTED_VALUE"""),"Lansing")</f>
        <v>Lansing</v>
      </c>
      <c r="E17" s="19" t="str">
        <f ca="1">IFERROR(__xludf.DUMMYFUNCTION("""COMPUTED_VALUE"""),"Ordination")</f>
        <v>Ordination</v>
      </c>
      <c r="F17" s="20">
        <f ca="1">IFERROR(__xludf.DUMMYFUNCTION("""COMPUTED_VALUE"""),46159.5496573495)</f>
        <v>46159.549657349497</v>
      </c>
      <c r="G17" s="21" t="str">
        <f ca="1">IFERROR(__xludf.DUMMYFUNCTION("""COMPUTED_VALUE"""),"Earl")</f>
        <v>Earl</v>
      </c>
      <c r="H17" s="20" t="str">
        <f ca="1">IFERROR(__xludf.DUMMYFUNCTION("""COMPUTED_VALUE""")," ")</f>
        <v xml:space="preserve"> </v>
      </c>
      <c r="I17" s="22" t="str">
        <f ca="1">IFERROR(__xludf.DUMMYFUNCTION("""COMPUTED_VALUE"""),"https://docs.google.com/forms/d/e/1FAIpQLScKfK1Xq_AfFRyZkOlyT2n4Ugr8FdePyUxPct4kYLgKJ3YlMQ/viewform?edit2=2_ABaOnucINqfbL2HNtyT2-rdXO1PHIOPKQtPP-hALfOhqsXkOd_XPh6FLRTCqadIMuXnaou0")</f>
        <v>https://docs.google.com/forms/d/e/1FAIpQLScKfK1Xq_AfFRyZkOlyT2n4Ugr8FdePyUxPct4kYLgKJ3YlMQ/viewform?edit2=2_ABaOnucINqfbL2HNtyT2-rdXO1PHIOPKQtPP-hALfOhqsXkOd_XPh6FLRTCqadIMuXnaou0</v>
      </c>
    </row>
    <row r="18" spans="1:9" ht="13.2" x14ac:dyDescent="0.25">
      <c r="A18" s="17" t="str">
        <f ca="1">IFERROR(__xludf.DUMMYFUNCTION("""COMPUTED_VALUE"""),"Ordinations")</f>
        <v>Ordinations</v>
      </c>
      <c r="B18" s="18" t="str">
        <f ca="1">IFERROR(__xludf.DUMMYFUNCTION("""COMPUTED_VALUE"""),"Clayton Hoekwater")</f>
        <v>Clayton Hoekwater</v>
      </c>
      <c r="C18" s="17" t="str">
        <f ca="1">IFERROR(__xludf.DUMMYFUNCTION("""COMPUTED_VALUE"""),"Elder")</f>
        <v>Elder</v>
      </c>
      <c r="D18" s="17" t="str">
        <f ca="1">IFERROR(__xludf.DUMMYFUNCTION("""COMPUTED_VALUE"""),"YSA")</f>
        <v>YSA</v>
      </c>
      <c r="E18" s="19" t="str">
        <f ca="1">IFERROR(__xludf.DUMMYFUNCTION("""COMPUTED_VALUE"""),"Certificate")</f>
        <v>Certificate</v>
      </c>
      <c r="F18" s="20">
        <f ca="1">IFERROR(__xludf.DUMMYFUNCTION("""COMPUTED_VALUE"""),46157.394490243)</f>
        <v>46157.394490243001</v>
      </c>
      <c r="G18" s="21" t="str">
        <f ca="1">IFERROR(__xludf.DUMMYFUNCTION("""COMPUTED_VALUE"""),"Conn")</f>
        <v>Conn</v>
      </c>
      <c r="H18" s="20" t="str">
        <f ca="1">IFERROR(__xludf.DUMMYFUNCTION("""COMPUTED_VALUE""")," ")</f>
        <v xml:space="preserve"> </v>
      </c>
      <c r="I18" s="22" t="str">
        <f ca="1">IFERROR(__xludf.DUMMYFUNCTION("""COMPUTED_VALUE"""),"https://docs.google.com/forms/d/e/1FAIpQLScKfK1Xq_AfFRyZkOlyT2n4Ugr8FdePyUxPct4kYLgKJ3YlMQ/viewform?edit2=2_ABaOnucIF0bUlpImPx8G5Cbwlu76fG6A5FGJO9bhSnfweqQLIYVGJ5NGuH1wd-Vrzig1ARY")</f>
        <v>https://docs.google.com/forms/d/e/1FAIpQLScKfK1Xq_AfFRyZkOlyT2n4Ugr8FdePyUxPct4kYLgKJ3YlMQ/viewform?edit2=2_ABaOnucIF0bUlpImPx8G5Cbwlu76fG6A5FGJO9bhSnfweqQLIYVGJ5NGuH1wd-Vrzig1ARY</v>
      </c>
    </row>
    <row r="19" spans="1:9" ht="13.2" x14ac:dyDescent="0.25">
      <c r="A19" s="17" t="str">
        <f ca="1">IFERROR(__xludf.DUMMYFUNCTION("""COMPUTED_VALUE"""),"Ordinations")</f>
        <v>Ordinations</v>
      </c>
      <c r="B19" s="18" t="str">
        <f ca="1">IFERROR(__xludf.DUMMYFUNCTION("""COMPUTED_VALUE"""),"Skyler Roper")</f>
        <v>Skyler Roper</v>
      </c>
      <c r="C19" s="17" t="str">
        <f ca="1">IFERROR(__xludf.DUMMYFUNCTION("""COMPUTED_VALUE"""),"High Priest")</f>
        <v>High Priest</v>
      </c>
      <c r="D19" s="17" t="str">
        <f ca="1">IFERROR(__xludf.DUMMYFUNCTION("""COMPUTED_VALUE"""),"Portland")</f>
        <v>Portland</v>
      </c>
      <c r="E19" s="19" t="str">
        <f ca="1">IFERROR(__xludf.DUMMYFUNCTION("""COMPUTED_VALUE"""),"Certificate")</f>
        <v>Certificate</v>
      </c>
      <c r="F19" s="20">
        <f ca="1">IFERROR(__xludf.DUMMYFUNCTION("""COMPUTED_VALUE"""),46138.871697662)</f>
        <v>46138.871697661998</v>
      </c>
      <c r="G19" s="21" t="str">
        <f ca="1">IFERROR(__xludf.DUMMYFUNCTION("""COMPUTED_VALUE"""),"Doty")</f>
        <v>Doty</v>
      </c>
      <c r="H19" s="20" t="str">
        <f ca="1">IFERROR(__xludf.DUMMYFUNCTION("""COMPUTED_VALUE""")," ")</f>
        <v xml:space="preserve"> </v>
      </c>
      <c r="I19" s="22" t="str">
        <f ca="1">IFERROR(__xludf.DUMMYFUNCTION("""COMPUTED_VALUE"""),"https://docs.google.com/forms/d/e/1FAIpQLScKfK1Xq_AfFRyZkOlyT2n4Ugr8FdePyUxPct4kYLgKJ3YlMQ/viewform?edit2=2_ABaOnucvgZ8hcmHj8eo8Gttfaa2Xb_k25Mz2N0V6ThqYfwGsiep8vt9_VOKJTNSs6iScXCU")</f>
        <v>https://docs.google.com/forms/d/e/1FAIpQLScKfK1Xq_AfFRyZkOlyT2n4Ugr8FdePyUxPct4kYLgKJ3YlMQ/viewform?edit2=2_ABaOnucvgZ8hcmHj8eo8Gttfaa2Xb_k25Mz2N0V6ThqYfwGsiep8vt9_VOKJTNSs6iScXCU</v>
      </c>
    </row>
    <row r="20" spans="1:9" ht="13.2" x14ac:dyDescent="0.25">
      <c r="A20" s="17" t="str">
        <f ca="1">IFERROR(__xludf.DUMMYFUNCTION("""COMPUTED_VALUE"""),"Ordinations")</f>
        <v>Ordinations</v>
      </c>
      <c r="B20" s="18" t="str">
        <f ca="1">IFERROR(__xludf.DUMMYFUNCTION("""COMPUTED_VALUE"""),"Taylor Smith")</f>
        <v>Taylor Smith</v>
      </c>
      <c r="C20" s="17" t="str">
        <f ca="1">IFERROR(__xludf.DUMMYFUNCTION("""COMPUTED_VALUE"""),"High Priest")</f>
        <v>High Priest</v>
      </c>
      <c r="D20" s="17" t="str">
        <f ca="1">IFERROR(__xludf.DUMMYFUNCTION("""COMPUTED_VALUE"""),"Lansing")</f>
        <v>Lansing</v>
      </c>
      <c r="E20" s="19" t="str">
        <f ca="1">IFERROR(__xludf.DUMMYFUNCTION("""COMPUTED_VALUE"""),"Cancelled")</f>
        <v>Cancelled</v>
      </c>
      <c r="F20" s="20">
        <f ca="1">IFERROR(__xludf.DUMMYFUNCTION("""COMPUTED_VALUE"""),46138.5466972337)</f>
        <v>46138.546697233702</v>
      </c>
      <c r="G20" s="21"/>
      <c r="H20" s="20" t="str">
        <f ca="1">IFERROR(__xludf.DUMMYFUNCTION("""COMPUTED_VALUE""")," ")</f>
        <v xml:space="preserve"> </v>
      </c>
      <c r="I20" s="22" t="str">
        <f ca="1">IFERROR(__xludf.DUMMYFUNCTION("""COMPUTED_VALUE"""),"https://docs.google.com/forms/d/e/1FAIpQLScKfK1Xq_AfFRyZkOlyT2n4Ugr8FdePyUxPct4kYLgKJ3YlMQ/viewform?edit2=2_ABaOnufrbZEpQ1VYeN9BXUBQ6v1OzvXmTFVGlu68JTR1rShH00C-sT1ViaSxcZ8c5g36hTc")</f>
        <v>https://docs.google.com/forms/d/e/1FAIpQLScKfK1Xq_AfFRyZkOlyT2n4Ugr8FdePyUxPct4kYLgKJ3YlMQ/viewform?edit2=2_ABaOnufrbZEpQ1VYeN9BXUBQ6v1OzvXmTFVGlu68JTR1rShH00C-sT1ViaSxcZ8c5g36hTc</v>
      </c>
    </row>
    <row r="21" spans="1:9" ht="13.2" x14ac:dyDescent="0.25">
      <c r="A21" s="17" t="str">
        <f ca="1">IFERROR(__xludf.DUMMYFUNCTION("""COMPUTED_VALUE"""),"No Releasings")</f>
        <v>No Releasings</v>
      </c>
      <c r="B21" s="18" t="str">
        <f ca="1">IFERROR(__xludf.DUMMYFUNCTION("""COMPUTED_VALUE""")," ")</f>
        <v xml:space="preserve"> </v>
      </c>
      <c r="C21" s="17" t="str">
        <f ca="1">IFERROR(__xludf.DUMMYFUNCTION("""COMPUTED_VALUE""")," ")</f>
        <v xml:space="preserve"> </v>
      </c>
      <c r="D21" s="17" t="str">
        <f ca="1">IFERROR(__xludf.DUMMYFUNCTION("""COMPUTED_VALUE""")," ")</f>
        <v xml:space="preserve"> </v>
      </c>
      <c r="E21" s="19" t="str">
        <f ca="1">IFERROR(__xludf.DUMMYFUNCTION("""COMPUTED_VALUE""")," ")</f>
        <v xml:space="preserve"> </v>
      </c>
      <c r="F21" s="20" t="str">
        <f ca="1">IFERROR(__xludf.DUMMYFUNCTION("""COMPUTED_VALUE""")," ")</f>
        <v xml:space="preserve"> </v>
      </c>
      <c r="G21" s="21" t="str">
        <f ca="1">IFERROR(__xludf.DUMMYFUNCTION("""COMPUTED_VALUE""")," ")</f>
        <v xml:space="preserve"> </v>
      </c>
      <c r="H21" s="20" t="str">
        <f ca="1">IFERROR(__xludf.DUMMYFUNCTION("""COMPUTED_VALUE""")," ")</f>
        <v xml:space="preserve"> </v>
      </c>
      <c r="I21" s="23" t="str">
        <f ca="1">IFERROR(__xludf.DUMMYFUNCTION("""COMPUTED_VALUE""")," ")</f>
        <v xml:space="preserve"> </v>
      </c>
    </row>
    <row r="22" spans="1:9" ht="13.2" x14ac:dyDescent="0.25">
      <c r="B22" s="18"/>
      <c r="E22" s="19"/>
      <c r="F22" s="20"/>
      <c r="G22" s="21"/>
      <c r="H22" s="20"/>
      <c r="I22" s="23"/>
    </row>
    <row r="23" spans="1:9" ht="13.2" x14ac:dyDescent="0.25">
      <c r="B23" s="18"/>
      <c r="E23" s="19"/>
      <c r="F23" s="20"/>
      <c r="G23" s="21"/>
      <c r="H23" s="20"/>
      <c r="I23" s="23"/>
    </row>
    <row r="24" spans="1:9" ht="13.2" x14ac:dyDescent="0.25">
      <c r="B24" s="18"/>
      <c r="E24" s="19"/>
      <c r="F24" s="20"/>
      <c r="G24" s="21"/>
      <c r="H24" s="20"/>
      <c r="I24" s="23"/>
    </row>
    <row r="25" spans="1:9" ht="13.2" x14ac:dyDescent="0.25">
      <c r="B25" s="18"/>
      <c r="E25" s="19"/>
      <c r="F25" s="20"/>
      <c r="G25" s="21"/>
      <c r="H25" s="20"/>
      <c r="I25" s="23"/>
    </row>
    <row r="26" spans="1:9" ht="13.2" x14ac:dyDescent="0.25">
      <c r="B26" s="18"/>
      <c r="E26" s="19"/>
      <c r="F26" s="20"/>
      <c r="G26" s="21"/>
      <c r="H26" s="20"/>
      <c r="I26" s="23"/>
    </row>
    <row r="27" spans="1:9" ht="13.2" x14ac:dyDescent="0.25">
      <c r="B27" s="18"/>
      <c r="E27" s="19"/>
      <c r="F27" s="20"/>
      <c r="G27" s="21"/>
      <c r="H27" s="20"/>
      <c r="I27" s="23"/>
    </row>
    <row r="28" spans="1:9" ht="13.2" x14ac:dyDescent="0.25">
      <c r="B28" s="18"/>
      <c r="E28" s="19"/>
      <c r="F28" s="20"/>
      <c r="G28" s="21"/>
      <c r="H28" s="20"/>
      <c r="I28" s="23"/>
    </row>
    <row r="29" spans="1:9" ht="13.2" x14ac:dyDescent="0.25">
      <c r="B29" s="18"/>
      <c r="E29" s="19"/>
      <c r="F29" s="20"/>
      <c r="G29" s="21"/>
      <c r="H29" s="20"/>
      <c r="I29" s="23"/>
    </row>
    <row r="30" spans="1:9" ht="13.2" x14ac:dyDescent="0.25">
      <c r="B30" s="18"/>
      <c r="E30" s="19"/>
      <c r="F30" s="20"/>
      <c r="G30" s="21"/>
      <c r="H30" s="20"/>
      <c r="I30" s="23"/>
    </row>
    <row r="31" spans="1:9" ht="13.2" x14ac:dyDescent="0.25">
      <c r="B31" s="18"/>
      <c r="E31" s="19"/>
      <c r="F31" s="20"/>
      <c r="G31" s="21"/>
      <c r="H31" s="20"/>
      <c r="I31" s="23"/>
    </row>
    <row r="32" spans="1:9" ht="13.2" x14ac:dyDescent="0.25">
      <c r="B32" s="18"/>
      <c r="E32" s="19"/>
      <c r="F32" s="20"/>
      <c r="G32" s="21"/>
      <c r="H32" s="20"/>
      <c r="I32" s="23"/>
    </row>
    <row r="33" spans="2:9" ht="13.2" x14ac:dyDescent="0.25">
      <c r="B33" s="18"/>
      <c r="E33" s="19"/>
      <c r="F33" s="20"/>
      <c r="G33" s="21"/>
      <c r="H33" s="20"/>
      <c r="I33" s="23"/>
    </row>
    <row r="34" spans="2:9" ht="13.2" x14ac:dyDescent="0.25">
      <c r="B34" s="18"/>
      <c r="E34" s="19"/>
      <c r="F34" s="20"/>
      <c r="G34" s="21"/>
      <c r="H34" s="20"/>
      <c r="I34" s="23"/>
    </row>
    <row r="35" spans="2:9" ht="13.2" x14ac:dyDescent="0.25">
      <c r="B35" s="18"/>
      <c r="E35" s="19"/>
      <c r="F35" s="20"/>
      <c r="G35" s="21"/>
      <c r="H35" s="20"/>
      <c r="I35" s="23"/>
    </row>
    <row r="36" spans="2:9" ht="13.2" x14ac:dyDescent="0.25">
      <c r="B36" s="18"/>
      <c r="E36" s="19"/>
      <c r="F36" s="20"/>
      <c r="G36" s="21"/>
      <c r="H36" s="20"/>
      <c r="I36" s="23"/>
    </row>
    <row r="37" spans="2:9" ht="13.2" x14ac:dyDescent="0.25">
      <c r="B37" s="18"/>
      <c r="E37" s="19"/>
      <c r="F37" s="20"/>
      <c r="G37" s="21"/>
      <c r="H37" s="20"/>
      <c r="I37" s="23"/>
    </row>
    <row r="38" spans="2:9" ht="13.2" x14ac:dyDescent="0.25">
      <c r="B38" s="18"/>
      <c r="E38" s="19"/>
      <c r="F38" s="20"/>
      <c r="G38" s="21"/>
      <c r="H38" s="20"/>
      <c r="I38" s="23"/>
    </row>
  </sheetData>
  <conditionalFormatting sqref="A1:I38">
    <cfRule type="expression" dxfId="43" priority="9">
      <formula>REGEXMATCH($A1, "(?i)Ordinations")</formula>
    </cfRule>
    <cfRule type="expression" dxfId="42" priority="10">
      <formula>REGEXMATCH($A1, "(?i)Releasings")</formula>
    </cfRule>
    <cfRule type="expression" dxfId="41" priority="11">
      <formula>REGEXMATCH($A1, "(?i)Callings")</formula>
    </cfRule>
  </conditionalFormatting>
  <conditionalFormatting sqref="E1:E38">
    <cfRule type="containsText" dxfId="40" priority="5" operator="containsText" text="Call / Release">
      <formula>NOT(ISERROR(SEARCH(("Call / Release"),(E1))))</formula>
    </cfRule>
    <cfRule type="containsText" dxfId="39" priority="6" operator="containsText" text="Sustain / Set Apart">
      <formula>NOT(ISERROR(SEARCH(("Sustain / Set Apart"),(E1))))</formula>
    </cfRule>
    <cfRule type="containsText" dxfId="38" priority="7" operator="containsText" text="Approval">
      <formula>NOT(ISERROR(SEARCH(("Approval"),(E1))))</formula>
    </cfRule>
    <cfRule type="containsText" dxfId="37" priority="8" operator="containsText" text="Training">
      <formula>NOT(ISERROR(SEARCH(("Training"),(E1))))</formula>
    </cfRule>
  </conditionalFormatting>
  <conditionalFormatting sqref="G2:G38">
    <cfRule type="expression" dxfId="36" priority="1">
      <formula>IF($E2="Training",TRUE,FALSE)</formula>
    </cfRule>
  </conditionalFormatting>
  <conditionalFormatting sqref="G1:I38">
    <cfRule type="containsText" dxfId="35" priority="2" operator="containsText" text="Earl">
      <formula>NOT(ISERROR(SEARCH(("Earl"),(G1))))</formula>
    </cfRule>
    <cfRule type="containsText" dxfId="34" priority="3" operator="containsText" text="Rawson">
      <formula>NOT(ISERROR(SEARCH(("Rawson"),(G1))))</formula>
    </cfRule>
    <cfRule type="containsText" dxfId="33" priority="4" operator="containsText" text="Pierce">
      <formula>NOT(ISERROR(SEARCH(("Pierce"),(G1))))</formula>
    </cfRule>
  </conditionalFormatting>
  <hyperlinks>
    <hyperlink ref="I2" r:id="rId1" display="https://docs.google.com/forms/d/e/1FAIpQLSd37AKX0Ca1Yeje6eC6NuliFZj5Spn7I7mXRsa9kBsXMqB-Ag/viewform?edit2=2_ABaOnuc084FrjG7zAzRmpPq49Y4JP88xiAcq-g7-VvQwWFeceQLWBMs_PDHeU79-Vo2bATc" xr:uid="{00000000-0004-0000-0200-000000000000}"/>
    <hyperlink ref="I3" r:id="rId2" display="https://docs.google.com/forms/d/e/1FAIpQLSd37AKX0Ca1Yeje6eC6NuliFZj5Spn7I7mXRsa9kBsXMqB-Ag/viewform?edit2=2_ABaOnucU6DOq6qcvz42zkHjhZlqUckdI_P7WQvTHT6kRvXPS0nedw-Lqwshw-TPP60rFl40" xr:uid="{00000000-0004-0000-0200-000001000000}"/>
    <hyperlink ref="I4" r:id="rId3" display="https://docs.google.com/forms/d/e/1FAIpQLSd37AKX0Ca1Yeje6eC6NuliFZj5Spn7I7mXRsa9kBsXMqB-Ag/viewform?edit2=2_ABaOnuerF-9S-0PUnAo-xLIpSHuJa6TuFg8a5-HK4pKoELYuVYouRoOvSYDtqHqjDqv1WPE" xr:uid="{00000000-0004-0000-0200-000002000000}"/>
    <hyperlink ref="I5" r:id="rId4" display="https://docs.google.com/forms/d/e/1FAIpQLSd37AKX0Ca1Yeje6eC6NuliFZj5Spn7I7mXRsa9kBsXMqB-Ag/viewform?edit2=2_ABaOnue8mI5AYqilJnQ-23IHeU09ipqfAONkBPAhQ3a3okU2s71v_L1uHn7A2GfefVIT5vE" xr:uid="{00000000-0004-0000-0200-000003000000}"/>
    <hyperlink ref="I6" r:id="rId5" display="https://docs.google.com/forms/d/e/1FAIpQLSd37AKX0Ca1Yeje6eC6NuliFZj5Spn7I7mXRsa9kBsXMqB-Ag/viewform?edit2=2_ABaOnuf2j7989Basd7RqeWk5ShbfC9vglbQAYME_8G0y9KgxN5a2Sxu33yjZSF-7UYqZu8U" xr:uid="{00000000-0004-0000-0200-000004000000}"/>
    <hyperlink ref="I7" r:id="rId6" display="https://docs.google.com/forms/d/e/1FAIpQLSd37AKX0Ca1Yeje6eC6NuliFZj5Spn7I7mXRsa9kBsXMqB-Ag/viewform?edit2=2_ABaOnueza0QWbrwz8T7sWbuoj8RQ0uTYVPMjIOquJLrwomLqVasBXKQ7q4oPdU42q5sebnY" xr:uid="{00000000-0004-0000-0200-000005000000}"/>
    <hyperlink ref="I8" r:id="rId7" display="https://docs.google.com/forms/d/e/1FAIpQLSd37AKX0Ca1Yeje6eC6NuliFZj5Spn7I7mXRsa9kBsXMqB-Ag/viewform?edit2=2_ABaOnufG4qkFQOtlvqNs92E6J7QIRFpabq77LhYs1EKoIUylzebWNv8mFo_PoidwofkyZ0Y" xr:uid="{00000000-0004-0000-0200-000006000000}"/>
    <hyperlink ref="I9" r:id="rId8" display="https://docs.google.com/forms/d/e/1FAIpQLSd37AKX0Ca1Yeje6eC6NuliFZj5Spn7I7mXRsa9kBsXMqB-Ag/viewform?edit2=2_ABaOnueYWLUCkhOyJAhdd6sl35WX-SzQl1fVfL0acBK39C3PrSGDfh5FKCpV-EWK10pwrqQ" xr:uid="{00000000-0004-0000-0200-000007000000}"/>
    <hyperlink ref="I10" r:id="rId9" display="https://docs.google.com/forms/d/e/1FAIpQLSd37AKX0Ca1Yeje6eC6NuliFZj5Spn7I7mXRsa9kBsXMqB-Ag/viewform?edit2=2_ABaOnucjwEQQpKVtkpHfLLSdr7wlsJ123jmny_Y0VAZ3t1dzFLz17xf1AylOpEj0gIyz5Dg" xr:uid="{00000000-0004-0000-0200-000008000000}"/>
    <hyperlink ref="I11" r:id="rId10" display="https://docs.google.com/forms/d/e/1FAIpQLSd37AKX0Ca1Yeje6eC6NuliFZj5Spn7I7mXRsa9kBsXMqB-Ag/viewform?edit2=2_ABaOnuf6drCWA-IZBlNqDAotDEssKORUs-S1i6ryHOYbNmm5r74FiPSdK2RgyzyGz8V24y8" xr:uid="{00000000-0004-0000-0200-000009000000}"/>
    <hyperlink ref="I12" r:id="rId11" display="https://docs.google.com/forms/d/e/1FAIpQLSd37AKX0Ca1Yeje6eC6NuliFZj5Spn7I7mXRsa9kBsXMqB-Ag/viewform?edit2=2_ABaOnucXYh7TXzTa8Eiqh6G2iI9SDkB9z7HxXc-muPtZY1lxw5j5SfdnONWyGViUYdQGjOE" xr:uid="{00000000-0004-0000-0200-00000A000000}"/>
    <hyperlink ref="I13" r:id="rId12" display="https://docs.google.com/forms/d/e/1FAIpQLSd37AKX0Ca1Yeje6eC6NuliFZj5Spn7I7mXRsa9kBsXMqB-Ag/viewform?edit2=2_ABaOnueqOA9jOURj75fgFVzTPRoS4CvrWRrmHCOIfJ0-em66xU40R2VatgNoW4WQt5tTjMU" xr:uid="{00000000-0004-0000-0200-00000B000000}"/>
    <hyperlink ref="I14" r:id="rId13" display="https://docs.google.com/forms/d/e/1FAIpQLSd37AKX0Ca1Yeje6eC6NuliFZj5Spn7I7mXRsa9kBsXMqB-Ag/viewform?edit2=2_ABaOnuff1NqAKnZeZFWYAZ37X-J5lZZRuI-4HxjIyakngMffc9MgN7mqhOsy4yZwbSwlM5A" xr:uid="{00000000-0004-0000-0200-00000C000000}"/>
    <hyperlink ref="I15" r:id="rId14" display="https://docs.google.com/forms/d/e/1FAIpQLSd37AKX0Ca1Yeje6eC6NuliFZj5Spn7I7mXRsa9kBsXMqB-Ag/viewform?edit2=2_ABaOnudeQNpZK8qo5P01o5m8u1nK-nidTP440bH0iWjs2673t7t6cup8pQiFCCzYZAU0aPQ" xr:uid="{00000000-0004-0000-0200-00000D000000}"/>
    <hyperlink ref="I16" r:id="rId15" display="https://docs.google.com/forms/d/e/1FAIpQLScKfK1Xq_AfFRyZkOlyT2n4Ugr8FdePyUxPct4kYLgKJ3YlMQ/viewform?edit2=2_ABaOnucYlNz1YoXLPBAYyST6WlmELb1kBnM9BfkUaTxKov-rM8gB0ieRnkyVKFnayrBrwdE" xr:uid="{00000000-0004-0000-0200-00000E000000}"/>
    <hyperlink ref="I17" r:id="rId16" display="https://docs.google.com/forms/d/e/1FAIpQLScKfK1Xq_AfFRyZkOlyT2n4Ugr8FdePyUxPct4kYLgKJ3YlMQ/viewform?edit2=2_ABaOnucINqfbL2HNtyT2-rdXO1PHIOPKQtPP-hALfOhqsXkOd_XPh6FLRTCqadIMuXnaou0" xr:uid="{00000000-0004-0000-0200-00000F000000}"/>
    <hyperlink ref="I18" r:id="rId17" display="https://docs.google.com/forms/d/e/1FAIpQLScKfK1Xq_AfFRyZkOlyT2n4Ugr8FdePyUxPct4kYLgKJ3YlMQ/viewform?edit2=2_ABaOnucIF0bUlpImPx8G5Cbwlu76fG6A5FGJO9bhSnfweqQLIYVGJ5NGuH1wd-Vrzig1ARY" xr:uid="{00000000-0004-0000-0200-000010000000}"/>
    <hyperlink ref="I19" r:id="rId18" display="https://docs.google.com/forms/d/e/1FAIpQLScKfK1Xq_AfFRyZkOlyT2n4Ugr8FdePyUxPct4kYLgKJ3YlMQ/viewform?edit2=2_ABaOnucvgZ8hcmHj8eo8Gttfaa2Xb_k25Mz2N0V6ThqYfwGsiep8vt9_VOKJTNSs6iScXCU" xr:uid="{00000000-0004-0000-0200-000011000000}"/>
    <hyperlink ref="I20" r:id="rId19" display="https://docs.google.com/forms/d/e/1FAIpQLScKfK1Xq_AfFRyZkOlyT2n4Ugr8FdePyUxPct4kYLgKJ3YlMQ/viewform?edit2=2_ABaOnufrbZEpQ1VYeN9BXUBQ6v1OzvXmTFVGlu68JTR1rShH00C-sT1ViaSxcZ8c5g36hTc" xr:uid="{00000000-0004-0000-0200-000012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B5394"/>
    <outlinePr summaryBelow="0" summaryRight="0"/>
  </sheetPr>
  <dimension ref="A1:BE145"/>
  <sheetViews>
    <sheetView workbookViewId="0">
      <pane xSplit="7" ySplit="2" topLeftCell="AU3" activePane="bottomRight" state="frozen"/>
      <selection pane="topRight" activeCell="H1" sqref="H1"/>
      <selection pane="bottomLeft" activeCell="A3" sqref="A3"/>
      <selection pane="bottomRight" activeCell="AW2" sqref="AW2:BE2"/>
    </sheetView>
  </sheetViews>
  <sheetFormatPr defaultColWidth="12.6640625" defaultRowHeight="15.75" customHeight="1" x14ac:dyDescent="0.25"/>
  <cols>
    <col min="1" max="1" width="35.44140625" customWidth="1"/>
    <col min="2" max="2" width="12.77734375" hidden="1" customWidth="1"/>
    <col min="3" max="3" width="10.88671875" hidden="1" customWidth="1"/>
    <col min="4" max="4" width="18.88671875" customWidth="1"/>
    <col min="5" max="5" width="18.21875" customWidth="1"/>
    <col min="6" max="6" width="38.109375" customWidth="1"/>
    <col min="7" max="7" width="11.33203125" customWidth="1"/>
    <col min="8" max="8" width="24.77734375" customWidth="1"/>
    <col min="9" max="9" width="11.109375" customWidth="1"/>
    <col min="10" max="10" width="17" customWidth="1"/>
    <col min="11" max="11" width="22.77734375" customWidth="1"/>
    <col min="12" max="12" width="13.6640625" customWidth="1"/>
    <col min="13" max="13" width="13.88671875" customWidth="1"/>
    <col min="14" max="14" width="12.33203125" customWidth="1"/>
    <col min="15" max="26" width="4.109375" customWidth="1"/>
    <col min="27" max="28" width="5.88671875" customWidth="1"/>
    <col min="29" max="29" width="10.44140625" customWidth="1"/>
    <col min="30" max="30" width="16" customWidth="1"/>
    <col min="31" max="31" width="14.33203125" customWidth="1"/>
    <col min="32" max="48" width="18.88671875" customWidth="1"/>
  </cols>
  <sheetData>
    <row r="1" spans="1:57" ht="36" customHeight="1" x14ac:dyDescent="0.25">
      <c r="A1" s="24" t="s">
        <v>59</v>
      </c>
      <c r="B1" s="25"/>
      <c r="C1" s="26"/>
      <c r="D1" s="27" t="s">
        <v>37</v>
      </c>
      <c r="E1" s="28"/>
      <c r="F1" s="117" t="s">
        <v>60</v>
      </c>
      <c r="G1" s="118"/>
      <c r="H1" s="26"/>
      <c r="I1" s="26"/>
      <c r="J1" s="26"/>
      <c r="K1" s="26"/>
      <c r="L1" s="29"/>
      <c r="M1" s="29"/>
      <c r="N1" s="29"/>
      <c r="O1" s="119" t="s">
        <v>61</v>
      </c>
      <c r="P1" s="115"/>
      <c r="Q1" s="115"/>
      <c r="R1" s="115"/>
      <c r="S1" s="115"/>
      <c r="T1" s="115"/>
      <c r="U1" s="115"/>
      <c r="V1" s="115"/>
      <c r="W1" s="115"/>
      <c r="X1" s="115"/>
      <c r="Y1" s="115"/>
      <c r="Z1" s="115"/>
      <c r="AA1" s="30"/>
      <c r="AB1" s="30"/>
      <c r="AC1" s="120" t="s">
        <v>1</v>
      </c>
      <c r="AD1" s="115"/>
      <c r="AE1" s="115"/>
      <c r="AF1" s="121" t="s">
        <v>62</v>
      </c>
      <c r="AG1" s="115"/>
      <c r="AH1" s="115"/>
      <c r="AI1" s="115"/>
      <c r="AJ1" s="115"/>
      <c r="AK1" s="120" t="s">
        <v>63</v>
      </c>
      <c r="AL1" s="115"/>
      <c r="AM1" s="115"/>
      <c r="AN1" s="115"/>
      <c r="AO1" s="115"/>
      <c r="AP1" s="115"/>
      <c r="AQ1" s="122" t="s">
        <v>64</v>
      </c>
      <c r="AR1" s="115"/>
      <c r="AS1" s="115"/>
      <c r="AT1" s="115"/>
      <c r="AU1" s="115"/>
      <c r="AV1" s="31"/>
      <c r="AW1" t="s">
        <v>926</v>
      </c>
    </row>
    <row r="2" spans="1:57" ht="57.75" customHeight="1" x14ac:dyDescent="0.3">
      <c r="A2" s="32" t="s">
        <v>65</v>
      </c>
      <c r="B2" s="33" t="s">
        <v>66</v>
      </c>
      <c r="C2" s="34" t="s">
        <v>67</v>
      </c>
      <c r="D2" s="35" t="s">
        <v>68</v>
      </c>
      <c r="E2" s="36" t="s">
        <v>69</v>
      </c>
      <c r="F2" s="35" t="s">
        <v>1</v>
      </c>
      <c r="G2" s="37" t="s">
        <v>0</v>
      </c>
      <c r="H2" s="38" t="s">
        <v>70</v>
      </c>
      <c r="I2" s="38" t="s">
        <v>71</v>
      </c>
      <c r="J2" s="38" t="s">
        <v>72</v>
      </c>
      <c r="K2" s="38" t="s">
        <v>73</v>
      </c>
      <c r="L2" s="39" t="s">
        <v>74</v>
      </c>
      <c r="M2" s="39" t="s">
        <v>75</v>
      </c>
      <c r="N2" s="39" t="s">
        <v>76</v>
      </c>
      <c r="O2" s="40" t="s">
        <v>77</v>
      </c>
      <c r="P2" s="40" t="s">
        <v>78</v>
      </c>
      <c r="Q2" s="40" t="s">
        <v>79</v>
      </c>
      <c r="R2" s="40" t="s">
        <v>80</v>
      </c>
      <c r="S2" s="40" t="s">
        <v>81</v>
      </c>
      <c r="T2" s="40" t="s">
        <v>82</v>
      </c>
      <c r="U2" s="40" t="s">
        <v>83</v>
      </c>
      <c r="V2" s="40" t="s">
        <v>84</v>
      </c>
      <c r="W2" s="40" t="s">
        <v>85</v>
      </c>
      <c r="X2" s="40" t="s">
        <v>86</v>
      </c>
      <c r="Y2" s="40" t="s">
        <v>87</v>
      </c>
      <c r="Z2" s="40" t="s">
        <v>88</v>
      </c>
      <c r="AA2" s="41" t="s">
        <v>89</v>
      </c>
      <c r="AB2" s="41" t="s">
        <v>90</v>
      </c>
      <c r="AC2" s="42" t="s">
        <v>91</v>
      </c>
      <c r="AD2" s="42" t="s">
        <v>92</v>
      </c>
      <c r="AE2" s="42" t="s">
        <v>93</v>
      </c>
      <c r="AF2" s="43" t="s">
        <v>94</v>
      </c>
      <c r="AG2" s="43" t="s">
        <v>0</v>
      </c>
      <c r="AH2" s="44" t="s">
        <v>95</v>
      </c>
      <c r="AI2" s="43" t="s">
        <v>96</v>
      </c>
      <c r="AJ2" s="43" t="s">
        <v>97</v>
      </c>
      <c r="AK2" s="42" t="s">
        <v>98</v>
      </c>
      <c r="AL2" s="45" t="s">
        <v>99</v>
      </c>
      <c r="AM2" s="42" t="s">
        <v>100</v>
      </c>
      <c r="AN2" s="42" t="s">
        <v>101</v>
      </c>
      <c r="AO2" s="45" t="s">
        <v>102</v>
      </c>
      <c r="AP2" s="42" t="s">
        <v>103</v>
      </c>
      <c r="AQ2" s="46" t="s">
        <v>104</v>
      </c>
      <c r="AR2" s="46" t="s">
        <v>105</v>
      </c>
      <c r="AS2" s="46" t="s">
        <v>106</v>
      </c>
      <c r="AT2" s="46" t="s">
        <v>107</v>
      </c>
      <c r="AU2" s="46" t="s">
        <v>108</v>
      </c>
      <c r="AV2" s="46" t="s">
        <v>109</v>
      </c>
      <c r="AW2" s="124" t="s">
        <v>2</v>
      </c>
      <c r="AX2" s="124" t="s">
        <v>4</v>
      </c>
      <c r="AY2" s="124" t="s">
        <v>5</v>
      </c>
      <c r="AZ2" s="124" t="s">
        <v>6</v>
      </c>
      <c r="BA2" s="124" t="s">
        <v>8</v>
      </c>
      <c r="BB2" s="124" t="s">
        <v>7</v>
      </c>
      <c r="BC2" s="124" t="s">
        <v>9</v>
      </c>
      <c r="BD2" s="124" t="s">
        <v>10</v>
      </c>
      <c r="BE2" s="124" t="s">
        <v>3</v>
      </c>
    </row>
    <row r="3" spans="1:57" ht="39.6" x14ac:dyDescent="0.25">
      <c r="A3" s="47" t="s">
        <v>110</v>
      </c>
      <c r="B3" s="48">
        <v>45522.619175625005</v>
      </c>
      <c r="C3" s="49" t="s">
        <v>111</v>
      </c>
      <c r="D3" s="49" t="s">
        <v>12</v>
      </c>
      <c r="E3" s="26" t="s">
        <v>112</v>
      </c>
      <c r="F3" s="49" t="s">
        <v>20</v>
      </c>
      <c r="G3" s="49" t="s">
        <v>10</v>
      </c>
      <c r="H3" s="49" t="s">
        <v>113</v>
      </c>
      <c r="I3" s="49" t="s">
        <v>114</v>
      </c>
      <c r="J3" s="49" t="s">
        <v>115</v>
      </c>
      <c r="K3" s="49"/>
      <c r="L3" s="50">
        <v>45438</v>
      </c>
      <c r="M3" s="50">
        <v>45438</v>
      </c>
      <c r="N3" s="50">
        <v>45441</v>
      </c>
      <c r="O3" s="49" t="s">
        <v>116</v>
      </c>
      <c r="P3" s="49" t="s">
        <v>116</v>
      </c>
      <c r="Q3" s="49" t="s">
        <v>116</v>
      </c>
      <c r="R3" s="49" t="s">
        <v>116</v>
      </c>
      <c r="S3" s="49" t="s">
        <v>116</v>
      </c>
      <c r="T3" s="49" t="s">
        <v>116</v>
      </c>
      <c r="U3" s="49" t="s">
        <v>116</v>
      </c>
      <c r="V3" s="49" t="s">
        <v>116</v>
      </c>
      <c r="W3" s="49" t="s">
        <v>116</v>
      </c>
      <c r="X3" s="49" t="s">
        <v>116</v>
      </c>
      <c r="Y3" s="49"/>
      <c r="Z3" s="49" t="s">
        <v>116</v>
      </c>
      <c r="AA3" s="49">
        <f t="shared" ref="AA3:AA87" si="0">COUNTIF(O3:Z3,"Yes")</f>
        <v>11</v>
      </c>
      <c r="AB3" s="49">
        <f t="shared" ref="AB3:AB87" si="1">COUNTIF(O3:Z3,"No")</f>
        <v>0</v>
      </c>
      <c r="AC3" s="49" t="s">
        <v>116</v>
      </c>
      <c r="AD3" s="49" t="s">
        <v>117</v>
      </c>
      <c r="AE3" s="49" t="s">
        <v>118</v>
      </c>
      <c r="AF3" s="49" t="s">
        <v>119</v>
      </c>
      <c r="AG3" s="49" t="s">
        <v>6</v>
      </c>
      <c r="AH3" s="49" t="s">
        <v>116</v>
      </c>
      <c r="AI3" s="49" t="s">
        <v>116</v>
      </c>
      <c r="AJ3" s="49" t="s">
        <v>116</v>
      </c>
      <c r="AK3" s="49" t="s">
        <v>116</v>
      </c>
      <c r="AL3" s="49" t="s">
        <v>116</v>
      </c>
      <c r="AM3" s="51">
        <v>45473</v>
      </c>
      <c r="AN3" s="51">
        <v>45480</v>
      </c>
      <c r="AO3" s="49" t="s">
        <v>115</v>
      </c>
      <c r="AP3" s="49" t="s">
        <v>116</v>
      </c>
      <c r="AQ3" s="49" t="s">
        <v>116</v>
      </c>
      <c r="AR3" s="49" t="s">
        <v>120</v>
      </c>
      <c r="AS3" s="49" t="s">
        <v>116</v>
      </c>
      <c r="AT3" s="49" t="s">
        <v>116</v>
      </c>
      <c r="AU3" s="49" t="s">
        <v>116</v>
      </c>
      <c r="AV3" s="52" t="e">
        <f t="shared" ref="AV3:AV52" ca="1" si="2">geturl(A3)</f>
        <v>#NAME?</v>
      </c>
    </row>
    <row r="4" spans="1:57" ht="39.6" x14ac:dyDescent="0.25">
      <c r="A4" s="47" t="s">
        <v>121</v>
      </c>
      <c r="B4" s="48">
        <v>45522.623064710649</v>
      </c>
      <c r="C4" s="49" t="s">
        <v>111</v>
      </c>
      <c r="D4" s="49" t="s">
        <v>12</v>
      </c>
      <c r="E4" s="26" t="s">
        <v>122</v>
      </c>
      <c r="F4" s="49" t="s">
        <v>123</v>
      </c>
      <c r="G4" s="49" t="s">
        <v>4</v>
      </c>
      <c r="H4" s="49" t="s">
        <v>124</v>
      </c>
      <c r="I4" s="49" t="s">
        <v>116</v>
      </c>
      <c r="J4" s="49" t="s">
        <v>115</v>
      </c>
      <c r="K4" s="49" t="s">
        <v>125</v>
      </c>
      <c r="L4" s="50">
        <v>45449</v>
      </c>
      <c r="M4" s="50">
        <v>45452</v>
      </c>
      <c r="N4" s="50">
        <v>45449</v>
      </c>
      <c r="O4" s="49"/>
      <c r="P4" s="49"/>
      <c r="Q4" s="49"/>
      <c r="R4" s="49"/>
      <c r="S4" s="49"/>
      <c r="T4" s="49"/>
      <c r="U4" s="49"/>
      <c r="V4" s="49"/>
      <c r="W4" s="49"/>
      <c r="X4" s="49"/>
      <c r="Y4" s="49"/>
      <c r="Z4" s="49"/>
      <c r="AA4" s="49">
        <f t="shared" si="0"/>
        <v>0</v>
      </c>
      <c r="AB4" s="49">
        <f t="shared" si="1"/>
        <v>0</v>
      </c>
      <c r="AC4" s="49" t="s">
        <v>116</v>
      </c>
      <c r="AD4" s="49" t="s">
        <v>126</v>
      </c>
      <c r="AE4" s="49" t="s">
        <v>118</v>
      </c>
      <c r="AF4" s="49" t="s">
        <v>127</v>
      </c>
      <c r="AG4" s="49" t="s">
        <v>10</v>
      </c>
      <c r="AH4" s="49" t="s">
        <v>116</v>
      </c>
      <c r="AI4" s="49" t="s">
        <v>116</v>
      </c>
      <c r="AJ4" s="49" t="s">
        <v>116</v>
      </c>
      <c r="AK4" s="49" t="s">
        <v>116</v>
      </c>
      <c r="AL4" s="49" t="s">
        <v>116</v>
      </c>
      <c r="AM4" s="51">
        <v>45466</v>
      </c>
      <c r="AN4" s="51">
        <v>45468</v>
      </c>
      <c r="AO4" s="49" t="s">
        <v>128</v>
      </c>
      <c r="AP4" s="49" t="s">
        <v>116</v>
      </c>
      <c r="AQ4" s="49" t="s">
        <v>116</v>
      </c>
      <c r="AR4" s="49" t="s">
        <v>120</v>
      </c>
      <c r="AS4" s="49" t="s">
        <v>116</v>
      </c>
      <c r="AT4" s="49" t="s">
        <v>116</v>
      </c>
      <c r="AU4" s="49" t="s">
        <v>116</v>
      </c>
      <c r="AV4" s="52" t="e">
        <f t="shared" ca="1" si="2"/>
        <v>#NAME?</v>
      </c>
    </row>
    <row r="5" spans="1:57" ht="39.6" x14ac:dyDescent="0.25">
      <c r="A5" s="47" t="s">
        <v>129</v>
      </c>
      <c r="B5" s="48">
        <v>45530.957550659718</v>
      </c>
      <c r="C5" s="49" t="s">
        <v>111</v>
      </c>
      <c r="D5" s="49" t="s">
        <v>12</v>
      </c>
      <c r="E5" s="26" t="s">
        <v>130</v>
      </c>
      <c r="F5" s="49" t="s">
        <v>20</v>
      </c>
      <c r="G5" s="49" t="s">
        <v>6</v>
      </c>
      <c r="H5" s="49" t="s">
        <v>131</v>
      </c>
      <c r="I5" s="49" t="s">
        <v>116</v>
      </c>
      <c r="J5" s="49" t="s">
        <v>115</v>
      </c>
      <c r="K5" s="49"/>
      <c r="L5" s="50">
        <v>45438</v>
      </c>
      <c r="M5" s="50">
        <v>45438</v>
      </c>
      <c r="N5" s="50">
        <v>45441</v>
      </c>
      <c r="O5" s="49" t="s">
        <v>116</v>
      </c>
      <c r="P5" s="49" t="s">
        <v>116</v>
      </c>
      <c r="Q5" s="49" t="s">
        <v>116</v>
      </c>
      <c r="R5" s="49" t="s">
        <v>116</v>
      </c>
      <c r="S5" s="49" t="s">
        <v>116</v>
      </c>
      <c r="T5" s="49" t="s">
        <v>116</v>
      </c>
      <c r="U5" s="49" t="s">
        <v>116</v>
      </c>
      <c r="V5" s="49" t="s">
        <v>116</v>
      </c>
      <c r="W5" s="49" t="s">
        <v>116</v>
      </c>
      <c r="X5" s="49" t="s">
        <v>116</v>
      </c>
      <c r="Y5" s="49"/>
      <c r="Z5" s="49" t="s">
        <v>116</v>
      </c>
      <c r="AA5" s="49">
        <f t="shared" si="0"/>
        <v>11</v>
      </c>
      <c r="AB5" s="49">
        <f t="shared" si="1"/>
        <v>0</v>
      </c>
      <c r="AC5" s="49" t="s">
        <v>116</v>
      </c>
      <c r="AD5" s="49" t="s">
        <v>117</v>
      </c>
      <c r="AE5" s="49" t="s">
        <v>118</v>
      </c>
      <c r="AF5" s="49" t="s">
        <v>21</v>
      </c>
      <c r="AG5" s="49" t="s">
        <v>10</v>
      </c>
      <c r="AH5" s="49" t="s">
        <v>116</v>
      </c>
      <c r="AI5" s="49"/>
      <c r="AJ5" s="49" t="s">
        <v>116</v>
      </c>
      <c r="AK5" s="49" t="s">
        <v>116</v>
      </c>
      <c r="AL5" s="49" t="s">
        <v>116</v>
      </c>
      <c r="AM5" s="51">
        <v>45473</v>
      </c>
      <c r="AN5" s="51">
        <v>45473</v>
      </c>
      <c r="AO5" s="49" t="s">
        <v>132</v>
      </c>
      <c r="AP5" s="49" t="s">
        <v>116</v>
      </c>
      <c r="AQ5" s="49" t="s">
        <v>116</v>
      </c>
      <c r="AR5" s="49" t="s">
        <v>120</v>
      </c>
      <c r="AS5" s="49" t="s">
        <v>116</v>
      </c>
      <c r="AT5" s="49" t="s">
        <v>116</v>
      </c>
      <c r="AU5" s="49" t="s">
        <v>116</v>
      </c>
      <c r="AV5" s="52" t="e">
        <f t="shared" ca="1" si="2"/>
        <v>#NAME?</v>
      </c>
    </row>
    <row r="6" spans="1:57" ht="39.6" x14ac:dyDescent="0.25">
      <c r="A6" s="53" t="s">
        <v>133</v>
      </c>
      <c r="B6" s="54">
        <v>45564.672789398144</v>
      </c>
      <c r="C6" s="26" t="s">
        <v>111</v>
      </c>
      <c r="D6" s="26" t="s">
        <v>12</v>
      </c>
      <c r="E6" s="26" t="s">
        <v>134</v>
      </c>
      <c r="F6" s="26" t="s">
        <v>135</v>
      </c>
      <c r="G6" s="26" t="s">
        <v>4</v>
      </c>
      <c r="H6" s="26" t="s">
        <v>136</v>
      </c>
      <c r="I6" s="26" t="s">
        <v>114</v>
      </c>
      <c r="J6" s="26" t="s">
        <v>137</v>
      </c>
      <c r="K6" s="26" t="s">
        <v>138</v>
      </c>
      <c r="L6" s="29">
        <v>45449</v>
      </c>
      <c r="M6" s="29">
        <v>45449</v>
      </c>
      <c r="N6" s="29">
        <v>45449</v>
      </c>
      <c r="O6" s="26"/>
      <c r="P6" s="26"/>
      <c r="Q6" s="26"/>
      <c r="R6" s="26"/>
      <c r="S6" s="26"/>
      <c r="T6" s="26"/>
      <c r="U6" s="26"/>
      <c r="V6" s="26"/>
      <c r="W6" s="26"/>
      <c r="X6" s="26"/>
      <c r="Y6" s="26"/>
      <c r="Z6" s="26"/>
      <c r="AA6" s="49">
        <f t="shared" si="0"/>
        <v>0</v>
      </c>
      <c r="AB6" s="49">
        <f t="shared" si="1"/>
        <v>0</v>
      </c>
      <c r="AC6" s="26" t="s">
        <v>116</v>
      </c>
      <c r="AD6" s="26" t="s">
        <v>126</v>
      </c>
      <c r="AE6" s="26" t="s">
        <v>118</v>
      </c>
      <c r="AF6" s="26" t="s">
        <v>28</v>
      </c>
      <c r="AG6" s="26" t="s">
        <v>10</v>
      </c>
      <c r="AH6" s="26" t="s">
        <v>116</v>
      </c>
      <c r="AI6" s="26" t="s">
        <v>116</v>
      </c>
      <c r="AJ6" s="26" t="s">
        <v>116</v>
      </c>
      <c r="AK6" s="26" t="s">
        <v>116</v>
      </c>
      <c r="AL6" s="26" t="s">
        <v>116</v>
      </c>
      <c r="AM6" s="55">
        <v>45515</v>
      </c>
      <c r="AN6" s="55">
        <v>45564</v>
      </c>
      <c r="AO6" s="26" t="s">
        <v>137</v>
      </c>
      <c r="AP6" s="26" t="s">
        <v>116</v>
      </c>
      <c r="AQ6" s="26" t="s">
        <v>116</v>
      </c>
      <c r="AR6" s="26" t="s">
        <v>28</v>
      </c>
      <c r="AS6" s="26" t="s">
        <v>116</v>
      </c>
      <c r="AT6" s="26" t="s">
        <v>139</v>
      </c>
      <c r="AU6" s="26" t="s">
        <v>116</v>
      </c>
      <c r="AV6" s="52" t="e">
        <f t="shared" ca="1" si="2"/>
        <v>#NAME?</v>
      </c>
    </row>
    <row r="7" spans="1:57" ht="39.6" x14ac:dyDescent="0.25">
      <c r="A7" s="53" t="s">
        <v>140</v>
      </c>
      <c r="B7" s="54">
        <v>45581.92230928241</v>
      </c>
      <c r="C7" s="26" t="s">
        <v>141</v>
      </c>
      <c r="D7" s="26" t="s">
        <v>12</v>
      </c>
      <c r="E7" s="26" t="s">
        <v>142</v>
      </c>
      <c r="F7" s="26" t="s">
        <v>143</v>
      </c>
      <c r="G7" s="26" t="s">
        <v>6</v>
      </c>
      <c r="H7" s="26" t="s">
        <v>144</v>
      </c>
      <c r="I7" s="26" t="s">
        <v>116</v>
      </c>
      <c r="J7" s="26" t="s">
        <v>145</v>
      </c>
      <c r="K7" s="26" t="s">
        <v>146</v>
      </c>
      <c r="L7" s="29">
        <v>45414</v>
      </c>
      <c r="M7" s="29">
        <v>45414</v>
      </c>
      <c r="N7" s="29">
        <v>45414</v>
      </c>
      <c r="O7" s="26"/>
      <c r="P7" s="26"/>
      <c r="Q7" s="26"/>
      <c r="R7" s="26"/>
      <c r="S7" s="26"/>
      <c r="T7" s="26"/>
      <c r="U7" s="26"/>
      <c r="V7" s="26"/>
      <c r="W7" s="26"/>
      <c r="X7" s="26"/>
      <c r="Y7" s="26"/>
      <c r="Z7" s="26"/>
      <c r="AA7" s="49">
        <f t="shared" si="0"/>
        <v>0</v>
      </c>
      <c r="AB7" s="49">
        <f t="shared" si="1"/>
        <v>0</v>
      </c>
      <c r="AC7" s="26" t="s">
        <v>116</v>
      </c>
      <c r="AD7" s="26" t="s">
        <v>147</v>
      </c>
      <c r="AE7" s="26" t="s">
        <v>118</v>
      </c>
      <c r="AF7" s="26" t="s">
        <v>148</v>
      </c>
      <c r="AG7" s="26" t="s">
        <v>6</v>
      </c>
      <c r="AH7" s="26" t="s">
        <v>116</v>
      </c>
      <c r="AI7" s="26" t="s">
        <v>116</v>
      </c>
      <c r="AJ7" s="26" t="s">
        <v>139</v>
      </c>
      <c r="AK7" s="26" t="s">
        <v>116</v>
      </c>
      <c r="AL7" s="26" t="s">
        <v>114</v>
      </c>
      <c r="AM7" s="55">
        <v>45466</v>
      </c>
      <c r="AN7" s="26"/>
      <c r="AO7" s="26"/>
      <c r="AP7" s="26" t="s">
        <v>116</v>
      </c>
      <c r="AQ7" s="26" t="s">
        <v>116</v>
      </c>
      <c r="AR7" s="26" t="s">
        <v>149</v>
      </c>
      <c r="AS7" s="26" t="s">
        <v>139</v>
      </c>
      <c r="AT7" s="26" t="s">
        <v>139</v>
      </c>
      <c r="AU7" s="26"/>
      <c r="AV7" s="52" t="e">
        <f t="shared" ca="1" si="2"/>
        <v>#NAME?</v>
      </c>
    </row>
    <row r="8" spans="1:57" ht="26.4" x14ac:dyDescent="0.25">
      <c r="A8" s="53" t="s">
        <v>150</v>
      </c>
      <c r="B8" s="54">
        <v>45594.83718761574</v>
      </c>
      <c r="C8" s="26" t="s">
        <v>141</v>
      </c>
      <c r="D8" s="26" t="s">
        <v>12</v>
      </c>
      <c r="E8" s="26" t="s">
        <v>151</v>
      </c>
      <c r="F8" s="26" t="s">
        <v>152</v>
      </c>
      <c r="G8" s="26" t="s">
        <v>6</v>
      </c>
      <c r="H8" s="26" t="s">
        <v>153</v>
      </c>
      <c r="I8" s="26" t="s">
        <v>114</v>
      </c>
      <c r="J8" s="26" t="s">
        <v>145</v>
      </c>
      <c r="K8" s="26"/>
      <c r="L8" s="29">
        <v>45536</v>
      </c>
      <c r="M8" s="29">
        <v>45536</v>
      </c>
      <c r="N8" s="29">
        <v>45540</v>
      </c>
      <c r="O8" s="26"/>
      <c r="P8" s="26"/>
      <c r="Q8" s="26"/>
      <c r="R8" s="26"/>
      <c r="S8" s="26"/>
      <c r="T8" s="26"/>
      <c r="U8" s="26"/>
      <c r="V8" s="26"/>
      <c r="W8" s="26"/>
      <c r="X8" s="26"/>
      <c r="Y8" s="26"/>
      <c r="Z8" s="26"/>
      <c r="AA8" s="49">
        <f t="shared" si="0"/>
        <v>0</v>
      </c>
      <c r="AB8" s="49">
        <f t="shared" si="1"/>
        <v>0</v>
      </c>
      <c r="AC8" s="26" t="s">
        <v>116</v>
      </c>
      <c r="AD8" s="26" t="s">
        <v>147</v>
      </c>
      <c r="AE8" s="26" t="s">
        <v>118</v>
      </c>
      <c r="AF8" s="26"/>
      <c r="AG8" s="26"/>
      <c r="AH8" s="26" t="s">
        <v>116</v>
      </c>
      <c r="AI8" s="26" t="s">
        <v>139</v>
      </c>
      <c r="AJ8" s="26" t="s">
        <v>139</v>
      </c>
      <c r="AK8" s="26" t="s">
        <v>116</v>
      </c>
      <c r="AL8" s="26" t="s">
        <v>114</v>
      </c>
      <c r="AM8" s="55">
        <v>45543</v>
      </c>
      <c r="AN8" s="55">
        <v>45543</v>
      </c>
      <c r="AO8" s="26" t="s">
        <v>147</v>
      </c>
      <c r="AP8" s="26" t="s">
        <v>116</v>
      </c>
      <c r="AQ8" s="26" t="s">
        <v>116</v>
      </c>
      <c r="AR8" s="26" t="s">
        <v>149</v>
      </c>
      <c r="AS8" s="26" t="s">
        <v>139</v>
      </c>
      <c r="AT8" s="26" t="s">
        <v>139</v>
      </c>
      <c r="AU8" s="26" t="s">
        <v>116</v>
      </c>
      <c r="AV8" s="52" t="e">
        <f t="shared" ca="1" si="2"/>
        <v>#NAME?</v>
      </c>
    </row>
    <row r="9" spans="1:57" ht="26.4" x14ac:dyDescent="0.25">
      <c r="A9" s="53" t="s">
        <v>154</v>
      </c>
      <c r="B9" s="54">
        <v>45666.898651053241</v>
      </c>
      <c r="C9" s="26" t="s">
        <v>141</v>
      </c>
      <c r="D9" s="26" t="s">
        <v>12</v>
      </c>
      <c r="E9" s="26" t="s">
        <v>155</v>
      </c>
      <c r="F9" s="26" t="s">
        <v>156</v>
      </c>
      <c r="G9" s="26" t="s">
        <v>7</v>
      </c>
      <c r="H9" s="26" t="s">
        <v>157</v>
      </c>
      <c r="I9" s="26" t="s">
        <v>116</v>
      </c>
      <c r="J9" s="26" t="s">
        <v>158</v>
      </c>
      <c r="K9" s="26"/>
      <c r="L9" s="29">
        <v>45463</v>
      </c>
      <c r="M9" s="29">
        <v>45463</v>
      </c>
      <c r="N9" s="29">
        <v>45463</v>
      </c>
      <c r="O9" s="26"/>
      <c r="P9" s="26"/>
      <c r="Q9" s="26"/>
      <c r="R9" s="26"/>
      <c r="S9" s="26"/>
      <c r="T9" s="26"/>
      <c r="U9" s="26"/>
      <c r="V9" s="26"/>
      <c r="W9" s="26"/>
      <c r="X9" s="26"/>
      <c r="Y9" s="26"/>
      <c r="Z9" s="26"/>
      <c r="AA9" s="49">
        <f t="shared" si="0"/>
        <v>0</v>
      </c>
      <c r="AB9" s="49">
        <f t="shared" si="1"/>
        <v>0</v>
      </c>
      <c r="AC9" s="26" t="s">
        <v>116</v>
      </c>
      <c r="AD9" s="26" t="s">
        <v>159</v>
      </c>
      <c r="AE9" s="26" t="s">
        <v>118</v>
      </c>
      <c r="AF9" s="26" t="s">
        <v>160</v>
      </c>
      <c r="AG9" s="26" t="s">
        <v>7</v>
      </c>
      <c r="AH9" s="26" t="s">
        <v>116</v>
      </c>
      <c r="AI9" s="26" t="s">
        <v>116</v>
      </c>
      <c r="AJ9" s="26" t="s">
        <v>139</v>
      </c>
      <c r="AK9" s="26" t="s">
        <v>116</v>
      </c>
      <c r="AL9" s="26" t="s">
        <v>114</v>
      </c>
      <c r="AM9" s="55">
        <v>45529</v>
      </c>
      <c r="AN9" s="55">
        <v>45529</v>
      </c>
      <c r="AO9" s="26" t="s">
        <v>161</v>
      </c>
      <c r="AP9" s="26" t="s">
        <v>116</v>
      </c>
      <c r="AQ9" s="26" t="s">
        <v>116</v>
      </c>
      <c r="AR9" s="26" t="s">
        <v>162</v>
      </c>
      <c r="AS9" s="26" t="s">
        <v>139</v>
      </c>
      <c r="AT9" s="26" t="s">
        <v>139</v>
      </c>
      <c r="AU9" s="26" t="s">
        <v>116</v>
      </c>
      <c r="AV9" s="52" t="e">
        <f t="shared" ca="1" si="2"/>
        <v>#NAME?</v>
      </c>
    </row>
    <row r="10" spans="1:57" ht="39.6" x14ac:dyDescent="0.25">
      <c r="A10" s="53" t="s">
        <v>163</v>
      </c>
      <c r="B10" s="56">
        <v>45557.488454768521</v>
      </c>
      <c r="C10" s="26" t="s">
        <v>141</v>
      </c>
      <c r="D10" s="26" t="s">
        <v>12</v>
      </c>
      <c r="E10" s="26" t="s">
        <v>127</v>
      </c>
      <c r="F10" s="26" t="s">
        <v>164</v>
      </c>
      <c r="G10" s="26" t="s">
        <v>10</v>
      </c>
      <c r="H10" s="26" t="s">
        <v>165</v>
      </c>
      <c r="I10" s="26" t="s">
        <v>116</v>
      </c>
      <c r="J10" s="26" t="s">
        <v>166</v>
      </c>
      <c r="K10" s="26"/>
      <c r="L10" s="29">
        <v>45463</v>
      </c>
      <c r="M10" s="29">
        <v>45463</v>
      </c>
      <c r="N10" s="29">
        <v>45463</v>
      </c>
      <c r="O10" s="26"/>
      <c r="P10" s="26"/>
      <c r="Q10" s="26"/>
      <c r="R10" s="26"/>
      <c r="S10" s="26"/>
      <c r="T10" s="26"/>
      <c r="U10" s="26"/>
      <c r="V10" s="26"/>
      <c r="W10" s="26"/>
      <c r="X10" s="26"/>
      <c r="Y10" s="26"/>
      <c r="Z10" s="26"/>
      <c r="AA10" s="49">
        <f t="shared" si="0"/>
        <v>0</v>
      </c>
      <c r="AB10" s="49">
        <f t="shared" si="1"/>
        <v>0</v>
      </c>
      <c r="AC10" s="26" t="s">
        <v>116</v>
      </c>
      <c r="AD10" s="26" t="s">
        <v>167</v>
      </c>
      <c r="AE10" s="26" t="s">
        <v>118</v>
      </c>
      <c r="AF10" s="26" t="s">
        <v>168</v>
      </c>
      <c r="AG10" s="26" t="s">
        <v>10</v>
      </c>
      <c r="AH10" s="26"/>
      <c r="AI10" s="26"/>
      <c r="AJ10" s="26" t="s">
        <v>139</v>
      </c>
      <c r="AK10" s="26" t="s">
        <v>116</v>
      </c>
      <c r="AL10" s="26" t="s">
        <v>114</v>
      </c>
      <c r="AM10" s="55">
        <v>45557</v>
      </c>
      <c r="AN10" s="55">
        <v>45557</v>
      </c>
      <c r="AO10" s="26" t="s">
        <v>112</v>
      </c>
      <c r="AP10" s="26" t="s">
        <v>116</v>
      </c>
      <c r="AQ10" s="26" t="s">
        <v>116</v>
      </c>
      <c r="AR10" s="26" t="s">
        <v>167</v>
      </c>
      <c r="AS10" s="26"/>
      <c r="AT10" s="26" t="s">
        <v>139</v>
      </c>
      <c r="AU10" s="26" t="s">
        <v>116</v>
      </c>
      <c r="AV10" s="52" t="e">
        <f t="shared" ca="1" si="2"/>
        <v>#NAME?</v>
      </c>
    </row>
    <row r="11" spans="1:57" ht="26.4" x14ac:dyDescent="0.25">
      <c r="A11" s="53" t="s">
        <v>169</v>
      </c>
      <c r="B11" s="56">
        <v>45481.365613912036</v>
      </c>
      <c r="C11" s="26" t="s">
        <v>141</v>
      </c>
      <c r="D11" s="26" t="s">
        <v>12</v>
      </c>
      <c r="E11" s="26" t="s">
        <v>170</v>
      </c>
      <c r="F11" s="26" t="s">
        <v>171</v>
      </c>
      <c r="G11" s="26" t="s">
        <v>10</v>
      </c>
      <c r="H11" s="26" t="s">
        <v>172</v>
      </c>
      <c r="I11" s="26" t="s">
        <v>116</v>
      </c>
      <c r="J11" s="26" t="s">
        <v>115</v>
      </c>
      <c r="K11" s="26"/>
      <c r="L11" s="29">
        <v>45438</v>
      </c>
      <c r="M11" s="29">
        <v>45438</v>
      </c>
      <c r="N11" s="29">
        <v>45441</v>
      </c>
      <c r="O11" s="26" t="s">
        <v>116</v>
      </c>
      <c r="P11" s="26" t="s">
        <v>116</v>
      </c>
      <c r="Q11" s="26" t="s">
        <v>116</v>
      </c>
      <c r="R11" s="26" t="s">
        <v>116</v>
      </c>
      <c r="S11" s="26" t="s">
        <v>116</v>
      </c>
      <c r="T11" s="26" t="s">
        <v>116</v>
      </c>
      <c r="U11" s="26" t="s">
        <v>116</v>
      </c>
      <c r="V11" s="26" t="s">
        <v>116</v>
      </c>
      <c r="W11" s="26" t="s">
        <v>116</v>
      </c>
      <c r="X11" s="26" t="s">
        <v>116</v>
      </c>
      <c r="Y11" s="26"/>
      <c r="Z11" s="49" t="s">
        <v>116</v>
      </c>
      <c r="AA11" s="49">
        <f t="shared" si="0"/>
        <v>11</v>
      </c>
      <c r="AB11" s="49">
        <f t="shared" si="1"/>
        <v>0</v>
      </c>
      <c r="AC11" s="26" t="s">
        <v>116</v>
      </c>
      <c r="AD11" s="26" t="s">
        <v>117</v>
      </c>
      <c r="AE11" s="26" t="s">
        <v>118</v>
      </c>
      <c r="AF11" s="26" t="s">
        <v>173</v>
      </c>
      <c r="AG11" s="26" t="s">
        <v>10</v>
      </c>
      <c r="AH11" s="26" t="s">
        <v>116</v>
      </c>
      <c r="AI11" s="26" t="s">
        <v>116</v>
      </c>
      <c r="AJ11" s="26" t="s">
        <v>139</v>
      </c>
      <c r="AK11" s="26" t="s">
        <v>116</v>
      </c>
      <c r="AL11" s="26" t="s">
        <v>116</v>
      </c>
      <c r="AM11" s="55">
        <v>45480</v>
      </c>
      <c r="AN11" s="55">
        <v>45480</v>
      </c>
      <c r="AO11" s="26" t="s">
        <v>115</v>
      </c>
      <c r="AP11" s="26" t="s">
        <v>116</v>
      </c>
      <c r="AQ11" s="26" t="s">
        <v>116</v>
      </c>
      <c r="AR11" s="26" t="s">
        <v>173</v>
      </c>
      <c r="AS11" s="26" t="s">
        <v>116</v>
      </c>
      <c r="AT11" s="26" t="s">
        <v>139</v>
      </c>
      <c r="AU11" s="26" t="s">
        <v>116</v>
      </c>
      <c r="AV11" s="52" t="e">
        <f t="shared" ca="1" si="2"/>
        <v>#NAME?</v>
      </c>
    </row>
    <row r="12" spans="1:57" ht="39.6" x14ac:dyDescent="0.25">
      <c r="A12" s="53" t="s">
        <v>174</v>
      </c>
      <c r="B12" s="56">
        <v>45540.879447581014</v>
      </c>
      <c r="C12" s="26" t="s">
        <v>141</v>
      </c>
      <c r="D12" s="26" t="s">
        <v>12</v>
      </c>
      <c r="E12" s="26" t="s">
        <v>175</v>
      </c>
      <c r="F12" s="26" t="s">
        <v>176</v>
      </c>
      <c r="G12" s="26" t="s">
        <v>9</v>
      </c>
      <c r="H12" s="26" t="s">
        <v>177</v>
      </c>
      <c r="I12" s="26" t="s">
        <v>116</v>
      </c>
      <c r="J12" s="26" t="s">
        <v>178</v>
      </c>
      <c r="K12" s="26"/>
      <c r="L12" s="29">
        <v>45505</v>
      </c>
      <c r="M12" s="29">
        <v>45505</v>
      </c>
      <c r="N12" s="29">
        <v>45505</v>
      </c>
      <c r="O12" s="26"/>
      <c r="P12" s="26"/>
      <c r="Q12" s="26"/>
      <c r="R12" s="26"/>
      <c r="S12" s="26"/>
      <c r="T12" s="26"/>
      <c r="U12" s="26"/>
      <c r="V12" s="26"/>
      <c r="W12" s="26"/>
      <c r="X12" s="26"/>
      <c r="Y12" s="26"/>
      <c r="Z12" s="26"/>
      <c r="AA12" s="49">
        <f t="shared" si="0"/>
        <v>0</v>
      </c>
      <c r="AB12" s="49">
        <f t="shared" si="1"/>
        <v>0</v>
      </c>
      <c r="AC12" s="26" t="s">
        <v>116</v>
      </c>
      <c r="AD12" s="26" t="s">
        <v>179</v>
      </c>
      <c r="AE12" s="26" t="s">
        <v>118</v>
      </c>
      <c r="AF12" s="26" t="s">
        <v>180</v>
      </c>
      <c r="AG12" s="26" t="s">
        <v>9</v>
      </c>
      <c r="AH12" s="26" t="s">
        <v>116</v>
      </c>
      <c r="AI12" s="26"/>
      <c r="AJ12" s="26" t="s">
        <v>139</v>
      </c>
      <c r="AK12" s="26" t="s">
        <v>116</v>
      </c>
      <c r="AL12" s="26" t="s">
        <v>114</v>
      </c>
      <c r="AM12" s="55">
        <v>45508</v>
      </c>
      <c r="AN12" s="55">
        <v>45508</v>
      </c>
      <c r="AO12" s="26" t="s">
        <v>181</v>
      </c>
      <c r="AP12" s="26" t="s">
        <v>116</v>
      </c>
      <c r="AQ12" s="26" t="s">
        <v>116</v>
      </c>
      <c r="AR12" s="26"/>
      <c r="AS12" s="26" t="s">
        <v>139</v>
      </c>
      <c r="AT12" s="26" t="s">
        <v>139</v>
      </c>
      <c r="AU12" s="26" t="s">
        <v>116</v>
      </c>
      <c r="AV12" s="52" t="e">
        <f t="shared" ca="1" si="2"/>
        <v>#NAME?</v>
      </c>
    </row>
    <row r="13" spans="1:57" ht="26.4" x14ac:dyDescent="0.25">
      <c r="A13" s="53" t="s">
        <v>182</v>
      </c>
      <c r="B13" s="57">
        <v>45670.856068090274</v>
      </c>
      <c r="C13" s="17" t="s">
        <v>141</v>
      </c>
      <c r="D13" s="26" t="s">
        <v>12</v>
      </c>
      <c r="E13" s="17" t="s">
        <v>183</v>
      </c>
      <c r="F13" s="17" t="s">
        <v>184</v>
      </c>
      <c r="G13" s="17" t="s">
        <v>9</v>
      </c>
      <c r="H13" s="17" t="s">
        <v>185</v>
      </c>
      <c r="I13" s="17" t="s">
        <v>116</v>
      </c>
      <c r="J13" s="17" t="s">
        <v>186</v>
      </c>
      <c r="L13" s="19">
        <v>45645</v>
      </c>
      <c r="M13" s="19">
        <v>45645</v>
      </c>
      <c r="N13" s="19">
        <v>45645</v>
      </c>
      <c r="AA13" s="49">
        <f t="shared" si="0"/>
        <v>0</v>
      </c>
      <c r="AB13" s="49">
        <f t="shared" si="1"/>
        <v>0</v>
      </c>
      <c r="AC13" s="17" t="s">
        <v>116</v>
      </c>
      <c r="AD13" s="17" t="s">
        <v>159</v>
      </c>
      <c r="AE13" s="17" t="s">
        <v>118</v>
      </c>
      <c r="AF13" s="17" t="s">
        <v>187</v>
      </c>
      <c r="AG13" s="17" t="s">
        <v>9</v>
      </c>
      <c r="AH13" s="17" t="s">
        <v>116</v>
      </c>
      <c r="AJ13" s="17" t="s">
        <v>139</v>
      </c>
      <c r="AK13" s="17" t="s">
        <v>116</v>
      </c>
      <c r="AL13" s="17" t="s">
        <v>114</v>
      </c>
      <c r="AV13" s="52" t="e">
        <f t="shared" ca="1" si="2"/>
        <v>#NAME?</v>
      </c>
    </row>
    <row r="14" spans="1:57" ht="26.4" x14ac:dyDescent="0.25">
      <c r="A14" s="53" t="s">
        <v>188</v>
      </c>
      <c r="B14" s="56">
        <v>45494.945679965276</v>
      </c>
      <c r="C14" s="26" t="s">
        <v>141</v>
      </c>
      <c r="D14" s="26" t="s">
        <v>12</v>
      </c>
      <c r="E14" s="26" t="s">
        <v>189</v>
      </c>
      <c r="F14" s="26" t="s">
        <v>190</v>
      </c>
      <c r="G14" s="26" t="s">
        <v>3</v>
      </c>
      <c r="H14" s="26" t="s">
        <v>139</v>
      </c>
      <c r="I14" s="26" t="s">
        <v>114</v>
      </c>
      <c r="J14" s="26" t="s">
        <v>191</v>
      </c>
      <c r="K14" s="26"/>
      <c r="L14" s="29">
        <v>45463</v>
      </c>
      <c r="M14" s="29">
        <v>45463</v>
      </c>
      <c r="N14" s="29">
        <v>45463</v>
      </c>
      <c r="O14" s="26"/>
      <c r="P14" s="26"/>
      <c r="Q14" s="26"/>
      <c r="R14" s="26"/>
      <c r="S14" s="26"/>
      <c r="T14" s="26"/>
      <c r="U14" s="26"/>
      <c r="V14" s="26"/>
      <c r="W14" s="26"/>
      <c r="X14" s="26"/>
      <c r="Y14" s="26"/>
      <c r="Z14" s="26"/>
      <c r="AA14" s="49">
        <f t="shared" si="0"/>
        <v>0</v>
      </c>
      <c r="AB14" s="49">
        <f t="shared" si="1"/>
        <v>0</v>
      </c>
      <c r="AC14" s="26" t="s">
        <v>116</v>
      </c>
      <c r="AD14" s="26" t="s">
        <v>192</v>
      </c>
      <c r="AE14" s="26" t="s">
        <v>118</v>
      </c>
      <c r="AF14" s="26" t="s">
        <v>193</v>
      </c>
      <c r="AG14" s="26" t="s">
        <v>3</v>
      </c>
      <c r="AH14" s="26" t="s">
        <v>114</v>
      </c>
      <c r="AI14" s="26" t="s">
        <v>139</v>
      </c>
      <c r="AJ14" s="26" t="s">
        <v>139</v>
      </c>
      <c r="AK14" s="26" t="s">
        <v>116</v>
      </c>
      <c r="AL14" s="26" t="s">
        <v>114</v>
      </c>
      <c r="AM14" s="55">
        <v>45473</v>
      </c>
      <c r="AN14" s="55">
        <v>45473</v>
      </c>
      <c r="AO14" s="26" t="s">
        <v>194</v>
      </c>
      <c r="AP14" s="26" t="s">
        <v>116</v>
      </c>
      <c r="AQ14" s="26" t="s">
        <v>116</v>
      </c>
      <c r="AR14" s="26" t="s">
        <v>29</v>
      </c>
      <c r="AS14" s="26" t="s">
        <v>139</v>
      </c>
      <c r="AT14" s="26" t="s">
        <v>139</v>
      </c>
      <c r="AU14" s="26" t="s">
        <v>116</v>
      </c>
      <c r="AV14" s="52" t="e">
        <f t="shared" ca="1" si="2"/>
        <v>#NAME?</v>
      </c>
    </row>
    <row r="15" spans="1:57" ht="39.6" x14ac:dyDescent="0.25">
      <c r="A15" s="53" t="s">
        <v>195</v>
      </c>
      <c r="B15" s="56">
        <v>45480.903915671297</v>
      </c>
      <c r="C15" s="26" t="s">
        <v>111</v>
      </c>
      <c r="D15" s="26" t="s">
        <v>12</v>
      </c>
      <c r="E15" s="26" t="s">
        <v>29</v>
      </c>
      <c r="F15" s="26" t="s">
        <v>30</v>
      </c>
      <c r="G15" s="26" t="s">
        <v>10</v>
      </c>
      <c r="H15" s="26" t="s">
        <v>190</v>
      </c>
      <c r="I15" s="26" t="s">
        <v>116</v>
      </c>
      <c r="J15" s="26" t="s">
        <v>28</v>
      </c>
      <c r="K15" s="26"/>
      <c r="L15" s="29">
        <v>45410</v>
      </c>
      <c r="M15" s="29">
        <v>45410</v>
      </c>
      <c r="N15" s="29">
        <v>45414</v>
      </c>
      <c r="O15" s="26"/>
      <c r="P15" s="26"/>
      <c r="Q15" s="26"/>
      <c r="R15" s="26"/>
      <c r="S15" s="26"/>
      <c r="T15" s="26"/>
      <c r="U15" s="26"/>
      <c r="V15" s="26"/>
      <c r="W15" s="26"/>
      <c r="X15" s="26"/>
      <c r="Y15" s="26"/>
      <c r="Z15" s="26"/>
      <c r="AA15" s="49">
        <f t="shared" si="0"/>
        <v>0</v>
      </c>
      <c r="AB15" s="49">
        <f t="shared" si="1"/>
        <v>0</v>
      </c>
      <c r="AC15" s="26" t="s">
        <v>116</v>
      </c>
      <c r="AD15" s="26" t="s">
        <v>159</v>
      </c>
      <c r="AE15" s="26" t="s">
        <v>118</v>
      </c>
      <c r="AF15" s="26" t="s">
        <v>28</v>
      </c>
      <c r="AG15" s="26" t="s">
        <v>10</v>
      </c>
      <c r="AH15" s="26" t="s">
        <v>116</v>
      </c>
      <c r="AI15" s="26" t="s">
        <v>116</v>
      </c>
      <c r="AJ15" s="26" t="s">
        <v>116</v>
      </c>
      <c r="AK15" s="26" t="s">
        <v>116</v>
      </c>
      <c r="AL15" s="26" t="s">
        <v>116</v>
      </c>
      <c r="AM15" s="55">
        <v>45417</v>
      </c>
      <c r="AN15" s="55">
        <v>45417</v>
      </c>
      <c r="AO15" s="26" t="s">
        <v>115</v>
      </c>
      <c r="AP15" s="26" t="s">
        <v>116</v>
      </c>
      <c r="AQ15" s="26" t="s">
        <v>116</v>
      </c>
      <c r="AR15" s="26" t="s">
        <v>28</v>
      </c>
      <c r="AS15" s="26" t="s">
        <v>116</v>
      </c>
      <c r="AT15" s="26" t="s">
        <v>116</v>
      </c>
      <c r="AU15" s="26" t="s">
        <v>116</v>
      </c>
      <c r="AV15" s="52" t="e">
        <f t="shared" ca="1" si="2"/>
        <v>#NAME?</v>
      </c>
    </row>
    <row r="16" spans="1:57" ht="13.2" x14ac:dyDescent="0.25">
      <c r="A16" s="53" t="s">
        <v>196</v>
      </c>
      <c r="B16" s="57">
        <v>45523.399633541667</v>
      </c>
      <c r="C16" s="17" t="s">
        <v>141</v>
      </c>
      <c r="D16" s="26" t="s">
        <v>12</v>
      </c>
      <c r="E16" s="17" t="s">
        <v>197</v>
      </c>
      <c r="F16" s="26" t="s">
        <v>198</v>
      </c>
      <c r="G16" s="17" t="s">
        <v>2</v>
      </c>
      <c r="H16" s="17" t="s">
        <v>199</v>
      </c>
      <c r="I16" s="17" t="s">
        <v>114</v>
      </c>
      <c r="J16" s="17" t="s">
        <v>200</v>
      </c>
      <c r="K16" s="17" t="s">
        <v>201</v>
      </c>
      <c r="L16" s="19">
        <v>45491</v>
      </c>
      <c r="M16" s="19">
        <v>45491</v>
      </c>
      <c r="N16" s="19">
        <v>45491</v>
      </c>
      <c r="AA16" s="49">
        <f t="shared" si="0"/>
        <v>0</v>
      </c>
      <c r="AB16" s="49">
        <f t="shared" si="1"/>
        <v>0</v>
      </c>
      <c r="AC16" s="17" t="s">
        <v>116</v>
      </c>
      <c r="AD16" s="17" t="s">
        <v>202</v>
      </c>
      <c r="AE16" s="17" t="s">
        <v>118</v>
      </c>
      <c r="AJ16" s="17" t="s">
        <v>139</v>
      </c>
      <c r="AK16" s="17" t="s">
        <v>116</v>
      </c>
      <c r="AL16" s="17" t="s">
        <v>114</v>
      </c>
      <c r="AM16" s="19">
        <v>45494</v>
      </c>
      <c r="AN16" s="19">
        <v>45494</v>
      </c>
      <c r="AO16" s="17" t="s">
        <v>203</v>
      </c>
      <c r="AP16" s="17" t="s">
        <v>116</v>
      </c>
      <c r="AQ16" s="17" t="s">
        <v>116</v>
      </c>
      <c r="AT16" s="17" t="s">
        <v>139</v>
      </c>
      <c r="AU16" s="17" t="s">
        <v>116</v>
      </c>
      <c r="AV16" s="52" t="e">
        <f t="shared" ca="1" si="2"/>
        <v>#NAME?</v>
      </c>
    </row>
    <row r="17" spans="1:48" ht="13.2" x14ac:dyDescent="0.25">
      <c r="A17" s="53" t="s">
        <v>204</v>
      </c>
      <c r="B17" s="57">
        <v>45585.676279988431</v>
      </c>
      <c r="C17" s="17" t="s">
        <v>141</v>
      </c>
      <c r="D17" s="26" t="s">
        <v>12</v>
      </c>
      <c r="E17" s="17" t="s">
        <v>205</v>
      </c>
      <c r="F17" s="26" t="s">
        <v>22</v>
      </c>
      <c r="G17" s="17" t="s">
        <v>10</v>
      </c>
      <c r="H17" s="17" t="s">
        <v>206</v>
      </c>
      <c r="I17" s="17" t="s">
        <v>116</v>
      </c>
      <c r="J17" s="17" t="s">
        <v>207</v>
      </c>
      <c r="K17" s="17" t="s">
        <v>208</v>
      </c>
      <c r="L17" s="19">
        <v>45491</v>
      </c>
      <c r="M17" s="19">
        <v>45491</v>
      </c>
      <c r="N17" s="19">
        <v>45491</v>
      </c>
      <c r="AA17" s="49">
        <f t="shared" si="0"/>
        <v>0</v>
      </c>
      <c r="AB17" s="49">
        <f t="shared" si="1"/>
        <v>0</v>
      </c>
      <c r="AC17" s="17" t="s">
        <v>116</v>
      </c>
      <c r="AD17" s="17" t="s">
        <v>167</v>
      </c>
      <c r="AE17" s="17" t="s">
        <v>118</v>
      </c>
      <c r="AI17" s="17" t="s">
        <v>139</v>
      </c>
      <c r="AJ17" s="17" t="s">
        <v>139</v>
      </c>
      <c r="AK17" s="17" t="s">
        <v>116</v>
      </c>
      <c r="AL17" s="17" t="s">
        <v>116</v>
      </c>
      <c r="AM17" s="19">
        <v>45494</v>
      </c>
      <c r="AN17" s="19">
        <v>45508</v>
      </c>
      <c r="AO17" s="17" t="s">
        <v>112</v>
      </c>
      <c r="AP17" s="17" t="s">
        <v>116</v>
      </c>
      <c r="AQ17" s="17" t="s">
        <v>116</v>
      </c>
      <c r="AR17" s="17" t="s">
        <v>209</v>
      </c>
      <c r="AS17" s="17" t="s">
        <v>116</v>
      </c>
      <c r="AT17" s="17" t="s">
        <v>139</v>
      </c>
      <c r="AU17" s="17" t="s">
        <v>116</v>
      </c>
      <c r="AV17" s="52" t="e">
        <f t="shared" ca="1" si="2"/>
        <v>#NAME?</v>
      </c>
    </row>
    <row r="18" spans="1:48" ht="13.2" x14ac:dyDescent="0.25">
      <c r="A18" s="53" t="s">
        <v>210</v>
      </c>
      <c r="B18" s="57">
        <v>45585.672774074075</v>
      </c>
      <c r="C18" s="17" t="s">
        <v>141</v>
      </c>
      <c r="D18" s="26" t="s">
        <v>12</v>
      </c>
      <c r="E18" s="17" t="s">
        <v>211</v>
      </c>
      <c r="F18" s="17" t="s">
        <v>212</v>
      </c>
      <c r="G18" s="17" t="s">
        <v>8</v>
      </c>
      <c r="H18" s="17" t="s">
        <v>213</v>
      </c>
      <c r="I18" s="17" t="s">
        <v>116</v>
      </c>
      <c r="J18" s="17" t="s">
        <v>214</v>
      </c>
      <c r="K18" s="17" t="s">
        <v>215</v>
      </c>
      <c r="L18" s="19">
        <v>45505</v>
      </c>
      <c r="M18" s="19">
        <v>45500</v>
      </c>
      <c r="N18" s="19">
        <v>45505</v>
      </c>
      <c r="P18" s="17" t="s">
        <v>116</v>
      </c>
      <c r="Q18" s="17" t="s">
        <v>116</v>
      </c>
      <c r="R18" s="17" t="s">
        <v>116</v>
      </c>
      <c r="T18" s="17" t="s">
        <v>116</v>
      </c>
      <c r="X18" s="17" t="s">
        <v>116</v>
      </c>
      <c r="Y18" s="17" t="s">
        <v>116</v>
      </c>
      <c r="AA18" s="49">
        <f t="shared" si="0"/>
        <v>6</v>
      </c>
      <c r="AB18" s="49">
        <f t="shared" si="1"/>
        <v>0</v>
      </c>
      <c r="AC18" s="17" t="s">
        <v>116</v>
      </c>
      <c r="AD18" s="17" t="s">
        <v>216</v>
      </c>
      <c r="AE18" s="17" t="s">
        <v>118</v>
      </c>
      <c r="AF18" s="17" t="s">
        <v>113</v>
      </c>
      <c r="AH18" s="17" t="s">
        <v>114</v>
      </c>
      <c r="AI18" s="17" t="s">
        <v>139</v>
      </c>
      <c r="AJ18" s="17" t="s">
        <v>139</v>
      </c>
      <c r="AK18" s="17" t="s">
        <v>114</v>
      </c>
      <c r="AL18" s="17" t="s">
        <v>114</v>
      </c>
      <c r="AM18" s="19">
        <v>45508</v>
      </c>
      <c r="AN18" s="19">
        <v>45508</v>
      </c>
      <c r="AO18" s="17" t="s">
        <v>217</v>
      </c>
      <c r="AP18" s="17" t="s">
        <v>116</v>
      </c>
      <c r="AQ18" s="17" t="s">
        <v>116</v>
      </c>
      <c r="AR18" s="17" t="s">
        <v>149</v>
      </c>
      <c r="AS18" s="17" t="s">
        <v>116</v>
      </c>
      <c r="AT18" s="17" t="s">
        <v>139</v>
      </c>
      <c r="AU18" s="17" t="s">
        <v>116</v>
      </c>
      <c r="AV18" s="52" t="e">
        <f t="shared" ca="1" si="2"/>
        <v>#NAME?</v>
      </c>
    </row>
    <row r="19" spans="1:48" ht="13.2" x14ac:dyDescent="0.25">
      <c r="A19" s="53" t="s">
        <v>218</v>
      </c>
      <c r="B19" s="57">
        <v>45585.674274803241</v>
      </c>
      <c r="C19" s="17" t="s">
        <v>141</v>
      </c>
      <c r="D19" s="26" t="s">
        <v>12</v>
      </c>
      <c r="E19" s="17" t="s">
        <v>219</v>
      </c>
      <c r="F19" s="17" t="s">
        <v>220</v>
      </c>
      <c r="G19" s="17" t="s">
        <v>5</v>
      </c>
      <c r="H19" s="17" t="s">
        <v>213</v>
      </c>
      <c r="I19" s="17" t="s">
        <v>116</v>
      </c>
      <c r="J19" s="17" t="s">
        <v>221</v>
      </c>
      <c r="K19" s="17" t="s">
        <v>222</v>
      </c>
      <c r="L19" s="19">
        <v>45512</v>
      </c>
      <c r="M19" s="19">
        <v>45512</v>
      </c>
      <c r="N19" s="19">
        <v>45512</v>
      </c>
      <c r="AA19" s="49">
        <f t="shared" si="0"/>
        <v>0</v>
      </c>
      <c r="AB19" s="49">
        <f t="shared" si="1"/>
        <v>0</v>
      </c>
      <c r="AC19" s="17" t="s">
        <v>116</v>
      </c>
      <c r="AD19" s="17" t="s">
        <v>223</v>
      </c>
      <c r="AE19" s="17" t="s">
        <v>118</v>
      </c>
      <c r="AF19" s="17"/>
      <c r="AG19" s="17" t="s">
        <v>5</v>
      </c>
      <c r="AH19" s="17" t="s">
        <v>116</v>
      </c>
      <c r="AI19" s="17" t="s">
        <v>116</v>
      </c>
      <c r="AJ19" s="17" t="s">
        <v>116</v>
      </c>
      <c r="AK19" s="17" t="s">
        <v>116</v>
      </c>
      <c r="AL19" s="17" t="s">
        <v>114</v>
      </c>
      <c r="AM19" s="19">
        <v>45536</v>
      </c>
      <c r="AN19" s="19">
        <v>45536</v>
      </c>
      <c r="AO19" s="17" t="s">
        <v>224</v>
      </c>
      <c r="AP19" s="17" t="s">
        <v>116</v>
      </c>
      <c r="AQ19" s="17" t="s">
        <v>116</v>
      </c>
      <c r="AR19" s="17" t="s">
        <v>149</v>
      </c>
      <c r="AS19" s="17" t="s">
        <v>139</v>
      </c>
      <c r="AT19" s="17" t="s">
        <v>139</v>
      </c>
      <c r="AU19" s="17" t="s">
        <v>116</v>
      </c>
      <c r="AV19" s="52" t="e">
        <f t="shared" ca="1" si="2"/>
        <v>#NAME?</v>
      </c>
    </row>
    <row r="20" spans="1:48" ht="13.2" x14ac:dyDescent="0.25">
      <c r="A20" s="53" t="s">
        <v>225</v>
      </c>
      <c r="B20" s="57">
        <v>45594.834145000001</v>
      </c>
      <c r="C20" s="17" t="s">
        <v>141</v>
      </c>
      <c r="D20" s="26" t="s">
        <v>12</v>
      </c>
      <c r="E20" s="17" t="s">
        <v>226</v>
      </c>
      <c r="F20" s="17" t="s">
        <v>227</v>
      </c>
      <c r="G20" s="17" t="s">
        <v>5</v>
      </c>
      <c r="H20" s="26" t="s">
        <v>228</v>
      </c>
      <c r="I20" s="17" t="s">
        <v>114</v>
      </c>
      <c r="J20" s="17" t="s">
        <v>221</v>
      </c>
      <c r="L20" s="19">
        <v>45512</v>
      </c>
      <c r="M20" s="19">
        <v>45512</v>
      </c>
      <c r="N20" s="19">
        <v>45512</v>
      </c>
      <c r="AA20" s="49">
        <f t="shared" si="0"/>
        <v>0</v>
      </c>
      <c r="AB20" s="49">
        <f t="shared" si="1"/>
        <v>0</v>
      </c>
      <c r="AC20" s="17" t="s">
        <v>116</v>
      </c>
      <c r="AD20" s="17" t="s">
        <v>223</v>
      </c>
      <c r="AE20" s="17" t="s">
        <v>118</v>
      </c>
      <c r="AF20" s="17" t="s">
        <v>229</v>
      </c>
      <c r="AG20" s="17" t="s">
        <v>5</v>
      </c>
      <c r="AH20" s="17" t="s">
        <v>116</v>
      </c>
      <c r="AI20" s="17" t="s">
        <v>116</v>
      </c>
      <c r="AJ20" s="17" t="s">
        <v>116</v>
      </c>
      <c r="AK20" s="17" t="s">
        <v>116</v>
      </c>
      <c r="AL20" s="17" t="s">
        <v>114</v>
      </c>
      <c r="AM20" s="19">
        <v>45536</v>
      </c>
      <c r="AN20" s="19">
        <v>45536</v>
      </c>
      <c r="AO20" s="17" t="s">
        <v>224</v>
      </c>
      <c r="AP20" s="17" t="s">
        <v>116</v>
      </c>
      <c r="AQ20" s="17" t="s">
        <v>116</v>
      </c>
      <c r="AR20" s="17" t="s">
        <v>170</v>
      </c>
      <c r="AS20" s="17" t="s">
        <v>116</v>
      </c>
      <c r="AT20" s="17" t="s">
        <v>139</v>
      </c>
      <c r="AU20" s="17" t="s">
        <v>116</v>
      </c>
      <c r="AV20" s="52" t="e">
        <f t="shared" ca="1" si="2"/>
        <v>#NAME?</v>
      </c>
    </row>
    <row r="21" spans="1:48" ht="13.2" x14ac:dyDescent="0.25">
      <c r="A21" s="53" t="s">
        <v>230</v>
      </c>
      <c r="B21" s="57">
        <v>45594.833580324077</v>
      </c>
      <c r="C21" s="17" t="s">
        <v>141</v>
      </c>
      <c r="D21" s="26" t="s">
        <v>12</v>
      </c>
      <c r="E21" s="17" t="s">
        <v>231</v>
      </c>
      <c r="F21" s="17" t="s">
        <v>232</v>
      </c>
      <c r="G21" s="17" t="s">
        <v>6</v>
      </c>
      <c r="H21" s="26" t="s">
        <v>233</v>
      </c>
      <c r="I21" s="17" t="s">
        <v>114</v>
      </c>
      <c r="J21" s="17" t="s">
        <v>145</v>
      </c>
      <c r="L21" s="19">
        <v>45512</v>
      </c>
      <c r="M21" s="19">
        <v>45512</v>
      </c>
      <c r="N21" s="19">
        <v>45512</v>
      </c>
      <c r="AA21" s="49">
        <f t="shared" si="0"/>
        <v>0</v>
      </c>
      <c r="AB21" s="49">
        <f t="shared" si="1"/>
        <v>0</v>
      </c>
      <c r="AC21" s="17" t="s">
        <v>116</v>
      </c>
      <c r="AD21" s="17" t="s">
        <v>147</v>
      </c>
      <c r="AE21" s="17" t="s">
        <v>118</v>
      </c>
      <c r="AF21" s="17" t="s">
        <v>234</v>
      </c>
      <c r="AJ21" s="17" t="s">
        <v>139</v>
      </c>
      <c r="AK21" s="17" t="s">
        <v>116</v>
      </c>
      <c r="AL21" s="17" t="s">
        <v>114</v>
      </c>
      <c r="AM21" s="19">
        <v>45536</v>
      </c>
      <c r="AN21" s="19">
        <v>45536</v>
      </c>
      <c r="AO21" s="17" t="s">
        <v>235</v>
      </c>
      <c r="AP21" s="17" t="s">
        <v>116</v>
      </c>
      <c r="AQ21" s="17" t="s">
        <v>116</v>
      </c>
      <c r="AR21" s="17" t="s">
        <v>149</v>
      </c>
      <c r="AS21" s="17" t="s">
        <v>116</v>
      </c>
      <c r="AT21" s="17" t="s">
        <v>139</v>
      </c>
      <c r="AU21" s="17" t="s">
        <v>116</v>
      </c>
      <c r="AV21" s="52" t="e">
        <f t="shared" ca="1" si="2"/>
        <v>#NAME?</v>
      </c>
    </row>
    <row r="22" spans="1:48" ht="13.2" x14ac:dyDescent="0.25">
      <c r="A22" s="53" t="s">
        <v>236</v>
      </c>
      <c r="B22" s="57">
        <v>45530.368786597217</v>
      </c>
      <c r="C22" s="17" t="s">
        <v>141</v>
      </c>
      <c r="D22" s="26" t="s">
        <v>12</v>
      </c>
      <c r="E22" s="17" t="s">
        <v>237</v>
      </c>
      <c r="F22" s="17" t="s">
        <v>238</v>
      </c>
      <c r="G22" s="17" t="s">
        <v>7</v>
      </c>
      <c r="H22" s="17" t="s">
        <v>190</v>
      </c>
      <c r="I22" s="17" t="s">
        <v>116</v>
      </c>
      <c r="J22" s="17" t="s">
        <v>239</v>
      </c>
      <c r="L22" s="19">
        <v>45524</v>
      </c>
      <c r="M22" s="19">
        <v>45524</v>
      </c>
      <c r="N22" s="19">
        <v>45525</v>
      </c>
      <c r="O22" s="17" t="s">
        <v>116</v>
      </c>
      <c r="P22" s="17" t="s">
        <v>116</v>
      </c>
      <c r="Q22" s="17" t="s">
        <v>116</v>
      </c>
      <c r="R22" s="17" t="s">
        <v>116</v>
      </c>
      <c r="S22" s="17" t="s">
        <v>116</v>
      </c>
      <c r="T22" s="17" t="s">
        <v>116</v>
      </c>
      <c r="U22" s="17" t="s">
        <v>116</v>
      </c>
      <c r="W22" s="17" t="s">
        <v>116</v>
      </c>
      <c r="X22" s="17" t="s">
        <v>116</v>
      </c>
      <c r="Z22" s="49" t="s">
        <v>116</v>
      </c>
      <c r="AA22" s="49">
        <f t="shared" si="0"/>
        <v>10</v>
      </c>
      <c r="AB22" s="49">
        <f t="shared" si="1"/>
        <v>0</v>
      </c>
      <c r="AC22" s="17" t="s">
        <v>116</v>
      </c>
      <c r="AD22" s="17" t="s">
        <v>117</v>
      </c>
      <c r="AE22" s="17" t="s">
        <v>240</v>
      </c>
      <c r="AV22" s="52" t="e">
        <f t="shared" ca="1" si="2"/>
        <v>#NAME?</v>
      </c>
    </row>
    <row r="23" spans="1:48" ht="26.4" x14ac:dyDescent="0.25">
      <c r="A23" s="53" t="s">
        <v>241</v>
      </c>
      <c r="B23" s="57">
        <v>45696.670123252319</v>
      </c>
      <c r="C23" s="17" t="s">
        <v>141</v>
      </c>
      <c r="D23" s="26" t="s">
        <v>12</v>
      </c>
      <c r="E23" s="17" t="s">
        <v>242</v>
      </c>
      <c r="F23" s="17" t="s">
        <v>185</v>
      </c>
      <c r="G23" s="17" t="s">
        <v>9</v>
      </c>
      <c r="H23" s="17" t="s">
        <v>243</v>
      </c>
      <c r="I23" s="17" t="s">
        <v>244</v>
      </c>
      <c r="J23" s="17" t="s">
        <v>183</v>
      </c>
      <c r="L23" s="19">
        <v>45669</v>
      </c>
      <c r="M23" s="19">
        <v>45669</v>
      </c>
      <c r="N23" s="19">
        <v>45674</v>
      </c>
      <c r="O23" s="17" t="s">
        <v>116</v>
      </c>
      <c r="P23" s="17" t="s">
        <v>116</v>
      </c>
      <c r="Q23" s="17" t="s">
        <v>116</v>
      </c>
      <c r="R23" s="17" t="s">
        <v>116</v>
      </c>
      <c r="S23" s="17" t="s">
        <v>116</v>
      </c>
      <c r="T23" s="17" t="s">
        <v>116</v>
      </c>
      <c r="U23" s="17" t="s">
        <v>116</v>
      </c>
      <c r="V23" s="17" t="s">
        <v>116</v>
      </c>
      <c r="W23" s="17" t="s">
        <v>116</v>
      </c>
      <c r="X23" s="17" t="s">
        <v>116</v>
      </c>
      <c r="Z23" s="49" t="s">
        <v>116</v>
      </c>
      <c r="AA23" s="49">
        <f t="shared" si="0"/>
        <v>11</v>
      </c>
      <c r="AB23" s="49">
        <f t="shared" si="1"/>
        <v>0</v>
      </c>
      <c r="AC23" s="17" t="s">
        <v>116</v>
      </c>
      <c r="AD23" s="17" t="s">
        <v>117</v>
      </c>
      <c r="AE23" s="17" t="s">
        <v>118</v>
      </c>
      <c r="AF23" s="17" t="s">
        <v>183</v>
      </c>
      <c r="AG23" s="17" t="s">
        <v>9</v>
      </c>
      <c r="AH23" s="17" t="s">
        <v>116</v>
      </c>
      <c r="AI23" s="17" t="s">
        <v>139</v>
      </c>
      <c r="AJ23" s="17" t="s">
        <v>139</v>
      </c>
      <c r="AK23" s="17" t="s">
        <v>116</v>
      </c>
      <c r="AL23" s="17" t="s">
        <v>114</v>
      </c>
      <c r="AM23" s="19">
        <v>45690</v>
      </c>
      <c r="AN23" s="19">
        <v>45696</v>
      </c>
      <c r="AO23" s="17" t="s">
        <v>245</v>
      </c>
      <c r="AP23" s="17" t="s">
        <v>116</v>
      </c>
      <c r="AQ23" s="17" t="s">
        <v>116</v>
      </c>
      <c r="AR23" s="17" t="s">
        <v>246</v>
      </c>
      <c r="AS23" s="17" t="s">
        <v>139</v>
      </c>
      <c r="AT23" s="17" t="s">
        <v>139</v>
      </c>
      <c r="AU23" s="17" t="s">
        <v>116</v>
      </c>
      <c r="AV23" s="52" t="e">
        <f t="shared" ca="1" si="2"/>
        <v>#NAME?</v>
      </c>
    </row>
    <row r="24" spans="1:48" ht="13.2" x14ac:dyDescent="0.25">
      <c r="A24" s="53" t="s">
        <v>247</v>
      </c>
      <c r="B24" s="57">
        <v>45626.677131747681</v>
      </c>
      <c r="C24" s="17" t="s">
        <v>141</v>
      </c>
      <c r="D24" s="26" t="s">
        <v>12</v>
      </c>
      <c r="E24" s="17" t="s">
        <v>248</v>
      </c>
      <c r="F24" s="17" t="s">
        <v>249</v>
      </c>
      <c r="G24" s="17" t="s">
        <v>6</v>
      </c>
      <c r="H24" s="26" t="s">
        <v>199</v>
      </c>
      <c r="I24" s="17" t="s">
        <v>114</v>
      </c>
      <c r="J24" s="17" t="s">
        <v>145</v>
      </c>
      <c r="L24" s="19">
        <v>45529</v>
      </c>
      <c r="M24" s="19">
        <v>45529</v>
      </c>
      <c r="N24" s="19">
        <v>45531</v>
      </c>
      <c r="O24" s="17" t="s">
        <v>116</v>
      </c>
      <c r="P24" s="17" t="s">
        <v>116</v>
      </c>
      <c r="Q24" s="17" t="s">
        <v>116</v>
      </c>
      <c r="R24" s="17" t="s">
        <v>116</v>
      </c>
      <c r="S24" s="17" t="s">
        <v>116</v>
      </c>
      <c r="U24" s="17" t="s">
        <v>116</v>
      </c>
      <c r="V24" s="17" t="s">
        <v>116</v>
      </c>
      <c r="W24" s="17" t="s">
        <v>116</v>
      </c>
      <c r="X24" s="17" t="s">
        <v>116</v>
      </c>
      <c r="Y24" s="17" t="s">
        <v>116</v>
      </c>
      <c r="Z24" s="49" t="s">
        <v>116</v>
      </c>
      <c r="AA24" s="49">
        <f t="shared" si="0"/>
        <v>11</v>
      </c>
      <c r="AB24" s="49">
        <f t="shared" si="1"/>
        <v>0</v>
      </c>
      <c r="AC24" s="17" t="s">
        <v>116</v>
      </c>
      <c r="AD24" s="17" t="s">
        <v>147</v>
      </c>
      <c r="AE24" s="17" t="s">
        <v>118</v>
      </c>
      <c r="AL24" s="17" t="s">
        <v>114</v>
      </c>
      <c r="AM24" s="19">
        <v>45564</v>
      </c>
      <c r="AN24" s="19">
        <v>45564</v>
      </c>
      <c r="AO24" s="17" t="s">
        <v>130</v>
      </c>
      <c r="AP24" s="17" t="s">
        <v>116</v>
      </c>
      <c r="AQ24" s="17" t="s">
        <v>116</v>
      </c>
      <c r="AR24" s="17" t="s">
        <v>250</v>
      </c>
      <c r="AS24" s="17" t="s">
        <v>139</v>
      </c>
      <c r="AT24" s="17" t="s">
        <v>139</v>
      </c>
      <c r="AU24" s="17" t="s">
        <v>116</v>
      </c>
      <c r="AV24" s="52" t="e">
        <f t="shared" ca="1" si="2"/>
        <v>#NAME?</v>
      </c>
    </row>
    <row r="25" spans="1:48" ht="13.2" x14ac:dyDescent="0.25">
      <c r="A25" s="53" t="s">
        <v>251</v>
      </c>
      <c r="B25" s="57">
        <v>45584.429564050923</v>
      </c>
      <c r="C25" s="17" t="s">
        <v>141</v>
      </c>
      <c r="D25" s="26" t="s">
        <v>12</v>
      </c>
      <c r="E25" s="17" t="s">
        <v>252</v>
      </c>
      <c r="F25" s="17" t="s">
        <v>253</v>
      </c>
      <c r="G25" s="17" t="s">
        <v>4</v>
      </c>
      <c r="H25" s="17" t="s">
        <v>199</v>
      </c>
      <c r="I25" s="17" t="s">
        <v>114</v>
      </c>
      <c r="J25" s="17" t="s">
        <v>254</v>
      </c>
      <c r="L25" s="19">
        <v>45529</v>
      </c>
      <c r="M25" s="19">
        <v>45529</v>
      </c>
      <c r="N25" s="19">
        <v>45531</v>
      </c>
      <c r="O25" s="17" t="s">
        <v>116</v>
      </c>
      <c r="P25" s="17" t="s">
        <v>116</v>
      </c>
      <c r="Q25" s="17" t="s">
        <v>116</v>
      </c>
      <c r="R25" s="17" t="s">
        <v>116</v>
      </c>
      <c r="S25" s="17" t="s">
        <v>116</v>
      </c>
      <c r="T25" s="17" t="s">
        <v>116</v>
      </c>
      <c r="U25" s="17" t="s">
        <v>116</v>
      </c>
      <c r="V25" s="17" t="s">
        <v>116</v>
      </c>
      <c r="W25" s="17" t="s">
        <v>116</v>
      </c>
      <c r="X25" s="17" t="s">
        <v>116</v>
      </c>
      <c r="Y25" s="17" t="s">
        <v>116</v>
      </c>
      <c r="Z25" s="49" t="s">
        <v>116</v>
      </c>
      <c r="AA25" s="49">
        <f t="shared" si="0"/>
        <v>12</v>
      </c>
      <c r="AB25" s="49">
        <f t="shared" si="1"/>
        <v>0</v>
      </c>
      <c r="AC25" s="17" t="s">
        <v>116</v>
      </c>
      <c r="AD25" s="17" t="s">
        <v>255</v>
      </c>
      <c r="AE25" s="17" t="s">
        <v>118</v>
      </c>
      <c r="AI25" s="17" t="s">
        <v>139</v>
      </c>
      <c r="AJ25" s="17" t="s">
        <v>139</v>
      </c>
      <c r="AK25" s="17" t="s">
        <v>116</v>
      </c>
      <c r="AL25" s="17" t="s">
        <v>116</v>
      </c>
      <c r="AM25" s="19">
        <v>45578</v>
      </c>
      <c r="AN25" s="19">
        <v>45578</v>
      </c>
      <c r="AO25" s="17" t="s">
        <v>256</v>
      </c>
      <c r="AP25" s="17" t="s">
        <v>116</v>
      </c>
      <c r="AQ25" s="17" t="s">
        <v>116</v>
      </c>
      <c r="AR25" s="17" t="s">
        <v>254</v>
      </c>
      <c r="AS25" s="17" t="s">
        <v>116</v>
      </c>
      <c r="AT25" s="17" t="s">
        <v>139</v>
      </c>
      <c r="AU25" s="17" t="s">
        <v>116</v>
      </c>
      <c r="AV25" s="52" t="e">
        <f t="shared" ca="1" si="2"/>
        <v>#NAME?</v>
      </c>
    </row>
    <row r="26" spans="1:48" ht="13.2" x14ac:dyDescent="0.25">
      <c r="A26" s="53" t="s">
        <v>257</v>
      </c>
      <c r="B26" s="57">
        <v>45584.428062719904</v>
      </c>
      <c r="C26" s="17" t="s">
        <v>141</v>
      </c>
      <c r="D26" s="26" t="s">
        <v>12</v>
      </c>
      <c r="E26" s="17" t="s">
        <v>258</v>
      </c>
      <c r="F26" s="17" t="s">
        <v>253</v>
      </c>
      <c r="G26" s="17" t="s">
        <v>4</v>
      </c>
      <c r="H26" s="17" t="s">
        <v>259</v>
      </c>
      <c r="I26" s="17" t="s">
        <v>114</v>
      </c>
      <c r="J26" s="17" t="s">
        <v>254</v>
      </c>
      <c r="L26" s="19">
        <v>45529</v>
      </c>
      <c r="M26" s="19">
        <v>45529</v>
      </c>
      <c r="N26" s="19">
        <v>45531</v>
      </c>
      <c r="O26" s="17" t="s">
        <v>116</v>
      </c>
      <c r="P26" s="17" t="s">
        <v>116</v>
      </c>
      <c r="Q26" s="17" t="s">
        <v>116</v>
      </c>
      <c r="R26" s="17" t="s">
        <v>116</v>
      </c>
      <c r="S26" s="17" t="s">
        <v>116</v>
      </c>
      <c r="T26" s="17" t="s">
        <v>116</v>
      </c>
      <c r="U26" s="17" t="s">
        <v>116</v>
      </c>
      <c r="V26" s="17" t="s">
        <v>116</v>
      </c>
      <c r="W26" s="17" t="s">
        <v>116</v>
      </c>
      <c r="X26" s="17" t="s">
        <v>116</v>
      </c>
      <c r="Y26" s="17" t="s">
        <v>116</v>
      </c>
      <c r="Z26" s="49" t="s">
        <v>116</v>
      </c>
      <c r="AA26" s="49">
        <f t="shared" si="0"/>
        <v>12</v>
      </c>
      <c r="AB26" s="49">
        <f t="shared" si="1"/>
        <v>0</v>
      </c>
      <c r="AC26" s="17" t="s">
        <v>116</v>
      </c>
      <c r="AD26" s="17" t="s">
        <v>255</v>
      </c>
      <c r="AE26" s="17" t="s">
        <v>118</v>
      </c>
      <c r="AI26" s="17" t="s">
        <v>139</v>
      </c>
      <c r="AJ26" s="17" t="s">
        <v>139</v>
      </c>
      <c r="AK26" s="17" t="s">
        <v>116</v>
      </c>
      <c r="AL26" s="17" t="s">
        <v>116</v>
      </c>
      <c r="AM26" s="19">
        <v>45578</v>
      </c>
      <c r="AN26" s="19">
        <v>45578</v>
      </c>
      <c r="AO26" s="17" t="s">
        <v>256</v>
      </c>
      <c r="AP26" s="17" t="s">
        <v>116</v>
      </c>
      <c r="AQ26" s="17" t="s">
        <v>116</v>
      </c>
      <c r="AR26" s="17" t="s">
        <v>254</v>
      </c>
      <c r="AS26" s="17" t="s">
        <v>116</v>
      </c>
      <c r="AT26" s="17" t="s">
        <v>139</v>
      </c>
      <c r="AU26" s="17" t="s">
        <v>116</v>
      </c>
      <c r="AV26" s="52" t="e">
        <f t="shared" ca="1" si="2"/>
        <v>#NAME?</v>
      </c>
    </row>
    <row r="27" spans="1:48" ht="13.2" x14ac:dyDescent="0.25">
      <c r="A27" s="53" t="s">
        <v>260</v>
      </c>
      <c r="B27" s="57">
        <v>45620.61972638889</v>
      </c>
      <c r="C27" s="17" t="s">
        <v>141</v>
      </c>
      <c r="D27" s="26" t="s">
        <v>12</v>
      </c>
      <c r="E27" s="17" t="s">
        <v>261</v>
      </c>
      <c r="F27" s="17" t="s">
        <v>253</v>
      </c>
      <c r="G27" s="17" t="s">
        <v>10</v>
      </c>
      <c r="H27" s="26" t="s">
        <v>199</v>
      </c>
      <c r="I27" s="17" t="s">
        <v>114</v>
      </c>
      <c r="J27" s="17" t="s">
        <v>254</v>
      </c>
      <c r="L27" s="19">
        <v>45529</v>
      </c>
      <c r="M27" s="19">
        <v>45529</v>
      </c>
      <c r="N27" s="19">
        <v>45531</v>
      </c>
      <c r="O27" s="17" t="s">
        <v>116</v>
      </c>
      <c r="P27" s="17" t="s">
        <v>116</v>
      </c>
      <c r="Q27" s="17" t="s">
        <v>116</v>
      </c>
      <c r="R27" s="17" t="s">
        <v>116</v>
      </c>
      <c r="S27" s="17" t="s">
        <v>116</v>
      </c>
      <c r="U27" s="17" t="s">
        <v>116</v>
      </c>
      <c r="V27" s="17" t="s">
        <v>116</v>
      </c>
      <c r="W27" s="17" t="s">
        <v>116</v>
      </c>
      <c r="X27" s="17" t="s">
        <v>116</v>
      </c>
      <c r="Y27" s="17" t="s">
        <v>116</v>
      </c>
      <c r="Z27" s="49" t="s">
        <v>116</v>
      </c>
      <c r="AA27" s="49">
        <f t="shared" si="0"/>
        <v>11</v>
      </c>
      <c r="AB27" s="49">
        <f t="shared" si="1"/>
        <v>0</v>
      </c>
      <c r="AC27" s="17" t="s">
        <v>116</v>
      </c>
      <c r="AD27" s="17" t="s">
        <v>167</v>
      </c>
      <c r="AE27" s="17" t="s">
        <v>118</v>
      </c>
      <c r="AI27" s="17" t="s">
        <v>139</v>
      </c>
      <c r="AJ27" s="17" t="s">
        <v>139</v>
      </c>
      <c r="AK27" s="17" t="s">
        <v>116</v>
      </c>
      <c r="AL27" s="17" t="s">
        <v>116</v>
      </c>
      <c r="AM27" s="19">
        <v>45620</v>
      </c>
      <c r="AN27" s="19">
        <v>45620</v>
      </c>
      <c r="AO27" s="17" t="s">
        <v>112</v>
      </c>
      <c r="AP27" s="17" t="s">
        <v>116</v>
      </c>
      <c r="AQ27" s="17" t="s">
        <v>116</v>
      </c>
      <c r="AR27" s="17" t="s">
        <v>254</v>
      </c>
      <c r="AS27" s="17" t="s">
        <v>139</v>
      </c>
      <c r="AT27" s="17" t="s">
        <v>139</v>
      </c>
      <c r="AU27" s="17" t="s">
        <v>116</v>
      </c>
      <c r="AV27" s="52" t="e">
        <f t="shared" ca="1" si="2"/>
        <v>#NAME?</v>
      </c>
    </row>
    <row r="28" spans="1:48" ht="13.2" x14ac:dyDescent="0.25">
      <c r="A28" s="53" t="s">
        <v>262</v>
      </c>
      <c r="B28" s="57">
        <v>45540.762164259257</v>
      </c>
      <c r="C28" s="17" t="s">
        <v>141</v>
      </c>
      <c r="D28" s="26" t="s">
        <v>12</v>
      </c>
      <c r="E28" s="17" t="s">
        <v>263</v>
      </c>
      <c r="F28" s="17" t="s">
        <v>176</v>
      </c>
      <c r="G28" s="17" t="s">
        <v>7</v>
      </c>
      <c r="H28" s="17" t="s">
        <v>264</v>
      </c>
      <c r="I28" s="17" t="s">
        <v>116</v>
      </c>
      <c r="J28" s="17" t="s">
        <v>155</v>
      </c>
      <c r="K28" s="17" t="s">
        <v>265</v>
      </c>
      <c r="L28" s="19">
        <v>45529</v>
      </c>
      <c r="M28" s="19">
        <v>45529</v>
      </c>
      <c r="N28" s="19">
        <v>45531</v>
      </c>
      <c r="O28" s="17" t="s">
        <v>116</v>
      </c>
      <c r="P28" s="17" t="s">
        <v>116</v>
      </c>
      <c r="Q28" s="17" t="s">
        <v>116</v>
      </c>
      <c r="R28" s="17" t="s">
        <v>116</v>
      </c>
      <c r="S28" s="17" t="s">
        <v>116</v>
      </c>
      <c r="U28" s="17" t="s">
        <v>116</v>
      </c>
      <c r="V28" s="17" t="s">
        <v>116</v>
      </c>
      <c r="W28" s="17" t="s">
        <v>116</v>
      </c>
      <c r="X28" s="17" t="s">
        <v>116</v>
      </c>
      <c r="Y28" s="17" t="s">
        <v>116</v>
      </c>
      <c r="Z28" s="49" t="s">
        <v>116</v>
      </c>
      <c r="AA28" s="49">
        <f t="shared" si="0"/>
        <v>11</v>
      </c>
      <c r="AB28" s="49">
        <f t="shared" si="1"/>
        <v>0</v>
      </c>
      <c r="AC28" s="17" t="s">
        <v>116</v>
      </c>
      <c r="AD28" s="17" t="s">
        <v>117</v>
      </c>
      <c r="AE28" s="17" t="s">
        <v>240</v>
      </c>
      <c r="AS28" s="17" t="s">
        <v>139</v>
      </c>
      <c r="AT28" s="17" t="s">
        <v>139</v>
      </c>
      <c r="AV28" s="52" t="e">
        <f t="shared" ca="1" si="2"/>
        <v>#NAME?</v>
      </c>
    </row>
    <row r="29" spans="1:48" ht="26.4" x14ac:dyDescent="0.25">
      <c r="A29" s="53" t="s">
        <v>266</v>
      </c>
      <c r="B29" s="57">
        <v>45540.883894560189</v>
      </c>
      <c r="C29" s="17" t="s">
        <v>141</v>
      </c>
      <c r="D29" s="26" t="s">
        <v>12</v>
      </c>
      <c r="E29" s="17" t="s">
        <v>267</v>
      </c>
      <c r="F29" s="17" t="s">
        <v>268</v>
      </c>
      <c r="G29" s="17" t="s">
        <v>8</v>
      </c>
      <c r="H29" s="17" t="s">
        <v>269</v>
      </c>
      <c r="I29" s="17" t="s">
        <v>114</v>
      </c>
      <c r="J29" s="17" t="s">
        <v>270</v>
      </c>
      <c r="K29" s="17" t="s">
        <v>271</v>
      </c>
      <c r="L29" s="19">
        <v>45530</v>
      </c>
      <c r="M29" s="19">
        <v>45530</v>
      </c>
      <c r="N29" s="19">
        <v>45531</v>
      </c>
      <c r="O29" s="17" t="s">
        <v>116</v>
      </c>
      <c r="Q29" s="17" t="s">
        <v>116</v>
      </c>
      <c r="R29" s="17" t="s">
        <v>116</v>
      </c>
      <c r="S29" s="17" t="s">
        <v>116</v>
      </c>
      <c r="U29" s="17" t="s">
        <v>116</v>
      </c>
      <c r="V29" s="17" t="s">
        <v>116</v>
      </c>
      <c r="W29" s="17" t="s">
        <v>116</v>
      </c>
      <c r="X29" s="17" t="s">
        <v>116</v>
      </c>
      <c r="Z29" s="49" t="s">
        <v>116</v>
      </c>
      <c r="AA29" s="49">
        <f t="shared" si="0"/>
        <v>9</v>
      </c>
      <c r="AB29" s="49">
        <f t="shared" si="1"/>
        <v>0</v>
      </c>
      <c r="AC29" s="17" t="s">
        <v>116</v>
      </c>
      <c r="AD29" s="17" t="s">
        <v>117</v>
      </c>
      <c r="AE29" s="17" t="s">
        <v>118</v>
      </c>
      <c r="AI29" s="17" t="s">
        <v>139</v>
      </c>
      <c r="AJ29" s="17" t="s">
        <v>139</v>
      </c>
      <c r="AK29" s="17" t="s">
        <v>116</v>
      </c>
      <c r="AL29" s="17" t="s">
        <v>116</v>
      </c>
      <c r="AM29" s="19">
        <v>45529</v>
      </c>
      <c r="AP29" s="17" t="s">
        <v>116</v>
      </c>
      <c r="AQ29" s="17" t="s">
        <v>116</v>
      </c>
      <c r="AR29" s="17" t="s">
        <v>272</v>
      </c>
      <c r="AS29" s="17" t="s">
        <v>139</v>
      </c>
      <c r="AT29" s="17" t="s">
        <v>139</v>
      </c>
      <c r="AU29" s="17" t="s">
        <v>116</v>
      </c>
      <c r="AV29" s="52" t="e">
        <f t="shared" ca="1" si="2"/>
        <v>#NAME?</v>
      </c>
    </row>
    <row r="30" spans="1:48" ht="13.2" x14ac:dyDescent="0.25">
      <c r="A30" s="53" t="s">
        <v>273</v>
      </c>
      <c r="B30" s="57">
        <v>45543.668005937499</v>
      </c>
      <c r="C30" s="17" t="s">
        <v>141</v>
      </c>
      <c r="D30" s="26" t="s">
        <v>12</v>
      </c>
      <c r="E30" s="17" t="s">
        <v>274</v>
      </c>
      <c r="F30" s="17" t="s">
        <v>268</v>
      </c>
      <c r="G30" s="17" t="s">
        <v>2</v>
      </c>
      <c r="H30" s="17" t="s">
        <v>275</v>
      </c>
      <c r="I30" s="17" t="s">
        <v>244</v>
      </c>
      <c r="J30" s="17" t="s">
        <v>276</v>
      </c>
      <c r="L30" s="19">
        <v>45536</v>
      </c>
      <c r="M30" s="19">
        <v>45536</v>
      </c>
      <c r="N30" s="19">
        <v>45542</v>
      </c>
      <c r="O30" s="17" t="s">
        <v>116</v>
      </c>
      <c r="P30" s="17" t="s">
        <v>116</v>
      </c>
      <c r="Q30" s="17" t="s">
        <v>116</v>
      </c>
      <c r="R30" s="17" t="s">
        <v>116</v>
      </c>
      <c r="S30" s="17" t="s">
        <v>116</v>
      </c>
      <c r="T30" s="17" t="s">
        <v>116</v>
      </c>
      <c r="V30" s="17" t="s">
        <v>116</v>
      </c>
      <c r="W30" s="17" t="s">
        <v>116</v>
      </c>
      <c r="X30" s="17" t="s">
        <v>116</v>
      </c>
      <c r="Y30" s="17" t="s">
        <v>116</v>
      </c>
      <c r="Z30" s="49" t="s">
        <v>116</v>
      </c>
      <c r="AA30" s="49">
        <f t="shared" si="0"/>
        <v>11</v>
      </c>
      <c r="AB30" s="49">
        <f t="shared" si="1"/>
        <v>0</v>
      </c>
      <c r="AC30" s="17" t="s">
        <v>116</v>
      </c>
      <c r="AD30" s="17" t="s">
        <v>117</v>
      </c>
      <c r="AE30" s="17" t="s">
        <v>118</v>
      </c>
      <c r="AK30" s="17" t="s">
        <v>116</v>
      </c>
      <c r="AL30" s="17" t="s">
        <v>116</v>
      </c>
      <c r="AM30" s="19">
        <v>45543</v>
      </c>
      <c r="AN30" s="19">
        <v>45543</v>
      </c>
      <c r="AP30" s="17" t="s">
        <v>116</v>
      </c>
      <c r="AQ30" s="17" t="s">
        <v>116</v>
      </c>
      <c r="AR30" s="17" t="s">
        <v>272</v>
      </c>
      <c r="AS30" s="17" t="s">
        <v>139</v>
      </c>
      <c r="AT30" s="17" t="s">
        <v>139</v>
      </c>
      <c r="AU30" s="17" t="s">
        <v>116</v>
      </c>
      <c r="AV30" s="52" t="e">
        <f t="shared" ca="1" si="2"/>
        <v>#NAME?</v>
      </c>
    </row>
    <row r="31" spans="1:48" ht="26.4" x14ac:dyDescent="0.25">
      <c r="A31" s="53" t="s">
        <v>277</v>
      </c>
      <c r="B31" s="57">
        <v>45694.760867430552</v>
      </c>
      <c r="C31" s="17" t="s">
        <v>141</v>
      </c>
      <c r="D31" s="26" t="s">
        <v>12</v>
      </c>
      <c r="E31" s="17" t="s">
        <v>278</v>
      </c>
      <c r="F31" s="17" t="s">
        <v>279</v>
      </c>
      <c r="G31" s="17" t="s">
        <v>9</v>
      </c>
      <c r="H31" s="17" t="s">
        <v>280</v>
      </c>
      <c r="I31" s="17" t="s">
        <v>244</v>
      </c>
      <c r="J31" s="17" t="s">
        <v>183</v>
      </c>
      <c r="L31" s="19">
        <v>45669</v>
      </c>
      <c r="M31" s="19">
        <v>45669</v>
      </c>
      <c r="N31" s="19">
        <v>45674</v>
      </c>
      <c r="O31" s="17" t="s">
        <v>116</v>
      </c>
      <c r="P31" s="17" t="s">
        <v>116</v>
      </c>
      <c r="Q31" s="17" t="s">
        <v>116</v>
      </c>
      <c r="R31" s="17" t="s">
        <v>116</v>
      </c>
      <c r="S31" s="17" t="s">
        <v>116</v>
      </c>
      <c r="T31" s="17" t="s">
        <v>116</v>
      </c>
      <c r="U31" s="17" t="s">
        <v>116</v>
      </c>
      <c r="V31" s="17" t="s">
        <v>116</v>
      </c>
      <c r="W31" s="17" t="s">
        <v>116</v>
      </c>
      <c r="X31" s="17" t="s">
        <v>116</v>
      </c>
      <c r="Z31" s="49" t="s">
        <v>116</v>
      </c>
      <c r="AA31" s="49">
        <f t="shared" si="0"/>
        <v>11</v>
      </c>
      <c r="AB31" s="49">
        <f t="shared" si="1"/>
        <v>0</v>
      </c>
      <c r="AC31" s="17" t="s">
        <v>116</v>
      </c>
      <c r="AD31" s="17" t="s">
        <v>117</v>
      </c>
      <c r="AE31" s="17" t="s">
        <v>118</v>
      </c>
      <c r="AF31" s="17" t="s">
        <v>281</v>
      </c>
      <c r="AG31" s="17" t="s">
        <v>9</v>
      </c>
      <c r="AH31" s="17" t="s">
        <v>116</v>
      </c>
      <c r="AI31" s="17" t="s">
        <v>139</v>
      </c>
      <c r="AJ31" s="17" t="s">
        <v>139</v>
      </c>
      <c r="AK31" s="17" t="s">
        <v>116</v>
      </c>
      <c r="AL31" s="17" t="s">
        <v>114</v>
      </c>
      <c r="AM31" s="19">
        <v>45690</v>
      </c>
      <c r="AN31" s="19">
        <v>45690</v>
      </c>
      <c r="AO31" s="17" t="s">
        <v>282</v>
      </c>
      <c r="AP31" s="17" t="s">
        <v>116</v>
      </c>
      <c r="AQ31" s="17" t="s">
        <v>116</v>
      </c>
      <c r="AR31" s="17" t="s">
        <v>282</v>
      </c>
      <c r="AS31" s="17" t="s">
        <v>139</v>
      </c>
      <c r="AT31" s="17" t="s">
        <v>139</v>
      </c>
      <c r="AU31" s="17" t="s">
        <v>116</v>
      </c>
      <c r="AV31" s="52" t="e">
        <f t="shared" ca="1" si="2"/>
        <v>#NAME?</v>
      </c>
    </row>
    <row r="32" spans="1:48" ht="26.4" x14ac:dyDescent="0.25">
      <c r="A32" s="53" t="s">
        <v>283</v>
      </c>
      <c r="B32" s="57">
        <v>45578.73857296296</v>
      </c>
      <c r="C32" s="17" t="s">
        <v>141</v>
      </c>
      <c r="D32" s="26" t="s">
        <v>12</v>
      </c>
      <c r="E32" s="17" t="s">
        <v>284</v>
      </c>
      <c r="F32" s="17" t="s">
        <v>285</v>
      </c>
      <c r="G32" s="17" t="s">
        <v>6</v>
      </c>
      <c r="H32" s="17" t="s">
        <v>286</v>
      </c>
      <c r="I32" s="17" t="s">
        <v>114</v>
      </c>
      <c r="J32" s="17" t="s">
        <v>115</v>
      </c>
      <c r="L32" s="19">
        <v>45536</v>
      </c>
      <c r="M32" s="19">
        <v>45536</v>
      </c>
      <c r="N32" s="19">
        <v>45542</v>
      </c>
      <c r="O32" s="17" t="s">
        <v>116</v>
      </c>
      <c r="P32" s="17" t="s">
        <v>116</v>
      </c>
      <c r="Q32" s="17" t="s">
        <v>116</v>
      </c>
      <c r="R32" s="17" t="s">
        <v>116</v>
      </c>
      <c r="S32" s="17" t="s">
        <v>116</v>
      </c>
      <c r="T32" s="17" t="s">
        <v>116</v>
      </c>
      <c r="V32" s="17" t="s">
        <v>116</v>
      </c>
      <c r="W32" s="17" t="s">
        <v>116</v>
      </c>
      <c r="X32" s="17" t="s">
        <v>116</v>
      </c>
      <c r="Y32" s="17" t="s">
        <v>116</v>
      </c>
      <c r="Z32" s="49" t="s">
        <v>116</v>
      </c>
      <c r="AA32" s="49">
        <f t="shared" si="0"/>
        <v>11</v>
      </c>
      <c r="AB32" s="49">
        <f t="shared" si="1"/>
        <v>0</v>
      </c>
      <c r="AC32" s="17" t="s">
        <v>116</v>
      </c>
      <c r="AD32" s="17" t="s">
        <v>117</v>
      </c>
      <c r="AE32" s="17" t="s">
        <v>118</v>
      </c>
      <c r="AI32" s="17" t="s">
        <v>139</v>
      </c>
      <c r="AJ32" s="17" t="s">
        <v>139</v>
      </c>
      <c r="AK32" s="17" t="s">
        <v>116</v>
      </c>
      <c r="AL32" s="17" t="s">
        <v>116</v>
      </c>
      <c r="AM32" s="19">
        <v>45543</v>
      </c>
      <c r="AN32" s="19">
        <v>45564</v>
      </c>
      <c r="AO32" s="17" t="s">
        <v>287</v>
      </c>
      <c r="AP32" s="17" t="s">
        <v>116</v>
      </c>
      <c r="AQ32" s="17" t="s">
        <v>116</v>
      </c>
      <c r="AR32" s="17" t="s">
        <v>209</v>
      </c>
      <c r="AS32" s="17" t="s">
        <v>139</v>
      </c>
      <c r="AT32" s="17" t="s">
        <v>139</v>
      </c>
      <c r="AU32" s="17" t="s">
        <v>288</v>
      </c>
      <c r="AV32" s="52" t="e">
        <f t="shared" ca="1" si="2"/>
        <v>#NAME?</v>
      </c>
    </row>
    <row r="33" spans="1:48" ht="13.2" x14ac:dyDescent="0.25">
      <c r="A33" s="53" t="s">
        <v>289</v>
      </c>
      <c r="B33" s="57">
        <v>45626.725413877313</v>
      </c>
      <c r="C33" s="17" t="s">
        <v>141</v>
      </c>
      <c r="D33" s="26" t="s">
        <v>12</v>
      </c>
      <c r="E33" s="17" t="s">
        <v>290</v>
      </c>
      <c r="F33" s="17" t="s">
        <v>291</v>
      </c>
      <c r="G33" s="17" t="s">
        <v>5</v>
      </c>
      <c r="H33" s="26" t="s">
        <v>292</v>
      </c>
      <c r="I33" s="17" t="s">
        <v>114</v>
      </c>
      <c r="J33" s="17" t="s">
        <v>293</v>
      </c>
      <c r="L33" s="19">
        <v>45540</v>
      </c>
      <c r="M33" s="19">
        <v>45540</v>
      </c>
      <c r="N33" s="19">
        <v>45542</v>
      </c>
      <c r="O33" s="17" t="s">
        <v>116</v>
      </c>
      <c r="Q33" s="17" t="s">
        <v>116</v>
      </c>
      <c r="R33" s="17" t="s">
        <v>116</v>
      </c>
      <c r="S33" s="17" t="s">
        <v>116</v>
      </c>
      <c r="T33" s="17" t="s">
        <v>116</v>
      </c>
      <c r="V33" s="17" t="s">
        <v>116</v>
      </c>
      <c r="W33" s="17" t="s">
        <v>116</v>
      </c>
      <c r="X33" s="17" t="s">
        <v>116</v>
      </c>
      <c r="Y33" s="17" t="s">
        <v>116</v>
      </c>
      <c r="Z33" s="49" t="s">
        <v>116</v>
      </c>
      <c r="AA33" s="49">
        <f t="shared" si="0"/>
        <v>10</v>
      </c>
      <c r="AB33" s="49">
        <f t="shared" si="1"/>
        <v>0</v>
      </c>
      <c r="AC33" s="17" t="s">
        <v>116</v>
      </c>
      <c r="AD33" s="17" t="s">
        <v>223</v>
      </c>
      <c r="AE33" s="17" t="s">
        <v>118</v>
      </c>
      <c r="AF33" s="17" t="s">
        <v>294</v>
      </c>
      <c r="AG33" s="17" t="s">
        <v>5</v>
      </c>
      <c r="AH33" s="17" t="s">
        <v>116</v>
      </c>
      <c r="AI33" s="17" t="s">
        <v>116</v>
      </c>
      <c r="AJ33" s="17" t="s">
        <v>139</v>
      </c>
      <c r="AK33" s="17" t="s">
        <v>116</v>
      </c>
      <c r="AL33" s="17" t="s">
        <v>114</v>
      </c>
      <c r="AM33" s="19">
        <v>45564</v>
      </c>
      <c r="AN33" s="19">
        <v>45578</v>
      </c>
      <c r="AO33" s="17" t="s">
        <v>224</v>
      </c>
      <c r="AP33" s="17" t="s">
        <v>116</v>
      </c>
      <c r="AQ33" s="17" t="s">
        <v>116</v>
      </c>
      <c r="AR33" s="17" t="s">
        <v>224</v>
      </c>
      <c r="AS33" s="17" t="s">
        <v>139</v>
      </c>
      <c r="AT33" s="17" t="s">
        <v>139</v>
      </c>
      <c r="AU33" s="17" t="s">
        <v>116</v>
      </c>
      <c r="AV33" s="52" t="e">
        <f t="shared" ca="1" si="2"/>
        <v>#NAME?</v>
      </c>
    </row>
    <row r="34" spans="1:48" ht="13.2" x14ac:dyDescent="0.25">
      <c r="A34" s="53" t="s">
        <v>295</v>
      </c>
      <c r="B34" s="57">
        <v>45626.725755266205</v>
      </c>
      <c r="C34" s="17" t="s">
        <v>141</v>
      </c>
      <c r="D34" s="26" t="s">
        <v>12</v>
      </c>
      <c r="E34" s="17" t="s">
        <v>296</v>
      </c>
      <c r="F34" s="17" t="s">
        <v>164</v>
      </c>
      <c r="G34" s="17" t="s">
        <v>5</v>
      </c>
      <c r="H34" s="26" t="s">
        <v>233</v>
      </c>
      <c r="I34" s="17" t="s">
        <v>114</v>
      </c>
      <c r="J34" s="17" t="s">
        <v>293</v>
      </c>
      <c r="L34" s="19">
        <v>45540</v>
      </c>
      <c r="M34" s="19">
        <v>45540</v>
      </c>
      <c r="N34" s="19">
        <v>45542</v>
      </c>
      <c r="O34" s="17" t="s">
        <v>116</v>
      </c>
      <c r="P34" s="17" t="s">
        <v>116</v>
      </c>
      <c r="Q34" s="17" t="s">
        <v>116</v>
      </c>
      <c r="R34" s="17" t="s">
        <v>116</v>
      </c>
      <c r="S34" s="17" t="s">
        <v>116</v>
      </c>
      <c r="T34" s="17" t="s">
        <v>116</v>
      </c>
      <c r="V34" s="17" t="s">
        <v>116</v>
      </c>
      <c r="W34" s="17" t="s">
        <v>116</v>
      </c>
      <c r="X34" s="17" t="s">
        <v>116</v>
      </c>
      <c r="Y34" s="17" t="s">
        <v>116</v>
      </c>
      <c r="Z34" s="49" t="s">
        <v>116</v>
      </c>
      <c r="AA34" s="49">
        <f t="shared" si="0"/>
        <v>11</v>
      </c>
      <c r="AB34" s="49">
        <f t="shared" si="1"/>
        <v>0</v>
      </c>
      <c r="AC34" s="17" t="s">
        <v>116</v>
      </c>
      <c r="AD34" s="17" t="s">
        <v>223</v>
      </c>
      <c r="AE34" s="17" t="s">
        <v>118</v>
      </c>
      <c r="AF34" s="17" t="s">
        <v>297</v>
      </c>
      <c r="AG34" s="17" t="s">
        <v>5</v>
      </c>
      <c r="AH34" s="17" t="s">
        <v>116</v>
      </c>
      <c r="AI34" s="17" t="s">
        <v>116</v>
      </c>
      <c r="AJ34" s="17" t="s">
        <v>139</v>
      </c>
      <c r="AK34" s="17" t="s">
        <v>116</v>
      </c>
      <c r="AL34" s="17" t="s">
        <v>114</v>
      </c>
      <c r="AM34" s="19">
        <v>45564</v>
      </c>
      <c r="AN34" s="19">
        <v>45578</v>
      </c>
      <c r="AO34" s="17" t="s">
        <v>224</v>
      </c>
      <c r="AP34" s="17" t="s">
        <v>116</v>
      </c>
      <c r="AQ34" s="17" t="s">
        <v>116</v>
      </c>
      <c r="AR34" s="17" t="s">
        <v>224</v>
      </c>
      <c r="AS34" s="17" t="s">
        <v>139</v>
      </c>
      <c r="AT34" s="17" t="s">
        <v>139</v>
      </c>
      <c r="AU34" s="17" t="s">
        <v>116</v>
      </c>
      <c r="AV34" s="52" t="e">
        <f t="shared" ca="1" si="2"/>
        <v>#NAME?</v>
      </c>
    </row>
    <row r="35" spans="1:48" ht="13.2" x14ac:dyDescent="0.25">
      <c r="A35" s="53" t="s">
        <v>298</v>
      </c>
      <c r="B35" s="57">
        <v>45627.920648680556</v>
      </c>
      <c r="C35" s="17" t="s">
        <v>141</v>
      </c>
      <c r="D35" s="26" t="s">
        <v>12</v>
      </c>
      <c r="E35" s="17" t="s">
        <v>299</v>
      </c>
      <c r="F35" s="26" t="s">
        <v>177</v>
      </c>
      <c r="G35" s="17" t="s">
        <v>3</v>
      </c>
      <c r="H35" s="26" t="s">
        <v>233</v>
      </c>
      <c r="I35" s="17" t="s">
        <v>114</v>
      </c>
      <c r="J35" s="17" t="s">
        <v>300</v>
      </c>
      <c r="L35" s="19">
        <v>45557</v>
      </c>
      <c r="M35" s="19">
        <v>45557</v>
      </c>
      <c r="N35" s="19">
        <v>45561</v>
      </c>
      <c r="AA35" s="49">
        <f t="shared" si="0"/>
        <v>0</v>
      </c>
      <c r="AB35" s="49">
        <f t="shared" si="1"/>
        <v>0</v>
      </c>
      <c r="AC35" s="17" t="s">
        <v>116</v>
      </c>
      <c r="AD35" s="17" t="s">
        <v>192</v>
      </c>
      <c r="AE35" s="17" t="s">
        <v>118</v>
      </c>
      <c r="AI35" s="17" t="s">
        <v>139</v>
      </c>
      <c r="AJ35" s="17" t="s">
        <v>139</v>
      </c>
      <c r="AK35" s="17" t="s">
        <v>116</v>
      </c>
      <c r="AL35" s="17" t="s">
        <v>114</v>
      </c>
      <c r="AM35" s="19">
        <v>45564</v>
      </c>
      <c r="AN35" s="19">
        <v>45564</v>
      </c>
      <c r="AO35" s="17" t="s">
        <v>301</v>
      </c>
      <c r="AP35" s="17" t="s">
        <v>116</v>
      </c>
      <c r="AQ35" s="17" t="s">
        <v>116</v>
      </c>
      <c r="AR35" s="17" t="s">
        <v>301</v>
      </c>
      <c r="AS35" s="17" t="s">
        <v>139</v>
      </c>
      <c r="AT35" s="17" t="s">
        <v>139</v>
      </c>
      <c r="AU35" s="17" t="s">
        <v>116</v>
      </c>
      <c r="AV35" s="52" t="e">
        <f t="shared" ca="1" si="2"/>
        <v>#NAME?</v>
      </c>
    </row>
    <row r="36" spans="1:48" ht="26.4" x14ac:dyDescent="0.25">
      <c r="A36" s="53" t="s">
        <v>302</v>
      </c>
      <c r="B36" s="57">
        <v>45697.86276744213</v>
      </c>
      <c r="C36" s="17" t="s">
        <v>141</v>
      </c>
      <c r="D36" s="26" t="s">
        <v>12</v>
      </c>
      <c r="E36" s="17" t="s">
        <v>303</v>
      </c>
      <c r="F36" s="17" t="s">
        <v>304</v>
      </c>
      <c r="G36" s="17" t="s">
        <v>9</v>
      </c>
      <c r="H36" s="17" t="s">
        <v>136</v>
      </c>
      <c r="I36" s="17" t="s">
        <v>244</v>
      </c>
      <c r="J36" s="17" t="s">
        <v>183</v>
      </c>
      <c r="L36" s="19">
        <v>45669</v>
      </c>
      <c r="M36" s="19">
        <v>45669</v>
      </c>
      <c r="N36" s="19">
        <v>45674</v>
      </c>
      <c r="O36" s="17" t="s">
        <v>116</v>
      </c>
      <c r="P36" s="17" t="s">
        <v>116</v>
      </c>
      <c r="Q36" s="17" t="s">
        <v>116</v>
      </c>
      <c r="R36" s="17" t="s">
        <v>116</v>
      </c>
      <c r="S36" s="17" t="s">
        <v>116</v>
      </c>
      <c r="T36" s="17" t="s">
        <v>116</v>
      </c>
      <c r="U36" s="17" t="s">
        <v>116</v>
      </c>
      <c r="V36" s="17" t="s">
        <v>116</v>
      </c>
      <c r="W36" s="17" t="s">
        <v>116</v>
      </c>
      <c r="X36" s="17" t="s">
        <v>116</v>
      </c>
      <c r="Z36" s="49" t="s">
        <v>116</v>
      </c>
      <c r="AA36" s="49">
        <f t="shared" si="0"/>
        <v>11</v>
      </c>
      <c r="AB36" s="49">
        <f t="shared" si="1"/>
        <v>0</v>
      </c>
      <c r="AC36" s="17" t="s">
        <v>116</v>
      </c>
      <c r="AD36" s="17" t="s">
        <v>117</v>
      </c>
      <c r="AE36" s="17" t="s">
        <v>118</v>
      </c>
      <c r="AF36" s="17" t="s">
        <v>305</v>
      </c>
      <c r="AG36" s="17" t="s">
        <v>9</v>
      </c>
      <c r="AH36" s="17" t="s">
        <v>116</v>
      </c>
      <c r="AI36" s="17" t="s">
        <v>139</v>
      </c>
      <c r="AJ36" s="17" t="s">
        <v>139</v>
      </c>
      <c r="AK36" s="17" t="s">
        <v>116</v>
      </c>
      <c r="AL36" s="17" t="s">
        <v>114</v>
      </c>
      <c r="AM36" s="19">
        <v>45690</v>
      </c>
      <c r="AN36" s="19">
        <v>45697</v>
      </c>
      <c r="AO36" s="17" t="s">
        <v>276</v>
      </c>
      <c r="AP36" s="17" t="s">
        <v>116</v>
      </c>
      <c r="AQ36" s="17" t="s">
        <v>116</v>
      </c>
      <c r="AR36" s="17" t="s">
        <v>29</v>
      </c>
      <c r="AS36" s="17" t="s">
        <v>139</v>
      </c>
      <c r="AT36" s="17" t="s">
        <v>139</v>
      </c>
      <c r="AU36" s="17" t="s">
        <v>116</v>
      </c>
      <c r="AV36" s="52" t="e">
        <f t="shared" ca="1" si="2"/>
        <v>#NAME?</v>
      </c>
    </row>
    <row r="37" spans="1:48" ht="26.4" x14ac:dyDescent="0.25">
      <c r="A37" s="53" t="s">
        <v>306</v>
      </c>
      <c r="B37" s="57">
        <v>45666.763268819443</v>
      </c>
      <c r="C37" s="17" t="s">
        <v>141</v>
      </c>
      <c r="D37" s="26" t="s">
        <v>12</v>
      </c>
      <c r="E37" s="17" t="s">
        <v>307</v>
      </c>
      <c r="F37" s="26" t="s">
        <v>308</v>
      </c>
      <c r="G37" s="17" t="s">
        <v>9</v>
      </c>
      <c r="H37" s="26" t="s">
        <v>309</v>
      </c>
      <c r="I37" s="17" t="s">
        <v>244</v>
      </c>
      <c r="J37" s="17" t="s">
        <v>310</v>
      </c>
      <c r="L37" s="19">
        <v>45561</v>
      </c>
      <c r="M37" s="19">
        <v>45561</v>
      </c>
      <c r="N37" s="19">
        <v>45570</v>
      </c>
      <c r="O37" s="17" t="s">
        <v>116</v>
      </c>
      <c r="P37" s="17" t="s">
        <v>116</v>
      </c>
      <c r="Q37" s="17"/>
      <c r="R37" s="17" t="s">
        <v>116</v>
      </c>
      <c r="S37" s="17"/>
      <c r="T37" s="17"/>
      <c r="U37" s="17" t="s">
        <v>116</v>
      </c>
      <c r="V37" s="17" t="s">
        <v>116</v>
      </c>
      <c r="W37" s="17" t="s">
        <v>116</v>
      </c>
      <c r="X37" s="17"/>
      <c r="Z37" s="49" t="s">
        <v>116</v>
      </c>
      <c r="AA37" s="49">
        <f t="shared" si="0"/>
        <v>7</v>
      </c>
      <c r="AB37" s="49">
        <f t="shared" si="1"/>
        <v>0</v>
      </c>
      <c r="AC37" s="17" t="s">
        <v>116</v>
      </c>
      <c r="AD37" s="17" t="s">
        <v>179</v>
      </c>
      <c r="AE37" s="17" t="s">
        <v>118</v>
      </c>
      <c r="AF37" s="17" t="s">
        <v>311</v>
      </c>
      <c r="AG37" s="17" t="s">
        <v>4</v>
      </c>
      <c r="AH37" s="17" t="s">
        <v>116</v>
      </c>
      <c r="AI37" s="17" t="s">
        <v>139</v>
      </c>
      <c r="AJ37" s="17" t="s">
        <v>139</v>
      </c>
      <c r="AK37" s="17" t="s">
        <v>116</v>
      </c>
      <c r="AL37" s="17" t="s">
        <v>116</v>
      </c>
      <c r="AM37" s="19">
        <v>45627</v>
      </c>
      <c r="AN37" s="19">
        <v>45662</v>
      </c>
      <c r="AO37" s="17" t="s">
        <v>181</v>
      </c>
      <c r="AP37" s="17" t="s">
        <v>116</v>
      </c>
      <c r="AQ37" s="17" t="s">
        <v>116</v>
      </c>
      <c r="AR37" s="17" t="s">
        <v>312</v>
      </c>
      <c r="AS37" s="17" t="s">
        <v>139</v>
      </c>
      <c r="AT37" s="17" t="s">
        <v>139</v>
      </c>
      <c r="AU37" s="17" t="s">
        <v>116</v>
      </c>
      <c r="AV37" s="52" t="e">
        <f t="shared" ca="1" si="2"/>
        <v>#NAME?</v>
      </c>
    </row>
    <row r="38" spans="1:48" ht="26.4" x14ac:dyDescent="0.25">
      <c r="A38" s="53" t="s">
        <v>313</v>
      </c>
      <c r="B38" s="57">
        <v>45666.898113738425</v>
      </c>
      <c r="C38" s="17" t="s">
        <v>141</v>
      </c>
      <c r="D38" s="26" t="s">
        <v>12</v>
      </c>
      <c r="E38" s="17" t="s">
        <v>314</v>
      </c>
      <c r="F38" s="26" t="s">
        <v>279</v>
      </c>
      <c r="G38" s="17" t="s">
        <v>8</v>
      </c>
      <c r="H38" s="26" t="s">
        <v>315</v>
      </c>
      <c r="I38" s="17" t="s">
        <v>116</v>
      </c>
      <c r="J38" s="17" t="s">
        <v>214</v>
      </c>
      <c r="K38" s="17"/>
      <c r="L38" s="19">
        <v>45578</v>
      </c>
      <c r="M38" s="19">
        <v>45578</v>
      </c>
      <c r="N38" s="19">
        <v>45584</v>
      </c>
      <c r="O38" s="17" t="s">
        <v>116</v>
      </c>
      <c r="P38" s="17" t="s">
        <v>116</v>
      </c>
      <c r="Q38" s="17" t="s">
        <v>116</v>
      </c>
      <c r="R38" s="17" t="s">
        <v>116</v>
      </c>
      <c r="S38" s="17" t="s">
        <v>116</v>
      </c>
      <c r="T38" s="17" t="s">
        <v>116</v>
      </c>
      <c r="U38" s="17" t="s">
        <v>116</v>
      </c>
      <c r="V38" s="17" t="s">
        <v>116</v>
      </c>
      <c r="W38" s="17" t="s">
        <v>116</v>
      </c>
      <c r="Z38" s="49" t="s">
        <v>116</v>
      </c>
      <c r="AA38" s="49">
        <f t="shared" si="0"/>
        <v>10</v>
      </c>
      <c r="AB38" s="49">
        <f t="shared" si="1"/>
        <v>0</v>
      </c>
      <c r="AC38" s="17" t="s">
        <v>116</v>
      </c>
      <c r="AD38" s="17" t="s">
        <v>117</v>
      </c>
      <c r="AE38" s="17" t="s">
        <v>118</v>
      </c>
      <c r="AF38" s="17" t="s">
        <v>316</v>
      </c>
      <c r="AG38" s="17" t="s">
        <v>8</v>
      </c>
      <c r="AH38" s="17" t="s">
        <v>116</v>
      </c>
      <c r="AI38" s="17" t="s">
        <v>116</v>
      </c>
      <c r="AJ38" s="17" t="s">
        <v>139</v>
      </c>
      <c r="AK38" s="17" t="s">
        <v>116</v>
      </c>
      <c r="AL38" s="17" t="s">
        <v>114</v>
      </c>
      <c r="AM38" s="19">
        <v>45585</v>
      </c>
      <c r="AN38" s="19">
        <v>45599</v>
      </c>
      <c r="AO38" s="17" t="s">
        <v>276</v>
      </c>
      <c r="AP38" s="17" t="s">
        <v>116</v>
      </c>
      <c r="AQ38" s="17" t="s">
        <v>116</v>
      </c>
      <c r="AR38" s="17" t="s">
        <v>317</v>
      </c>
      <c r="AS38" s="17" t="s">
        <v>139</v>
      </c>
      <c r="AT38" s="17" t="s">
        <v>139</v>
      </c>
      <c r="AU38" s="17" t="s">
        <v>116</v>
      </c>
      <c r="AV38" s="52" t="e">
        <f t="shared" ca="1" si="2"/>
        <v>#NAME?</v>
      </c>
    </row>
    <row r="39" spans="1:48" ht="26.4" x14ac:dyDescent="0.25">
      <c r="A39" s="53" t="s">
        <v>318</v>
      </c>
      <c r="B39" s="57">
        <v>45649.751403240742</v>
      </c>
      <c r="C39" s="17" t="s">
        <v>141</v>
      </c>
      <c r="D39" s="26" t="s">
        <v>12</v>
      </c>
      <c r="E39" s="17" t="s">
        <v>319</v>
      </c>
      <c r="F39" s="26" t="s">
        <v>315</v>
      </c>
      <c r="G39" s="17" t="s">
        <v>8</v>
      </c>
      <c r="H39" s="26" t="s">
        <v>320</v>
      </c>
      <c r="I39" s="17" t="s">
        <v>244</v>
      </c>
      <c r="J39" s="17" t="s">
        <v>214</v>
      </c>
      <c r="K39" s="17" t="s">
        <v>321</v>
      </c>
      <c r="L39" s="19">
        <v>45578</v>
      </c>
      <c r="M39" s="19">
        <v>45578</v>
      </c>
      <c r="N39" s="19">
        <v>45584</v>
      </c>
      <c r="O39" s="17" t="s">
        <v>116</v>
      </c>
      <c r="P39" s="17" t="s">
        <v>116</v>
      </c>
      <c r="Q39" s="17" t="s">
        <v>116</v>
      </c>
      <c r="R39" s="17" t="s">
        <v>116</v>
      </c>
      <c r="S39" s="17" t="s">
        <v>116</v>
      </c>
      <c r="T39" s="17" t="s">
        <v>116</v>
      </c>
      <c r="U39" s="17" t="s">
        <v>116</v>
      </c>
      <c r="V39" s="17" t="s">
        <v>116</v>
      </c>
      <c r="W39" s="17" t="s">
        <v>116</v>
      </c>
      <c r="Z39" s="49" t="s">
        <v>116</v>
      </c>
      <c r="AA39" s="49">
        <f t="shared" si="0"/>
        <v>10</v>
      </c>
      <c r="AB39" s="49">
        <f t="shared" si="1"/>
        <v>0</v>
      </c>
      <c r="AC39" s="17" t="s">
        <v>116</v>
      </c>
      <c r="AD39" s="17" t="s">
        <v>216</v>
      </c>
      <c r="AE39" s="17" t="s">
        <v>118</v>
      </c>
      <c r="AF39" s="17" t="s">
        <v>314</v>
      </c>
      <c r="AG39" s="17" t="s">
        <v>8</v>
      </c>
      <c r="AH39" s="17" t="s">
        <v>116</v>
      </c>
      <c r="AI39" s="17" t="s">
        <v>116</v>
      </c>
      <c r="AJ39" s="17" t="s">
        <v>139</v>
      </c>
      <c r="AK39" s="17" t="s">
        <v>116</v>
      </c>
      <c r="AL39" s="17" t="s">
        <v>114</v>
      </c>
      <c r="AM39" s="19">
        <v>45585</v>
      </c>
      <c r="AN39" s="19">
        <v>45585</v>
      </c>
      <c r="AO39" s="17" t="s">
        <v>322</v>
      </c>
      <c r="AP39" s="17" t="s">
        <v>116</v>
      </c>
      <c r="AQ39" s="17" t="s">
        <v>116</v>
      </c>
      <c r="AR39" s="17" t="s">
        <v>29</v>
      </c>
      <c r="AS39" s="17" t="s">
        <v>139</v>
      </c>
      <c r="AT39" s="17" t="s">
        <v>139</v>
      </c>
      <c r="AU39" s="17" t="s">
        <v>116</v>
      </c>
      <c r="AV39" s="52" t="e">
        <f t="shared" ca="1" si="2"/>
        <v>#NAME?</v>
      </c>
    </row>
    <row r="40" spans="1:48" ht="13.2" x14ac:dyDescent="0.25">
      <c r="A40" s="53" t="s">
        <v>323</v>
      </c>
      <c r="B40" s="57">
        <v>45626.805218796297</v>
      </c>
      <c r="C40" s="17" t="s">
        <v>141</v>
      </c>
      <c r="D40" s="26" t="s">
        <v>12</v>
      </c>
      <c r="E40" s="17" t="s">
        <v>324</v>
      </c>
      <c r="F40" s="17" t="s">
        <v>325</v>
      </c>
      <c r="G40" s="17" t="s">
        <v>2</v>
      </c>
      <c r="H40" s="17" t="s">
        <v>326</v>
      </c>
      <c r="I40" s="17" t="s">
        <v>114</v>
      </c>
      <c r="J40" s="17" t="s">
        <v>327</v>
      </c>
      <c r="L40" s="19">
        <v>45599</v>
      </c>
      <c r="M40" s="19">
        <v>45599</v>
      </c>
      <c r="N40" s="19">
        <v>45603</v>
      </c>
      <c r="AA40" s="49">
        <f t="shared" si="0"/>
        <v>0</v>
      </c>
      <c r="AB40" s="49">
        <f t="shared" si="1"/>
        <v>0</v>
      </c>
      <c r="AC40" s="17" t="s">
        <v>116</v>
      </c>
      <c r="AD40" s="17" t="s">
        <v>202</v>
      </c>
      <c r="AE40" s="17" t="s">
        <v>118</v>
      </c>
      <c r="AF40" s="17" t="s">
        <v>113</v>
      </c>
      <c r="AG40" s="17" t="s">
        <v>2</v>
      </c>
      <c r="AH40" s="17" t="s">
        <v>114</v>
      </c>
      <c r="AI40" s="17" t="s">
        <v>139</v>
      </c>
      <c r="AJ40" s="17" t="s">
        <v>139</v>
      </c>
      <c r="AK40" s="17" t="s">
        <v>116</v>
      </c>
      <c r="AL40" s="17" t="s">
        <v>114</v>
      </c>
      <c r="AM40" s="19">
        <v>45613</v>
      </c>
      <c r="AN40" s="19">
        <v>45613</v>
      </c>
      <c r="AO40" s="17" t="s">
        <v>328</v>
      </c>
      <c r="AP40" s="17" t="s">
        <v>116</v>
      </c>
      <c r="AQ40" s="17" t="s">
        <v>116</v>
      </c>
      <c r="AR40" s="17" t="s">
        <v>149</v>
      </c>
      <c r="AS40" s="17" t="s">
        <v>139</v>
      </c>
      <c r="AT40" s="17" t="s">
        <v>139</v>
      </c>
      <c r="AU40" s="17" t="s">
        <v>116</v>
      </c>
      <c r="AV40" s="52" t="e">
        <f t="shared" ca="1" si="2"/>
        <v>#NAME?</v>
      </c>
    </row>
    <row r="41" spans="1:48" ht="13.2" x14ac:dyDescent="0.25">
      <c r="A41" s="53" t="s">
        <v>329</v>
      </c>
      <c r="B41" s="57">
        <v>45626.694493680552</v>
      </c>
      <c r="C41" s="17" t="s">
        <v>141</v>
      </c>
      <c r="D41" s="26" t="s">
        <v>12</v>
      </c>
      <c r="E41" s="17" t="s">
        <v>330</v>
      </c>
      <c r="F41" s="17" t="s">
        <v>220</v>
      </c>
      <c r="G41" s="17" t="s">
        <v>6</v>
      </c>
      <c r="H41" s="17" t="s">
        <v>232</v>
      </c>
      <c r="I41" s="17" t="s">
        <v>116</v>
      </c>
      <c r="J41" s="17" t="s">
        <v>145</v>
      </c>
      <c r="K41" s="17" t="s">
        <v>331</v>
      </c>
      <c r="L41" s="19">
        <v>45617</v>
      </c>
      <c r="M41" s="19">
        <v>45617</v>
      </c>
      <c r="N41" s="19">
        <v>45617</v>
      </c>
      <c r="U41" s="17" t="s">
        <v>116</v>
      </c>
      <c r="Z41" s="17"/>
      <c r="AA41" s="49">
        <f t="shared" si="0"/>
        <v>1</v>
      </c>
      <c r="AB41" s="49">
        <f t="shared" si="1"/>
        <v>0</v>
      </c>
      <c r="AC41" s="17" t="s">
        <v>116</v>
      </c>
      <c r="AD41" s="17" t="s">
        <v>147</v>
      </c>
      <c r="AE41" s="17" t="s">
        <v>118</v>
      </c>
      <c r="AF41" s="17" t="s">
        <v>332</v>
      </c>
      <c r="AG41" s="17" t="s">
        <v>6</v>
      </c>
      <c r="AH41" s="17" t="s">
        <v>116</v>
      </c>
      <c r="AI41" s="17" t="s">
        <v>114</v>
      </c>
      <c r="AJ41" s="17" t="s">
        <v>139</v>
      </c>
      <c r="AK41" s="17" t="s">
        <v>116</v>
      </c>
      <c r="AL41" s="17" t="s">
        <v>114</v>
      </c>
      <c r="AM41" s="19">
        <v>45620</v>
      </c>
      <c r="AN41" s="19">
        <v>45620</v>
      </c>
      <c r="AO41" s="17" t="s">
        <v>333</v>
      </c>
      <c r="AP41" s="17" t="s">
        <v>116</v>
      </c>
      <c r="AQ41" s="17" t="s">
        <v>114</v>
      </c>
      <c r="AR41" s="17" t="s">
        <v>334</v>
      </c>
      <c r="AT41" s="17" t="s">
        <v>139</v>
      </c>
      <c r="AU41" s="17" t="s">
        <v>116</v>
      </c>
      <c r="AV41" s="52" t="e">
        <f t="shared" ca="1" si="2"/>
        <v>#NAME?</v>
      </c>
    </row>
    <row r="42" spans="1:48" ht="13.2" x14ac:dyDescent="0.25">
      <c r="A42" s="53" t="s">
        <v>335</v>
      </c>
      <c r="B42" s="57">
        <v>45665.879297638894</v>
      </c>
      <c r="C42" s="17" t="s">
        <v>141</v>
      </c>
      <c r="D42" s="26" t="s">
        <v>12</v>
      </c>
      <c r="E42" s="17" t="s">
        <v>336</v>
      </c>
      <c r="F42" s="17" t="s">
        <v>220</v>
      </c>
      <c r="G42" s="17" t="s">
        <v>3</v>
      </c>
      <c r="H42" s="17" t="s">
        <v>337</v>
      </c>
      <c r="I42" s="17" t="s">
        <v>244</v>
      </c>
      <c r="J42" s="17" t="s">
        <v>338</v>
      </c>
      <c r="K42" s="17" t="s">
        <v>339</v>
      </c>
      <c r="L42" s="19">
        <v>45627</v>
      </c>
      <c r="M42" s="19">
        <v>45627</v>
      </c>
      <c r="N42" s="19">
        <v>45631</v>
      </c>
      <c r="AA42" s="49">
        <f t="shared" si="0"/>
        <v>0</v>
      </c>
      <c r="AB42" s="49">
        <f t="shared" si="1"/>
        <v>0</v>
      </c>
      <c r="AC42" s="17" t="s">
        <v>116</v>
      </c>
      <c r="AD42" s="17" t="s">
        <v>192</v>
      </c>
      <c r="AE42" s="17" t="s">
        <v>118</v>
      </c>
      <c r="AF42" s="17" t="s">
        <v>340</v>
      </c>
      <c r="AG42" s="17" t="s">
        <v>3</v>
      </c>
      <c r="AH42" s="17" t="s">
        <v>116</v>
      </c>
      <c r="AI42" s="17" t="s">
        <v>116</v>
      </c>
      <c r="AJ42" s="17" t="s">
        <v>139</v>
      </c>
      <c r="AK42" s="17" t="s">
        <v>116</v>
      </c>
      <c r="AL42" s="17" t="s">
        <v>114</v>
      </c>
      <c r="AM42" s="19">
        <v>45634</v>
      </c>
      <c r="AN42" s="19">
        <v>45634</v>
      </c>
      <c r="AO42" s="17" t="s">
        <v>194</v>
      </c>
      <c r="AP42" s="17" t="s">
        <v>116</v>
      </c>
      <c r="AQ42" s="17" t="s">
        <v>116</v>
      </c>
      <c r="AR42" s="17" t="s">
        <v>149</v>
      </c>
      <c r="AS42" s="17" t="s">
        <v>139</v>
      </c>
      <c r="AT42" s="17" t="s">
        <v>139</v>
      </c>
      <c r="AU42" s="17" t="s">
        <v>116</v>
      </c>
      <c r="AV42" s="52" t="e">
        <f t="shared" ca="1" si="2"/>
        <v>#NAME?</v>
      </c>
    </row>
    <row r="43" spans="1:48" ht="13.2" x14ac:dyDescent="0.25">
      <c r="A43" s="53" t="s">
        <v>341</v>
      </c>
      <c r="B43" s="57">
        <v>45665.879634722223</v>
      </c>
      <c r="C43" s="17" t="s">
        <v>141</v>
      </c>
      <c r="D43" s="26" t="s">
        <v>12</v>
      </c>
      <c r="E43" s="17" t="s">
        <v>342</v>
      </c>
      <c r="F43" s="17" t="s">
        <v>232</v>
      </c>
      <c r="G43" s="17" t="s">
        <v>3</v>
      </c>
      <c r="H43" s="17" t="s">
        <v>199</v>
      </c>
      <c r="I43" s="17" t="s">
        <v>114</v>
      </c>
      <c r="J43" s="17" t="s">
        <v>338</v>
      </c>
      <c r="K43" s="17" t="s">
        <v>343</v>
      </c>
      <c r="L43" s="19">
        <v>45627</v>
      </c>
      <c r="M43" s="19">
        <v>45627</v>
      </c>
      <c r="N43" s="19">
        <v>45631</v>
      </c>
      <c r="AA43" s="49">
        <f t="shared" si="0"/>
        <v>0</v>
      </c>
      <c r="AB43" s="49">
        <f t="shared" si="1"/>
        <v>0</v>
      </c>
      <c r="AC43" s="17" t="s">
        <v>116</v>
      </c>
      <c r="AD43" s="17" t="s">
        <v>192</v>
      </c>
      <c r="AE43" s="17" t="s">
        <v>118</v>
      </c>
      <c r="AJ43" s="17" t="s">
        <v>139</v>
      </c>
      <c r="AK43" s="17" t="s">
        <v>116</v>
      </c>
      <c r="AL43" s="17" t="s">
        <v>114</v>
      </c>
      <c r="AM43" s="19">
        <v>45634</v>
      </c>
      <c r="AN43" s="19">
        <v>45634</v>
      </c>
      <c r="AO43" s="17" t="s">
        <v>194</v>
      </c>
      <c r="AP43" s="17" t="s">
        <v>116</v>
      </c>
      <c r="AQ43" s="17" t="s">
        <v>116</v>
      </c>
      <c r="AR43" s="17" t="s">
        <v>149</v>
      </c>
      <c r="AS43" s="17" t="s">
        <v>139</v>
      </c>
      <c r="AT43" s="17" t="s">
        <v>139</v>
      </c>
      <c r="AU43" s="17" t="s">
        <v>116</v>
      </c>
      <c r="AV43" s="52" t="e">
        <f t="shared" ca="1" si="2"/>
        <v>#NAME?</v>
      </c>
    </row>
    <row r="44" spans="1:48" ht="13.2" x14ac:dyDescent="0.25">
      <c r="A44" s="53" t="s">
        <v>344</v>
      </c>
      <c r="B44" s="57">
        <v>45669.854109351851</v>
      </c>
      <c r="C44" s="17" t="s">
        <v>141</v>
      </c>
      <c r="D44" s="26" t="s">
        <v>12</v>
      </c>
      <c r="E44" s="17" t="s">
        <v>345</v>
      </c>
      <c r="F44" s="17" t="s">
        <v>190</v>
      </c>
      <c r="G44" s="17" t="s">
        <v>6</v>
      </c>
      <c r="H44" s="17" t="s">
        <v>199</v>
      </c>
      <c r="I44" s="17" t="s">
        <v>114</v>
      </c>
      <c r="J44" s="17" t="s">
        <v>145</v>
      </c>
      <c r="L44" s="19">
        <v>45640</v>
      </c>
      <c r="M44" s="19">
        <v>45640</v>
      </c>
      <c r="N44" s="19">
        <v>45640</v>
      </c>
      <c r="O44" s="17" t="s">
        <v>116</v>
      </c>
      <c r="P44" s="17" t="s">
        <v>116</v>
      </c>
      <c r="Q44" s="17" t="s">
        <v>116</v>
      </c>
      <c r="R44" s="17" t="s">
        <v>116</v>
      </c>
      <c r="S44" s="17" t="s">
        <v>116</v>
      </c>
      <c r="T44" s="17" t="s">
        <v>116</v>
      </c>
      <c r="U44" s="17" t="s">
        <v>116</v>
      </c>
      <c r="V44" s="17" t="s">
        <v>116</v>
      </c>
      <c r="W44" s="17" t="s">
        <v>116</v>
      </c>
      <c r="X44" s="17" t="s">
        <v>116</v>
      </c>
      <c r="Z44" s="49" t="s">
        <v>116</v>
      </c>
      <c r="AA44" s="49">
        <f t="shared" si="0"/>
        <v>11</v>
      </c>
      <c r="AB44" s="49">
        <f t="shared" si="1"/>
        <v>0</v>
      </c>
      <c r="AC44" s="17" t="s">
        <v>116</v>
      </c>
      <c r="AD44" s="17" t="s">
        <v>147</v>
      </c>
      <c r="AE44" s="17" t="s">
        <v>118</v>
      </c>
      <c r="AF44" s="17" t="s">
        <v>346</v>
      </c>
      <c r="AG44" s="17" t="s">
        <v>6</v>
      </c>
      <c r="AH44" s="17" t="s">
        <v>116</v>
      </c>
      <c r="AI44" s="17" t="s">
        <v>139</v>
      </c>
      <c r="AJ44" s="17" t="s">
        <v>139</v>
      </c>
      <c r="AK44" s="17" t="s">
        <v>116</v>
      </c>
      <c r="AL44" s="17" t="s">
        <v>114</v>
      </c>
      <c r="AM44" s="19">
        <v>45648</v>
      </c>
      <c r="AN44" s="19">
        <v>45655</v>
      </c>
      <c r="AO44" s="17" t="s">
        <v>130</v>
      </c>
      <c r="AP44" s="17" t="s">
        <v>116</v>
      </c>
      <c r="AQ44" s="17" t="s">
        <v>116</v>
      </c>
      <c r="AR44" s="17" t="s">
        <v>29</v>
      </c>
      <c r="AS44" s="17" t="s">
        <v>116</v>
      </c>
      <c r="AT44" s="17" t="s">
        <v>139</v>
      </c>
      <c r="AU44" s="17" t="s">
        <v>116</v>
      </c>
      <c r="AV44" s="52" t="e">
        <f t="shared" ca="1" si="2"/>
        <v>#NAME?</v>
      </c>
    </row>
    <row r="45" spans="1:48" ht="13.2" x14ac:dyDescent="0.25">
      <c r="A45" s="53" t="s">
        <v>347</v>
      </c>
      <c r="B45" s="57">
        <v>45736.988221516207</v>
      </c>
      <c r="C45" s="17" t="s">
        <v>141</v>
      </c>
      <c r="D45" s="26" t="s">
        <v>12</v>
      </c>
      <c r="E45" s="17" t="s">
        <v>348</v>
      </c>
      <c r="F45" s="17" t="s">
        <v>349</v>
      </c>
      <c r="G45" s="17" t="s">
        <v>6</v>
      </c>
      <c r="H45" s="17" t="s">
        <v>350</v>
      </c>
      <c r="I45" s="17" t="s">
        <v>116</v>
      </c>
      <c r="J45" s="17" t="s">
        <v>145</v>
      </c>
      <c r="K45" s="26"/>
      <c r="L45" s="19">
        <v>45669</v>
      </c>
      <c r="M45" s="19">
        <v>45669</v>
      </c>
      <c r="N45" s="19">
        <v>45674</v>
      </c>
      <c r="O45" s="17" t="s">
        <v>116</v>
      </c>
      <c r="P45" s="17" t="s">
        <v>116</v>
      </c>
      <c r="Q45" s="17" t="s">
        <v>116</v>
      </c>
      <c r="R45" s="17" t="s">
        <v>116</v>
      </c>
      <c r="S45" s="17" t="s">
        <v>116</v>
      </c>
      <c r="T45" s="17" t="s">
        <v>116</v>
      </c>
      <c r="U45" s="17" t="s">
        <v>116</v>
      </c>
      <c r="V45" s="17" t="s">
        <v>116</v>
      </c>
      <c r="W45" s="17" t="s">
        <v>116</v>
      </c>
      <c r="X45" s="17" t="s">
        <v>116</v>
      </c>
      <c r="Z45" s="49" t="s">
        <v>116</v>
      </c>
      <c r="AA45" s="49">
        <f t="shared" si="0"/>
        <v>11</v>
      </c>
      <c r="AB45" s="49">
        <f t="shared" si="1"/>
        <v>0</v>
      </c>
      <c r="AC45" s="17" t="s">
        <v>116</v>
      </c>
      <c r="AD45" s="17" t="s">
        <v>159</v>
      </c>
      <c r="AE45" s="17" t="s">
        <v>118</v>
      </c>
      <c r="AF45" s="17" t="s">
        <v>351</v>
      </c>
      <c r="AG45" s="17" t="s">
        <v>6</v>
      </c>
      <c r="AH45" s="17" t="s">
        <v>116</v>
      </c>
      <c r="AI45" s="17" t="s">
        <v>139</v>
      </c>
      <c r="AJ45" s="17" t="s">
        <v>139</v>
      </c>
      <c r="AK45" s="17" t="s">
        <v>116</v>
      </c>
      <c r="AL45" s="17" t="s">
        <v>114</v>
      </c>
      <c r="AM45" s="19">
        <v>45697</v>
      </c>
      <c r="AN45" s="19">
        <v>45697</v>
      </c>
      <c r="AO45" s="17" t="s">
        <v>115</v>
      </c>
      <c r="AP45" s="17" t="s">
        <v>116</v>
      </c>
      <c r="AQ45" s="17" t="s">
        <v>116</v>
      </c>
      <c r="AR45" s="17" t="s">
        <v>352</v>
      </c>
      <c r="AS45" s="17" t="s">
        <v>139</v>
      </c>
      <c r="AT45" s="17" t="s">
        <v>139</v>
      </c>
      <c r="AU45" s="17" t="s">
        <v>116</v>
      </c>
      <c r="AV45" s="52" t="e">
        <f t="shared" ca="1" si="2"/>
        <v>#NAME?</v>
      </c>
    </row>
    <row r="46" spans="1:48" ht="26.4" x14ac:dyDescent="0.25">
      <c r="A46" s="53" t="s">
        <v>353</v>
      </c>
      <c r="B46" s="56">
        <v>45711.539057731483</v>
      </c>
      <c r="C46" s="26" t="s">
        <v>141</v>
      </c>
      <c r="D46" s="26" t="s">
        <v>12</v>
      </c>
      <c r="E46" s="26" t="s">
        <v>21</v>
      </c>
      <c r="F46" s="26" t="s">
        <v>354</v>
      </c>
      <c r="G46" s="26" t="s">
        <v>10</v>
      </c>
      <c r="H46" s="26" t="s">
        <v>355</v>
      </c>
      <c r="I46" s="26" t="s">
        <v>114</v>
      </c>
      <c r="J46" s="26" t="s">
        <v>246</v>
      </c>
      <c r="K46" s="26"/>
      <c r="L46" s="29">
        <v>45491</v>
      </c>
      <c r="M46" s="29">
        <v>45491</v>
      </c>
      <c r="N46" s="29">
        <v>45491</v>
      </c>
      <c r="O46" s="26"/>
      <c r="P46" s="26"/>
      <c r="Q46" s="26"/>
      <c r="R46" s="26"/>
      <c r="S46" s="26"/>
      <c r="T46" s="26"/>
      <c r="U46" s="26"/>
      <c r="V46" s="26"/>
      <c r="W46" s="26"/>
      <c r="X46" s="26"/>
      <c r="Y46" s="26"/>
      <c r="Z46" s="26"/>
      <c r="AA46" s="49">
        <f t="shared" si="0"/>
        <v>0</v>
      </c>
      <c r="AB46" s="49">
        <f t="shared" si="1"/>
        <v>0</v>
      </c>
      <c r="AC46" s="26" t="s">
        <v>116</v>
      </c>
      <c r="AD46" s="26" t="s">
        <v>126</v>
      </c>
      <c r="AE46" s="26" t="s">
        <v>118</v>
      </c>
      <c r="AF46" s="26"/>
      <c r="AG46" s="26"/>
      <c r="AH46" s="26"/>
      <c r="AI46" s="26" t="s">
        <v>139</v>
      </c>
      <c r="AJ46" s="26" t="s">
        <v>116</v>
      </c>
      <c r="AK46" s="26" t="s">
        <v>116</v>
      </c>
      <c r="AL46" s="26" t="s">
        <v>116</v>
      </c>
      <c r="AM46" s="55">
        <v>45564</v>
      </c>
      <c r="AN46" s="55">
        <v>45711</v>
      </c>
      <c r="AO46" s="26" t="s">
        <v>137</v>
      </c>
      <c r="AP46" s="26" t="s">
        <v>116</v>
      </c>
      <c r="AQ46" s="26" t="s">
        <v>116</v>
      </c>
      <c r="AR46" s="26"/>
      <c r="AS46" s="26" t="s">
        <v>139</v>
      </c>
      <c r="AT46" s="26" t="s">
        <v>139</v>
      </c>
      <c r="AU46" s="26" t="s">
        <v>116</v>
      </c>
      <c r="AV46" s="52" t="e">
        <f t="shared" ca="1" si="2"/>
        <v>#NAME?</v>
      </c>
    </row>
    <row r="47" spans="1:48" ht="13.2" x14ac:dyDescent="0.25">
      <c r="A47" s="53" t="s">
        <v>356</v>
      </c>
      <c r="B47" s="57">
        <v>45793.428478703703</v>
      </c>
      <c r="C47" s="17" t="s">
        <v>357</v>
      </c>
      <c r="D47" s="26" t="s">
        <v>12</v>
      </c>
      <c r="E47" s="17" t="s">
        <v>358</v>
      </c>
      <c r="F47" s="26" t="s">
        <v>359</v>
      </c>
      <c r="G47" s="17" t="s">
        <v>10</v>
      </c>
      <c r="H47" s="26" t="s">
        <v>360</v>
      </c>
      <c r="I47" s="17" t="s">
        <v>114</v>
      </c>
      <c r="J47" s="17" t="s">
        <v>282</v>
      </c>
      <c r="K47" s="26"/>
      <c r="L47" s="19">
        <v>45736</v>
      </c>
      <c r="M47" s="19">
        <v>45736</v>
      </c>
      <c r="N47" s="19">
        <v>45736</v>
      </c>
      <c r="AA47" s="49">
        <f t="shared" si="0"/>
        <v>0</v>
      </c>
      <c r="AB47" s="49">
        <f t="shared" si="1"/>
        <v>0</v>
      </c>
      <c r="AC47" s="17" t="s">
        <v>116</v>
      </c>
      <c r="AD47" s="17" t="s">
        <v>126</v>
      </c>
      <c r="AE47" s="17" t="s">
        <v>118</v>
      </c>
      <c r="AF47" s="17" t="s">
        <v>361</v>
      </c>
      <c r="AG47" s="17" t="s">
        <v>8</v>
      </c>
      <c r="AH47" s="17" t="s">
        <v>116</v>
      </c>
      <c r="AI47" s="17" t="s">
        <v>139</v>
      </c>
      <c r="AJ47" s="17" t="s">
        <v>139</v>
      </c>
      <c r="AK47" s="17" t="s">
        <v>116</v>
      </c>
      <c r="AL47" s="17" t="s">
        <v>362</v>
      </c>
      <c r="AM47" s="19">
        <v>45788</v>
      </c>
      <c r="AN47" s="19">
        <v>45788</v>
      </c>
      <c r="AO47" s="17" t="s">
        <v>115</v>
      </c>
      <c r="AP47" s="17" t="s">
        <v>116</v>
      </c>
      <c r="AQ47" s="17" t="s">
        <v>114</v>
      </c>
      <c r="AR47" s="17" t="s">
        <v>15</v>
      </c>
      <c r="AS47" s="17" t="s">
        <v>139</v>
      </c>
      <c r="AT47" s="17" t="s">
        <v>139</v>
      </c>
      <c r="AU47" s="17" t="s">
        <v>116</v>
      </c>
      <c r="AV47" s="52" t="e">
        <f t="shared" ca="1" si="2"/>
        <v>#NAME?</v>
      </c>
    </row>
    <row r="48" spans="1:48" ht="26.4" x14ac:dyDescent="0.25">
      <c r="A48" s="53" t="s">
        <v>363</v>
      </c>
      <c r="B48" s="57">
        <v>45685.894201238421</v>
      </c>
      <c r="C48" s="17" t="s">
        <v>141</v>
      </c>
      <c r="D48" s="26" t="s">
        <v>12</v>
      </c>
      <c r="E48" s="17" t="s">
        <v>364</v>
      </c>
      <c r="F48" s="26" t="s">
        <v>365</v>
      </c>
      <c r="G48" s="17" t="s">
        <v>7</v>
      </c>
      <c r="H48" s="26" t="s">
        <v>366</v>
      </c>
      <c r="I48" s="17" t="s">
        <v>116</v>
      </c>
      <c r="J48" s="17" t="s">
        <v>367</v>
      </c>
      <c r="K48" s="17" t="s">
        <v>368</v>
      </c>
      <c r="L48" s="19">
        <v>45524</v>
      </c>
      <c r="M48" s="19">
        <v>45524</v>
      </c>
      <c r="N48" s="19">
        <v>45527</v>
      </c>
      <c r="O48" s="17" t="s">
        <v>116</v>
      </c>
      <c r="P48" s="17" t="s">
        <v>116</v>
      </c>
      <c r="Q48" s="17" t="s">
        <v>116</v>
      </c>
      <c r="R48" s="17" t="s">
        <v>116</v>
      </c>
      <c r="S48" s="17" t="s">
        <v>116</v>
      </c>
      <c r="U48" s="17" t="s">
        <v>116</v>
      </c>
      <c r="X48" s="17" t="s">
        <v>116</v>
      </c>
      <c r="Z48" s="49" t="s">
        <v>116</v>
      </c>
      <c r="AA48" s="49">
        <f t="shared" si="0"/>
        <v>8</v>
      </c>
      <c r="AB48" s="49">
        <f t="shared" si="1"/>
        <v>0</v>
      </c>
      <c r="AC48" s="17" t="s">
        <v>116</v>
      </c>
      <c r="AD48" s="17" t="s">
        <v>369</v>
      </c>
      <c r="AE48" s="17" t="s">
        <v>118</v>
      </c>
      <c r="AI48" s="17" t="s">
        <v>139</v>
      </c>
      <c r="AJ48" s="17" t="s">
        <v>139</v>
      </c>
      <c r="AK48" s="17" t="s">
        <v>116</v>
      </c>
      <c r="AL48" s="17" t="s">
        <v>114</v>
      </c>
      <c r="AM48" s="19">
        <v>45536</v>
      </c>
      <c r="AN48" s="19">
        <v>45536</v>
      </c>
      <c r="AO48" s="17" t="s">
        <v>276</v>
      </c>
      <c r="AP48" s="17" t="s">
        <v>116</v>
      </c>
      <c r="AQ48" s="17" t="s">
        <v>116</v>
      </c>
      <c r="AR48" s="17" t="s">
        <v>162</v>
      </c>
      <c r="AS48" s="17" t="s">
        <v>139</v>
      </c>
      <c r="AT48" s="17" t="s">
        <v>139</v>
      </c>
      <c r="AU48" s="17" t="s">
        <v>116</v>
      </c>
      <c r="AV48" s="52" t="e">
        <f t="shared" ca="1" si="2"/>
        <v>#NAME?</v>
      </c>
    </row>
    <row r="49" spans="1:48" ht="13.2" x14ac:dyDescent="0.25">
      <c r="A49" s="53" t="s">
        <v>370</v>
      </c>
      <c r="B49" s="57">
        <v>45685.888552060183</v>
      </c>
      <c r="C49" s="17" t="s">
        <v>141</v>
      </c>
      <c r="D49" s="26" t="s">
        <v>12</v>
      </c>
      <c r="E49" s="17" t="s">
        <v>371</v>
      </c>
      <c r="F49" s="26" t="s">
        <v>264</v>
      </c>
      <c r="G49" s="17" t="s">
        <v>6</v>
      </c>
      <c r="H49" s="26" t="s">
        <v>233</v>
      </c>
      <c r="I49" s="17" t="s">
        <v>114</v>
      </c>
      <c r="J49" s="17" t="s">
        <v>145</v>
      </c>
      <c r="L49" s="19">
        <v>45536</v>
      </c>
      <c r="M49" s="19">
        <v>45536</v>
      </c>
      <c r="N49" s="19">
        <v>45542</v>
      </c>
      <c r="O49" s="17" t="s">
        <v>116</v>
      </c>
      <c r="P49" s="17" t="s">
        <v>116</v>
      </c>
      <c r="Q49" s="17" t="s">
        <v>116</v>
      </c>
      <c r="R49" s="17" t="s">
        <v>116</v>
      </c>
      <c r="S49" s="17" t="s">
        <v>116</v>
      </c>
      <c r="T49" s="17" t="s">
        <v>116</v>
      </c>
      <c r="U49" s="17" t="s">
        <v>116</v>
      </c>
      <c r="V49" s="17" t="s">
        <v>116</v>
      </c>
      <c r="W49" s="17" t="s">
        <v>116</v>
      </c>
      <c r="X49" s="17" t="s">
        <v>116</v>
      </c>
      <c r="Y49" s="17" t="s">
        <v>116</v>
      </c>
      <c r="Z49" s="49" t="s">
        <v>116</v>
      </c>
      <c r="AA49" s="49">
        <f t="shared" si="0"/>
        <v>12</v>
      </c>
      <c r="AB49" s="49">
        <f t="shared" si="1"/>
        <v>0</v>
      </c>
      <c r="AC49" s="17" t="s">
        <v>116</v>
      </c>
      <c r="AD49" s="17" t="s">
        <v>147</v>
      </c>
      <c r="AE49" s="17" t="s">
        <v>118</v>
      </c>
      <c r="AJ49" s="17" t="s">
        <v>139</v>
      </c>
      <c r="AK49" s="17" t="s">
        <v>116</v>
      </c>
      <c r="AL49" s="17" t="s">
        <v>114</v>
      </c>
      <c r="AO49" s="17" t="s">
        <v>130</v>
      </c>
      <c r="AP49" s="17" t="s">
        <v>116</v>
      </c>
      <c r="AQ49" s="17" t="s">
        <v>116</v>
      </c>
      <c r="AR49" s="17" t="s">
        <v>130</v>
      </c>
      <c r="AS49" s="17" t="s">
        <v>139</v>
      </c>
      <c r="AT49" s="17" t="s">
        <v>139</v>
      </c>
      <c r="AU49" s="17" t="s">
        <v>116</v>
      </c>
      <c r="AV49" s="52" t="e">
        <f t="shared" ca="1" si="2"/>
        <v>#NAME?</v>
      </c>
    </row>
    <row r="50" spans="1:48" ht="39.6" x14ac:dyDescent="0.25">
      <c r="A50" s="53" t="s">
        <v>372</v>
      </c>
      <c r="B50" s="57">
        <v>45877.479979930555</v>
      </c>
      <c r="C50" s="17" t="s">
        <v>141</v>
      </c>
      <c r="D50" s="26" t="s">
        <v>12</v>
      </c>
      <c r="E50" s="17" t="s">
        <v>231</v>
      </c>
      <c r="F50" s="26" t="s">
        <v>177</v>
      </c>
      <c r="G50" s="17" t="s">
        <v>6</v>
      </c>
      <c r="H50" s="26" t="s">
        <v>220</v>
      </c>
      <c r="I50" s="17" t="s">
        <v>244</v>
      </c>
      <c r="J50" s="17" t="s">
        <v>373</v>
      </c>
      <c r="K50" s="26" t="s">
        <v>374</v>
      </c>
      <c r="L50" s="19">
        <v>45684</v>
      </c>
      <c r="M50" s="19">
        <v>45684</v>
      </c>
      <c r="N50" s="19">
        <v>45687</v>
      </c>
      <c r="O50" s="17" t="s">
        <v>116</v>
      </c>
      <c r="P50" s="17" t="s">
        <v>116</v>
      </c>
      <c r="Q50" s="17" t="s">
        <v>116</v>
      </c>
      <c r="R50" s="17" t="s">
        <v>116</v>
      </c>
      <c r="S50" s="17" t="s">
        <v>116</v>
      </c>
      <c r="T50" s="17" t="s">
        <v>116</v>
      </c>
      <c r="V50" s="17" t="s">
        <v>116</v>
      </c>
      <c r="W50" s="17" t="s">
        <v>116</v>
      </c>
      <c r="X50" s="17" t="s">
        <v>116</v>
      </c>
      <c r="Z50" s="49" t="s">
        <v>116</v>
      </c>
      <c r="AA50" s="49">
        <f t="shared" si="0"/>
        <v>10</v>
      </c>
      <c r="AB50" s="49">
        <f t="shared" si="1"/>
        <v>0</v>
      </c>
      <c r="AC50" s="17" t="s">
        <v>116</v>
      </c>
      <c r="AD50" s="17" t="s">
        <v>126</v>
      </c>
      <c r="AE50" s="17" t="s">
        <v>118</v>
      </c>
      <c r="AF50" s="17" t="s">
        <v>375</v>
      </c>
      <c r="AG50" s="17" t="s">
        <v>6</v>
      </c>
      <c r="AH50" s="17" t="s">
        <v>116</v>
      </c>
      <c r="AI50" s="17" t="s">
        <v>139</v>
      </c>
      <c r="AJ50" s="17" t="s">
        <v>139</v>
      </c>
      <c r="AK50" s="17" t="s">
        <v>116</v>
      </c>
      <c r="AL50" s="17" t="s">
        <v>114</v>
      </c>
      <c r="AM50" s="19">
        <v>45697</v>
      </c>
      <c r="AN50" s="19">
        <v>45711</v>
      </c>
      <c r="AO50" s="17" t="s">
        <v>245</v>
      </c>
      <c r="AP50" s="17" t="s">
        <v>116</v>
      </c>
      <c r="AQ50" s="17" t="s">
        <v>116</v>
      </c>
      <c r="AR50" s="17" t="s">
        <v>376</v>
      </c>
      <c r="AS50" s="17" t="s">
        <v>139</v>
      </c>
      <c r="AT50" s="17" t="s">
        <v>139</v>
      </c>
      <c r="AU50" s="17" t="s">
        <v>116</v>
      </c>
      <c r="AV50" s="52" t="e">
        <f t="shared" ca="1" si="2"/>
        <v>#NAME?</v>
      </c>
    </row>
    <row r="51" spans="1:48" ht="52.8" x14ac:dyDescent="0.25">
      <c r="A51" s="53" t="s">
        <v>377</v>
      </c>
      <c r="B51" s="57">
        <v>45736.871662916667</v>
      </c>
      <c r="C51" s="17" t="s">
        <v>141</v>
      </c>
      <c r="D51" s="26" t="s">
        <v>12</v>
      </c>
      <c r="E51" s="17" t="s">
        <v>371</v>
      </c>
      <c r="F51" s="17" t="s">
        <v>264</v>
      </c>
      <c r="G51" s="17" t="s">
        <v>6</v>
      </c>
      <c r="H51" s="17" t="s">
        <v>264</v>
      </c>
      <c r="I51" s="17" t="s">
        <v>116</v>
      </c>
      <c r="J51" s="17" t="s">
        <v>373</v>
      </c>
      <c r="K51" s="26" t="s">
        <v>378</v>
      </c>
      <c r="L51" s="19">
        <v>45684</v>
      </c>
      <c r="M51" s="19">
        <v>45684</v>
      </c>
      <c r="N51" s="19">
        <v>45687</v>
      </c>
      <c r="O51" s="17" t="s">
        <v>116</v>
      </c>
      <c r="P51" s="17" t="s">
        <v>116</v>
      </c>
      <c r="Q51" s="17" t="s">
        <v>116</v>
      </c>
      <c r="R51" s="17" t="s">
        <v>116</v>
      </c>
      <c r="S51" s="17" t="s">
        <v>116</v>
      </c>
      <c r="T51" s="17" t="s">
        <v>116</v>
      </c>
      <c r="V51" s="17" t="s">
        <v>116</v>
      </c>
      <c r="W51" s="17" t="s">
        <v>116</v>
      </c>
      <c r="X51" s="17" t="s">
        <v>116</v>
      </c>
      <c r="Z51" s="49" t="s">
        <v>116</v>
      </c>
      <c r="AA51" s="49">
        <f t="shared" si="0"/>
        <v>10</v>
      </c>
      <c r="AB51" s="49">
        <f t="shared" si="1"/>
        <v>0</v>
      </c>
      <c r="AC51" s="17" t="s">
        <v>116</v>
      </c>
      <c r="AD51" s="17" t="s">
        <v>126</v>
      </c>
      <c r="AE51" s="17" t="s">
        <v>118</v>
      </c>
      <c r="AF51" s="17" t="s">
        <v>379</v>
      </c>
      <c r="AG51" s="17" t="s">
        <v>6</v>
      </c>
      <c r="AK51" s="17" t="s">
        <v>116</v>
      </c>
      <c r="AL51" s="17" t="s">
        <v>114</v>
      </c>
      <c r="AM51" s="19">
        <v>45697</v>
      </c>
      <c r="AN51" s="19">
        <v>45697</v>
      </c>
      <c r="AP51" s="17" t="s">
        <v>116</v>
      </c>
      <c r="AQ51" s="17" t="s">
        <v>116</v>
      </c>
      <c r="AU51" s="17" t="s">
        <v>116</v>
      </c>
      <c r="AV51" s="52" t="e">
        <f t="shared" ca="1" si="2"/>
        <v>#NAME?</v>
      </c>
    </row>
    <row r="52" spans="1:48" ht="26.4" x14ac:dyDescent="0.25">
      <c r="A52" s="53" t="s">
        <v>380</v>
      </c>
      <c r="B52" s="57">
        <v>45711.414166423609</v>
      </c>
      <c r="C52" s="17" t="s">
        <v>141</v>
      </c>
      <c r="D52" s="26" t="s">
        <v>12</v>
      </c>
      <c r="E52" s="17" t="s">
        <v>381</v>
      </c>
      <c r="F52" s="17" t="s">
        <v>382</v>
      </c>
      <c r="G52" s="17" t="s">
        <v>9</v>
      </c>
      <c r="H52" s="17" t="s">
        <v>383</v>
      </c>
      <c r="I52" s="17" t="s">
        <v>116</v>
      </c>
      <c r="J52" s="17" t="s">
        <v>282</v>
      </c>
      <c r="K52" s="26"/>
      <c r="L52" s="19">
        <v>45666</v>
      </c>
      <c r="M52" s="19">
        <v>45666</v>
      </c>
      <c r="N52" s="19">
        <v>45666</v>
      </c>
      <c r="AA52" s="49">
        <f t="shared" si="0"/>
        <v>0</v>
      </c>
      <c r="AB52" s="49">
        <f t="shared" si="1"/>
        <v>0</v>
      </c>
      <c r="AC52" s="17" t="s">
        <v>116</v>
      </c>
      <c r="AD52" s="17" t="s">
        <v>159</v>
      </c>
      <c r="AE52" s="17" t="s">
        <v>118</v>
      </c>
      <c r="AI52" s="17" t="s">
        <v>139</v>
      </c>
      <c r="AJ52" s="17" t="s">
        <v>139</v>
      </c>
      <c r="AK52" s="17" t="s">
        <v>116</v>
      </c>
      <c r="AL52" s="17" t="s">
        <v>116</v>
      </c>
      <c r="AM52" s="19">
        <v>45690</v>
      </c>
      <c r="AN52" s="19">
        <v>45690</v>
      </c>
      <c r="AO52" s="17" t="s">
        <v>282</v>
      </c>
      <c r="AP52" s="17" t="s">
        <v>116</v>
      </c>
      <c r="AQ52" s="17" t="s">
        <v>116</v>
      </c>
      <c r="AR52" s="17" t="s">
        <v>384</v>
      </c>
      <c r="AS52" s="17" t="s">
        <v>139</v>
      </c>
      <c r="AT52" s="17" t="s">
        <v>139</v>
      </c>
      <c r="AU52" s="17" t="s">
        <v>116</v>
      </c>
      <c r="AV52" s="52" t="e">
        <f t="shared" ca="1" si="2"/>
        <v>#NAME?</v>
      </c>
    </row>
    <row r="53" spans="1:48" ht="39.6" x14ac:dyDescent="0.25">
      <c r="A53" s="53" t="s">
        <v>385</v>
      </c>
      <c r="B53" s="57">
        <v>46047.488102013886</v>
      </c>
      <c r="C53" s="17" t="s">
        <v>141</v>
      </c>
      <c r="D53" s="26" t="s">
        <v>12</v>
      </c>
      <c r="E53" s="17" t="s">
        <v>175</v>
      </c>
      <c r="F53" s="26" t="s">
        <v>156</v>
      </c>
      <c r="G53" s="17" t="s">
        <v>9</v>
      </c>
      <c r="H53" s="26" t="s">
        <v>386</v>
      </c>
      <c r="I53" s="17" t="s">
        <v>116</v>
      </c>
      <c r="J53" s="17" t="s">
        <v>184</v>
      </c>
      <c r="K53" s="26" t="s">
        <v>387</v>
      </c>
      <c r="L53" s="19">
        <v>45690</v>
      </c>
      <c r="M53" s="19">
        <v>45690</v>
      </c>
      <c r="N53" s="19">
        <v>45690</v>
      </c>
      <c r="O53" s="17" t="s">
        <v>116</v>
      </c>
      <c r="P53" s="17" t="s">
        <v>116</v>
      </c>
      <c r="Q53" s="17" t="s">
        <v>116</v>
      </c>
      <c r="R53" s="17" t="s">
        <v>116</v>
      </c>
      <c r="S53" s="17" t="s">
        <v>116</v>
      </c>
      <c r="T53" s="17" t="s">
        <v>116</v>
      </c>
      <c r="U53" s="17" t="s">
        <v>116</v>
      </c>
      <c r="V53" s="17" t="s">
        <v>116</v>
      </c>
      <c r="W53" s="17" t="s">
        <v>116</v>
      </c>
      <c r="X53" s="17" t="s">
        <v>116</v>
      </c>
      <c r="Z53" s="49" t="s">
        <v>116</v>
      </c>
      <c r="AA53" s="49">
        <f t="shared" si="0"/>
        <v>11</v>
      </c>
      <c r="AB53" s="49">
        <f t="shared" si="1"/>
        <v>0</v>
      </c>
      <c r="AC53" s="17" t="s">
        <v>116</v>
      </c>
      <c r="AD53" s="17" t="s">
        <v>159</v>
      </c>
      <c r="AE53" s="17" t="s">
        <v>118</v>
      </c>
      <c r="AF53" s="17" t="s">
        <v>178</v>
      </c>
      <c r="AG53" s="17" t="s">
        <v>9</v>
      </c>
      <c r="AH53" s="17" t="s">
        <v>116</v>
      </c>
      <c r="AK53" s="17" t="s">
        <v>116</v>
      </c>
      <c r="AL53" s="17" t="s">
        <v>388</v>
      </c>
      <c r="AM53" s="19">
        <v>45732</v>
      </c>
      <c r="AN53" s="19">
        <v>45732</v>
      </c>
      <c r="AO53" s="17" t="s">
        <v>159</v>
      </c>
      <c r="AP53" s="17" t="s">
        <v>116</v>
      </c>
      <c r="AQ53" s="17" t="s">
        <v>116</v>
      </c>
      <c r="AR53" s="17" t="s">
        <v>389</v>
      </c>
      <c r="AS53" s="17" t="s">
        <v>139</v>
      </c>
      <c r="AT53" s="17" t="s">
        <v>139</v>
      </c>
      <c r="AU53" s="17" t="s">
        <v>116</v>
      </c>
      <c r="AV53" s="58" t="s">
        <v>390</v>
      </c>
    </row>
    <row r="54" spans="1:48" ht="13.2" x14ac:dyDescent="0.25">
      <c r="A54" s="53" t="s">
        <v>391</v>
      </c>
      <c r="B54" s="57">
        <v>45729.879062754626</v>
      </c>
      <c r="C54" s="17" t="s">
        <v>141</v>
      </c>
      <c r="D54" s="26" t="s">
        <v>240</v>
      </c>
      <c r="E54" s="17" t="s">
        <v>392</v>
      </c>
      <c r="F54" s="17" t="s">
        <v>20</v>
      </c>
      <c r="G54" s="17" t="s">
        <v>10</v>
      </c>
      <c r="H54" s="17" t="s">
        <v>393</v>
      </c>
      <c r="I54" s="17" t="s">
        <v>116</v>
      </c>
      <c r="J54" s="17" t="s">
        <v>282</v>
      </c>
      <c r="K54" s="26"/>
      <c r="L54" s="19">
        <v>45690</v>
      </c>
      <c r="M54" s="19">
        <v>45690</v>
      </c>
      <c r="N54" s="19">
        <v>45694</v>
      </c>
      <c r="AA54" s="49">
        <f t="shared" si="0"/>
        <v>0</v>
      </c>
      <c r="AB54" s="49">
        <f t="shared" si="1"/>
        <v>0</v>
      </c>
      <c r="AC54" s="17" t="s">
        <v>116</v>
      </c>
      <c r="AD54" s="17" t="s">
        <v>117</v>
      </c>
      <c r="AE54" s="17" t="s">
        <v>240</v>
      </c>
      <c r="AV54" s="52" t="e">
        <f t="shared" ref="AV54:AV55" ca="1" si="3">geturl(A54)</f>
        <v>#NAME?</v>
      </c>
    </row>
    <row r="55" spans="1:48" ht="26.4" x14ac:dyDescent="0.25">
      <c r="A55" s="53" t="s">
        <v>394</v>
      </c>
      <c r="B55" s="57">
        <v>45774.689544733796</v>
      </c>
      <c r="C55" s="17" t="s">
        <v>141</v>
      </c>
      <c r="D55" s="26" t="s">
        <v>12</v>
      </c>
      <c r="E55" s="17" t="s">
        <v>395</v>
      </c>
      <c r="F55" s="26" t="s">
        <v>396</v>
      </c>
      <c r="G55" s="17" t="s">
        <v>5</v>
      </c>
      <c r="H55" s="26" t="s">
        <v>113</v>
      </c>
      <c r="I55" s="17" t="s">
        <v>114</v>
      </c>
      <c r="J55" s="17" t="s">
        <v>293</v>
      </c>
      <c r="K55" s="26"/>
      <c r="L55" s="19">
        <v>45690</v>
      </c>
      <c r="M55" s="19">
        <v>45690</v>
      </c>
      <c r="N55" s="19">
        <v>45694</v>
      </c>
      <c r="AA55" s="49">
        <f t="shared" si="0"/>
        <v>0</v>
      </c>
      <c r="AB55" s="49">
        <f t="shared" si="1"/>
        <v>0</v>
      </c>
      <c r="AC55" s="17" t="s">
        <v>116</v>
      </c>
      <c r="AD55" s="17" t="s">
        <v>126</v>
      </c>
      <c r="AE55" s="17" t="s">
        <v>118</v>
      </c>
      <c r="AF55" s="17" t="s">
        <v>290</v>
      </c>
      <c r="AG55" s="17" t="s">
        <v>5</v>
      </c>
      <c r="AH55" s="17" t="s">
        <v>116</v>
      </c>
      <c r="AI55" s="17" t="s">
        <v>139</v>
      </c>
      <c r="AJ55" s="17" t="s">
        <v>139</v>
      </c>
      <c r="AK55" s="17" t="s">
        <v>116</v>
      </c>
      <c r="AL55" s="17" t="s">
        <v>388</v>
      </c>
      <c r="AM55" s="19">
        <v>45739</v>
      </c>
      <c r="AN55" s="19">
        <v>45739</v>
      </c>
      <c r="AO55" s="17" t="s">
        <v>137</v>
      </c>
      <c r="AP55" s="17" t="s">
        <v>116</v>
      </c>
      <c r="AQ55" s="17" t="s">
        <v>116</v>
      </c>
      <c r="AR55" s="17" t="s">
        <v>293</v>
      </c>
      <c r="AS55" s="17" t="s">
        <v>116</v>
      </c>
      <c r="AT55" s="17" t="s">
        <v>139</v>
      </c>
      <c r="AU55" s="17" t="s">
        <v>116</v>
      </c>
      <c r="AV55" s="52" t="e">
        <f t="shared" ca="1" si="3"/>
        <v>#NAME?</v>
      </c>
    </row>
    <row r="56" spans="1:48" ht="26.4" x14ac:dyDescent="0.25">
      <c r="A56" s="53" t="s">
        <v>397</v>
      </c>
      <c r="B56" s="57">
        <v>46047.48907210648</v>
      </c>
      <c r="C56" s="17" t="s">
        <v>141</v>
      </c>
      <c r="D56" s="17" t="s">
        <v>12</v>
      </c>
      <c r="E56" s="17" t="s">
        <v>305</v>
      </c>
      <c r="F56" s="26" t="s">
        <v>396</v>
      </c>
      <c r="G56" s="17" t="s">
        <v>9</v>
      </c>
      <c r="H56" s="26" t="s">
        <v>199</v>
      </c>
      <c r="I56" s="17" t="s">
        <v>114</v>
      </c>
      <c r="J56" s="17" t="s">
        <v>398</v>
      </c>
      <c r="K56" s="26"/>
      <c r="L56" s="19">
        <v>45698</v>
      </c>
      <c r="M56" s="19">
        <v>45698</v>
      </c>
      <c r="N56" s="19">
        <v>45700</v>
      </c>
      <c r="O56" s="17" t="s">
        <v>116</v>
      </c>
      <c r="P56" s="17" t="s">
        <v>116</v>
      </c>
      <c r="Q56" s="17" t="s">
        <v>116</v>
      </c>
      <c r="R56" s="17" t="s">
        <v>116</v>
      </c>
      <c r="S56" s="17" t="s">
        <v>116</v>
      </c>
      <c r="T56" s="17" t="s">
        <v>116</v>
      </c>
      <c r="U56" s="17" t="s">
        <v>116</v>
      </c>
      <c r="V56" s="17" t="s">
        <v>116</v>
      </c>
      <c r="W56" s="17" t="s">
        <v>116</v>
      </c>
      <c r="X56" s="17" t="s">
        <v>116</v>
      </c>
      <c r="Z56" s="49" t="s">
        <v>116</v>
      </c>
      <c r="AA56" s="49">
        <f t="shared" si="0"/>
        <v>11</v>
      </c>
      <c r="AB56" s="49">
        <f t="shared" si="1"/>
        <v>0</v>
      </c>
      <c r="AC56" s="17" t="s">
        <v>116</v>
      </c>
      <c r="AD56" s="17"/>
      <c r="AE56" s="17" t="s">
        <v>118</v>
      </c>
      <c r="AF56" s="17" t="s">
        <v>199</v>
      </c>
      <c r="AH56" s="17" t="s">
        <v>116</v>
      </c>
      <c r="AI56" s="17" t="s">
        <v>139</v>
      </c>
      <c r="AJ56" s="17" t="s">
        <v>139</v>
      </c>
      <c r="AK56" s="17" t="s">
        <v>116</v>
      </c>
      <c r="AL56" s="17" t="s">
        <v>388</v>
      </c>
      <c r="AM56" s="19">
        <v>45732</v>
      </c>
      <c r="AN56" s="19">
        <v>45732</v>
      </c>
      <c r="AO56" s="17"/>
      <c r="AP56" s="17" t="s">
        <v>116</v>
      </c>
      <c r="AQ56" s="17" t="s">
        <v>116</v>
      </c>
      <c r="AR56" s="17" t="s">
        <v>389</v>
      </c>
      <c r="AS56" s="17" t="s">
        <v>114</v>
      </c>
      <c r="AT56" s="17" t="s">
        <v>139</v>
      </c>
      <c r="AU56" s="17" t="s">
        <v>116</v>
      </c>
      <c r="AV56" s="58" t="s">
        <v>399</v>
      </c>
    </row>
    <row r="57" spans="1:48" ht="13.2" x14ac:dyDescent="0.25">
      <c r="A57" s="53" t="s">
        <v>400</v>
      </c>
      <c r="B57" s="57">
        <v>46047.488634143519</v>
      </c>
      <c r="C57" s="17" t="s">
        <v>141</v>
      </c>
      <c r="D57" s="17" t="s">
        <v>12</v>
      </c>
      <c r="E57" s="17" t="s">
        <v>401</v>
      </c>
      <c r="F57" s="26" t="s">
        <v>386</v>
      </c>
      <c r="G57" s="17" t="s">
        <v>9</v>
      </c>
      <c r="H57" s="26" t="s">
        <v>199</v>
      </c>
      <c r="I57" s="17" t="s">
        <v>114</v>
      </c>
      <c r="J57" s="17" t="s">
        <v>175</v>
      </c>
      <c r="K57" s="26"/>
      <c r="L57" s="19">
        <v>45698</v>
      </c>
      <c r="M57" s="19">
        <v>45698</v>
      </c>
      <c r="N57" s="19">
        <v>45700</v>
      </c>
      <c r="O57" s="17" t="s">
        <v>116</v>
      </c>
      <c r="P57" s="17" t="s">
        <v>116</v>
      </c>
      <c r="Q57" s="17" t="s">
        <v>116</v>
      </c>
      <c r="R57" s="17" t="s">
        <v>116</v>
      </c>
      <c r="S57" s="17" t="s">
        <v>116</v>
      </c>
      <c r="T57" s="17" t="s">
        <v>116</v>
      </c>
      <c r="U57" s="17" t="s">
        <v>116</v>
      </c>
      <c r="V57" s="17" t="s">
        <v>116</v>
      </c>
      <c r="W57" s="17" t="s">
        <v>116</v>
      </c>
      <c r="X57" s="17" t="s">
        <v>116</v>
      </c>
      <c r="Z57" s="49" t="s">
        <v>116</v>
      </c>
      <c r="AA57" s="49">
        <f t="shared" si="0"/>
        <v>11</v>
      </c>
      <c r="AB57" s="49">
        <f t="shared" si="1"/>
        <v>0</v>
      </c>
      <c r="AC57" s="17" t="s">
        <v>116</v>
      </c>
      <c r="AD57" s="17" t="s">
        <v>126</v>
      </c>
      <c r="AE57" s="17" t="s">
        <v>118</v>
      </c>
      <c r="AF57" s="17" t="s">
        <v>175</v>
      </c>
      <c r="AG57" s="17" t="s">
        <v>9</v>
      </c>
      <c r="AH57" s="17" t="s">
        <v>116</v>
      </c>
      <c r="AI57" s="17" t="s">
        <v>139</v>
      </c>
      <c r="AJ57" s="17" t="s">
        <v>139</v>
      </c>
      <c r="AK57" s="17" t="s">
        <v>116</v>
      </c>
      <c r="AL57" s="17" t="s">
        <v>388</v>
      </c>
      <c r="AM57" s="19">
        <v>45732</v>
      </c>
      <c r="AN57" s="19">
        <v>45732</v>
      </c>
      <c r="AO57" s="17"/>
      <c r="AP57" s="17" t="s">
        <v>116</v>
      </c>
      <c r="AQ57" s="17" t="s">
        <v>116</v>
      </c>
      <c r="AR57" s="17" t="s">
        <v>389</v>
      </c>
      <c r="AS57" s="17" t="s">
        <v>116</v>
      </c>
      <c r="AT57" s="17" t="s">
        <v>139</v>
      </c>
      <c r="AU57" s="17" t="s">
        <v>116</v>
      </c>
      <c r="AV57" s="58" t="s">
        <v>402</v>
      </c>
    </row>
    <row r="58" spans="1:48" ht="13.2" x14ac:dyDescent="0.25">
      <c r="A58" s="53" t="s">
        <v>403</v>
      </c>
      <c r="B58" s="57">
        <v>45750.938745902778</v>
      </c>
      <c r="C58" s="17" t="s">
        <v>141</v>
      </c>
      <c r="D58" s="17" t="s">
        <v>12</v>
      </c>
      <c r="E58" s="17" t="s">
        <v>248</v>
      </c>
      <c r="F58" s="26" t="s">
        <v>220</v>
      </c>
      <c r="G58" s="17" t="s">
        <v>6</v>
      </c>
      <c r="H58" s="26" t="s">
        <v>143</v>
      </c>
      <c r="I58" s="17" t="s">
        <v>116</v>
      </c>
      <c r="J58" s="17" t="s">
        <v>145</v>
      </c>
      <c r="K58" s="26"/>
      <c r="L58" s="19">
        <v>45698</v>
      </c>
      <c r="M58" s="19">
        <v>45697</v>
      </c>
      <c r="N58" s="19">
        <v>45700</v>
      </c>
      <c r="O58" s="17" t="s">
        <v>116</v>
      </c>
      <c r="P58" s="17" t="s">
        <v>116</v>
      </c>
      <c r="Q58" s="17" t="s">
        <v>116</v>
      </c>
      <c r="R58" s="17" t="s">
        <v>116</v>
      </c>
      <c r="S58" s="17" t="s">
        <v>116</v>
      </c>
      <c r="T58" s="17" t="s">
        <v>116</v>
      </c>
      <c r="U58" s="17" t="s">
        <v>116</v>
      </c>
      <c r="V58" s="17" t="s">
        <v>116</v>
      </c>
      <c r="W58" s="17" t="s">
        <v>116</v>
      </c>
      <c r="X58" s="17" t="s">
        <v>116</v>
      </c>
      <c r="Z58" s="49" t="s">
        <v>116</v>
      </c>
      <c r="AA58" s="49">
        <f t="shared" si="0"/>
        <v>11</v>
      </c>
      <c r="AB58" s="49">
        <f t="shared" si="1"/>
        <v>0</v>
      </c>
      <c r="AC58" s="17" t="s">
        <v>116</v>
      </c>
      <c r="AD58" s="17" t="s">
        <v>147</v>
      </c>
      <c r="AE58" s="17" t="s">
        <v>118</v>
      </c>
      <c r="AF58" s="17" t="s">
        <v>231</v>
      </c>
      <c r="AG58" s="17" t="s">
        <v>6</v>
      </c>
      <c r="AH58" s="17" t="s">
        <v>116</v>
      </c>
      <c r="AI58" s="17" t="s">
        <v>139</v>
      </c>
      <c r="AJ58" s="17" t="s">
        <v>139</v>
      </c>
      <c r="AK58" s="17" t="s">
        <v>116</v>
      </c>
      <c r="AL58" s="17" t="s">
        <v>114</v>
      </c>
      <c r="AM58" s="19">
        <v>45718</v>
      </c>
      <c r="AN58" s="19">
        <v>45725</v>
      </c>
      <c r="AO58" s="17" t="s">
        <v>376</v>
      </c>
      <c r="AP58" s="17" t="s">
        <v>116</v>
      </c>
      <c r="AQ58" s="17" t="s">
        <v>116</v>
      </c>
      <c r="AR58" s="17" t="s">
        <v>149</v>
      </c>
      <c r="AS58" s="17" t="s">
        <v>139</v>
      </c>
      <c r="AT58" s="17" t="s">
        <v>139</v>
      </c>
      <c r="AU58" s="17" t="s">
        <v>116</v>
      </c>
      <c r="AV58" s="52" t="e">
        <f t="shared" ref="AV58:AV61" ca="1" si="4">geturl(A58)</f>
        <v>#NAME?</v>
      </c>
    </row>
    <row r="59" spans="1:48" ht="26.4" x14ac:dyDescent="0.25">
      <c r="A59" s="53" t="s">
        <v>404</v>
      </c>
      <c r="B59" s="57">
        <v>45877.467378020832</v>
      </c>
      <c r="C59" s="17" t="s">
        <v>141</v>
      </c>
      <c r="D59" s="17" t="s">
        <v>12</v>
      </c>
      <c r="E59" s="17" t="s">
        <v>151</v>
      </c>
      <c r="F59" s="26" t="s">
        <v>227</v>
      </c>
      <c r="G59" s="17" t="s">
        <v>6</v>
      </c>
      <c r="H59" s="26" t="s">
        <v>405</v>
      </c>
      <c r="I59" s="17" t="s">
        <v>116</v>
      </c>
      <c r="J59" s="17" t="s">
        <v>145</v>
      </c>
      <c r="K59" s="26"/>
      <c r="L59" s="19">
        <v>45698</v>
      </c>
      <c r="M59" s="19">
        <v>45697</v>
      </c>
      <c r="N59" s="19">
        <v>45700</v>
      </c>
      <c r="O59" s="17" t="s">
        <v>116</v>
      </c>
      <c r="P59" s="17" t="s">
        <v>116</v>
      </c>
      <c r="Q59" s="17" t="s">
        <v>116</v>
      </c>
      <c r="R59" s="17" t="s">
        <v>116</v>
      </c>
      <c r="S59" s="17" t="s">
        <v>116</v>
      </c>
      <c r="T59" s="17" t="s">
        <v>116</v>
      </c>
      <c r="U59" s="17" t="s">
        <v>116</v>
      </c>
      <c r="V59" s="17" t="s">
        <v>116</v>
      </c>
      <c r="W59" s="17" t="s">
        <v>116</v>
      </c>
      <c r="X59" s="17" t="s">
        <v>116</v>
      </c>
      <c r="Z59" s="49" t="s">
        <v>116</v>
      </c>
      <c r="AA59" s="49">
        <f t="shared" si="0"/>
        <v>11</v>
      </c>
      <c r="AB59" s="49">
        <f t="shared" si="1"/>
        <v>0</v>
      </c>
      <c r="AC59" s="17" t="s">
        <v>116</v>
      </c>
      <c r="AD59" s="17" t="s">
        <v>147</v>
      </c>
      <c r="AE59" s="17" t="s">
        <v>118</v>
      </c>
      <c r="AF59" s="17" t="s">
        <v>248</v>
      </c>
      <c r="AG59" s="17" t="s">
        <v>6</v>
      </c>
      <c r="AH59" s="17" t="s">
        <v>116</v>
      </c>
      <c r="AI59" s="17" t="s">
        <v>139</v>
      </c>
      <c r="AJ59" s="17" t="s">
        <v>139</v>
      </c>
      <c r="AK59" s="17" t="s">
        <v>116</v>
      </c>
      <c r="AL59" s="17" t="s">
        <v>114</v>
      </c>
      <c r="AM59" s="19">
        <v>45718</v>
      </c>
      <c r="AN59" s="19">
        <v>45718</v>
      </c>
      <c r="AO59" s="17" t="s">
        <v>333</v>
      </c>
      <c r="AP59" s="17" t="s">
        <v>116</v>
      </c>
      <c r="AQ59" s="17" t="s">
        <v>116</v>
      </c>
      <c r="AR59" s="17" t="s">
        <v>406</v>
      </c>
      <c r="AS59" s="17" t="s">
        <v>139</v>
      </c>
      <c r="AT59" s="17" t="s">
        <v>139</v>
      </c>
      <c r="AU59" s="17" t="s">
        <v>116</v>
      </c>
      <c r="AV59" s="52" t="e">
        <f t="shared" ca="1" si="4"/>
        <v>#NAME?</v>
      </c>
    </row>
    <row r="60" spans="1:48" ht="26.4" x14ac:dyDescent="0.25">
      <c r="A60" s="53" t="s">
        <v>407</v>
      </c>
      <c r="B60" s="57">
        <v>45729.879412835653</v>
      </c>
      <c r="C60" s="17" t="s">
        <v>141</v>
      </c>
      <c r="D60" s="17" t="s">
        <v>240</v>
      </c>
      <c r="E60" s="17" t="s">
        <v>408</v>
      </c>
      <c r="F60" s="17" t="s">
        <v>405</v>
      </c>
      <c r="G60" s="17" t="s">
        <v>6</v>
      </c>
      <c r="H60" s="17" t="s">
        <v>409</v>
      </c>
      <c r="I60" s="17" t="s">
        <v>244</v>
      </c>
      <c r="J60" s="17" t="s">
        <v>145</v>
      </c>
      <c r="K60" s="26"/>
      <c r="L60" s="19">
        <v>45698</v>
      </c>
      <c r="M60" s="19">
        <v>45697</v>
      </c>
      <c r="N60" s="19">
        <v>45700</v>
      </c>
      <c r="O60" s="17" t="s">
        <v>116</v>
      </c>
      <c r="P60" s="17" t="s">
        <v>116</v>
      </c>
      <c r="Q60" s="17" t="s">
        <v>116</v>
      </c>
      <c r="R60" s="17" t="s">
        <v>116</v>
      </c>
      <c r="S60" s="17" t="s">
        <v>116</v>
      </c>
      <c r="T60" s="17" t="s">
        <v>116</v>
      </c>
      <c r="U60" s="17" t="s">
        <v>116</v>
      </c>
      <c r="V60" s="17" t="s">
        <v>116</v>
      </c>
      <c r="W60" s="17" t="s">
        <v>116</v>
      </c>
      <c r="X60" s="17" t="s">
        <v>116</v>
      </c>
      <c r="Z60" s="49" t="s">
        <v>116</v>
      </c>
      <c r="AA60" s="49">
        <f t="shared" si="0"/>
        <v>11</v>
      </c>
      <c r="AB60" s="49">
        <f t="shared" si="1"/>
        <v>0</v>
      </c>
      <c r="AC60" s="17" t="s">
        <v>116</v>
      </c>
      <c r="AD60" s="17" t="s">
        <v>147</v>
      </c>
      <c r="AE60" s="17" t="s">
        <v>240</v>
      </c>
      <c r="AF60" s="17" t="s">
        <v>151</v>
      </c>
      <c r="AG60" s="17" t="s">
        <v>6</v>
      </c>
      <c r="AV60" s="52" t="e">
        <f t="shared" ca="1" si="4"/>
        <v>#NAME?</v>
      </c>
    </row>
    <row r="61" spans="1:48" ht="13.2" x14ac:dyDescent="0.25">
      <c r="A61" s="53" t="s">
        <v>410</v>
      </c>
      <c r="B61" s="57">
        <v>45816.566429699073</v>
      </c>
      <c r="C61" s="17" t="s">
        <v>141</v>
      </c>
      <c r="D61" s="17" t="s">
        <v>12</v>
      </c>
      <c r="E61" s="17" t="s">
        <v>299</v>
      </c>
      <c r="F61" s="26" t="s">
        <v>349</v>
      </c>
      <c r="G61" s="17" t="s">
        <v>3</v>
      </c>
      <c r="H61" s="26" t="s">
        <v>386</v>
      </c>
      <c r="I61" s="17" t="s">
        <v>116</v>
      </c>
      <c r="J61" s="17" t="s">
        <v>338</v>
      </c>
      <c r="K61" s="26"/>
      <c r="L61" s="19">
        <v>45698</v>
      </c>
      <c r="M61" s="19">
        <v>45697</v>
      </c>
      <c r="N61" s="19">
        <v>45700</v>
      </c>
      <c r="O61" s="17" t="s">
        <v>116</v>
      </c>
      <c r="P61" s="17" t="s">
        <v>116</v>
      </c>
      <c r="Q61" s="17" t="s">
        <v>116</v>
      </c>
      <c r="R61" s="17" t="s">
        <v>116</v>
      </c>
      <c r="S61" s="17" t="s">
        <v>116</v>
      </c>
      <c r="T61" s="17" t="s">
        <v>116</v>
      </c>
      <c r="U61" s="17" t="s">
        <v>116</v>
      </c>
      <c r="V61" s="17" t="s">
        <v>116</v>
      </c>
      <c r="W61" s="17" t="s">
        <v>116</v>
      </c>
      <c r="X61" s="17" t="s">
        <v>116</v>
      </c>
      <c r="Z61" s="49" t="s">
        <v>116</v>
      </c>
      <c r="AA61" s="49">
        <f t="shared" si="0"/>
        <v>11</v>
      </c>
      <c r="AB61" s="49">
        <f t="shared" si="1"/>
        <v>0</v>
      </c>
      <c r="AC61" s="17" t="s">
        <v>116</v>
      </c>
      <c r="AD61" s="17" t="s">
        <v>159</v>
      </c>
      <c r="AE61" s="17" t="s">
        <v>118</v>
      </c>
      <c r="AF61" s="17" t="s">
        <v>411</v>
      </c>
      <c r="AG61" s="17" t="s">
        <v>3</v>
      </c>
      <c r="AH61" s="17" t="s">
        <v>116</v>
      </c>
      <c r="AI61" s="17" t="s">
        <v>139</v>
      </c>
      <c r="AJ61" s="17" t="s">
        <v>139</v>
      </c>
      <c r="AK61" s="17" t="s">
        <v>116</v>
      </c>
      <c r="AL61" s="17" t="s">
        <v>388</v>
      </c>
      <c r="AM61" s="19">
        <v>45746</v>
      </c>
      <c r="AN61" s="19">
        <v>45746</v>
      </c>
      <c r="AO61" s="17" t="s">
        <v>115</v>
      </c>
      <c r="AP61" s="17" t="s">
        <v>116</v>
      </c>
      <c r="AQ61" s="17" t="s">
        <v>116</v>
      </c>
      <c r="AR61" s="17" t="s">
        <v>412</v>
      </c>
      <c r="AS61" s="17" t="s">
        <v>139</v>
      </c>
      <c r="AT61" s="17" t="s">
        <v>139</v>
      </c>
      <c r="AU61" s="17" t="s">
        <v>116</v>
      </c>
      <c r="AV61" s="52" t="e">
        <f t="shared" ca="1" si="4"/>
        <v>#NAME?</v>
      </c>
    </row>
    <row r="62" spans="1:48" ht="26.4" x14ac:dyDescent="0.25">
      <c r="A62" s="53" t="s">
        <v>413</v>
      </c>
      <c r="B62" s="57">
        <v>46060.607558877316</v>
      </c>
      <c r="C62" s="17" t="s">
        <v>141</v>
      </c>
      <c r="D62" s="17" t="s">
        <v>12</v>
      </c>
      <c r="E62" s="17" t="s">
        <v>414</v>
      </c>
      <c r="F62" s="26" t="s">
        <v>415</v>
      </c>
      <c r="G62" s="17" t="s">
        <v>4</v>
      </c>
      <c r="H62" s="26" t="s">
        <v>416</v>
      </c>
      <c r="I62" s="17" t="s">
        <v>116</v>
      </c>
      <c r="J62" s="17" t="s">
        <v>282</v>
      </c>
      <c r="K62" s="17"/>
      <c r="L62" s="19">
        <v>45722</v>
      </c>
      <c r="M62" s="19">
        <v>45722</v>
      </c>
      <c r="N62" s="19">
        <v>45724</v>
      </c>
      <c r="O62" s="17" t="s">
        <v>116</v>
      </c>
      <c r="P62" s="17" t="s">
        <v>116</v>
      </c>
      <c r="Q62" s="17" t="s">
        <v>116</v>
      </c>
      <c r="R62" s="17" t="s">
        <v>116</v>
      </c>
      <c r="S62" s="17" t="s">
        <v>116</v>
      </c>
      <c r="T62" s="17" t="s">
        <v>116</v>
      </c>
      <c r="W62" s="17" t="s">
        <v>116</v>
      </c>
      <c r="X62" s="17" t="s">
        <v>116</v>
      </c>
      <c r="Z62" s="49" t="s">
        <v>116</v>
      </c>
      <c r="AA62" s="49">
        <f t="shared" si="0"/>
        <v>9</v>
      </c>
      <c r="AB62" s="49">
        <f t="shared" si="1"/>
        <v>0</v>
      </c>
      <c r="AC62" s="17" t="s">
        <v>116</v>
      </c>
      <c r="AD62" s="17" t="s">
        <v>126</v>
      </c>
      <c r="AE62" s="17" t="s">
        <v>118</v>
      </c>
      <c r="AF62" s="17" t="s">
        <v>417</v>
      </c>
      <c r="AG62" s="17" t="s">
        <v>4</v>
      </c>
      <c r="AH62" s="17" t="s">
        <v>116</v>
      </c>
      <c r="AI62" s="17" t="s">
        <v>418</v>
      </c>
      <c r="AJ62" s="17" t="s">
        <v>116</v>
      </c>
      <c r="AK62" s="17" t="s">
        <v>116</v>
      </c>
      <c r="AL62" s="17" t="s">
        <v>362</v>
      </c>
      <c r="AM62" s="19">
        <v>45746</v>
      </c>
      <c r="AN62" s="19">
        <v>45746</v>
      </c>
      <c r="AO62" s="17" t="s">
        <v>159</v>
      </c>
      <c r="AP62" s="17" t="s">
        <v>116</v>
      </c>
      <c r="AQ62" s="17" t="s">
        <v>116</v>
      </c>
      <c r="AR62" s="17" t="s">
        <v>419</v>
      </c>
      <c r="AS62" s="17" t="s">
        <v>116</v>
      </c>
      <c r="AT62" s="17" t="s">
        <v>116</v>
      </c>
      <c r="AU62" s="17" t="s">
        <v>116</v>
      </c>
      <c r="AV62" s="58" t="s">
        <v>420</v>
      </c>
    </row>
    <row r="63" spans="1:48" ht="26.4" x14ac:dyDescent="0.25">
      <c r="A63" s="53" t="s">
        <v>421</v>
      </c>
      <c r="B63" s="57">
        <v>45781.522499155093</v>
      </c>
      <c r="C63" s="17" t="s">
        <v>141</v>
      </c>
      <c r="D63" s="17" t="s">
        <v>12</v>
      </c>
      <c r="E63" s="17" t="s">
        <v>422</v>
      </c>
      <c r="F63" s="26" t="s">
        <v>38</v>
      </c>
      <c r="G63" s="17" t="s">
        <v>10</v>
      </c>
      <c r="H63" s="26" t="s">
        <v>423</v>
      </c>
      <c r="I63" s="17" t="s">
        <v>116</v>
      </c>
      <c r="J63" s="17" t="s">
        <v>424</v>
      </c>
      <c r="L63" s="19">
        <v>45724</v>
      </c>
      <c r="M63" s="19">
        <v>45742</v>
      </c>
      <c r="N63" s="19">
        <v>45736</v>
      </c>
      <c r="AA63" s="49">
        <f t="shared" si="0"/>
        <v>0</v>
      </c>
      <c r="AB63" s="49">
        <f t="shared" si="1"/>
        <v>0</v>
      </c>
      <c r="AC63" s="17" t="s">
        <v>116</v>
      </c>
      <c r="AD63" s="17" t="s">
        <v>159</v>
      </c>
      <c r="AE63" s="17" t="s">
        <v>118</v>
      </c>
      <c r="AF63" s="17" t="s">
        <v>149</v>
      </c>
      <c r="AG63" s="17" t="s">
        <v>10</v>
      </c>
      <c r="AH63" s="17" t="s">
        <v>116</v>
      </c>
      <c r="AI63" s="17" t="s">
        <v>116</v>
      </c>
      <c r="AJ63" s="17" t="s">
        <v>116</v>
      </c>
      <c r="AK63" s="17" t="s">
        <v>116</v>
      </c>
      <c r="AL63" s="17" t="s">
        <v>362</v>
      </c>
      <c r="AM63" s="19">
        <v>45774</v>
      </c>
      <c r="AN63" s="19">
        <v>45767</v>
      </c>
      <c r="AO63" s="17" t="s">
        <v>137</v>
      </c>
      <c r="AP63" s="17" t="s">
        <v>116</v>
      </c>
      <c r="AQ63" s="17" t="s">
        <v>116</v>
      </c>
      <c r="AR63" s="17" t="s">
        <v>149</v>
      </c>
      <c r="AS63" s="17" t="s">
        <v>116</v>
      </c>
      <c r="AT63" s="17" t="s">
        <v>116</v>
      </c>
      <c r="AU63" s="17" t="s">
        <v>116</v>
      </c>
      <c r="AV63" s="52" t="e">
        <f t="shared" ref="AV63:AV67" ca="1" si="5">geturl(A63)</f>
        <v>#NAME?</v>
      </c>
    </row>
    <row r="64" spans="1:48" ht="13.2" x14ac:dyDescent="0.25">
      <c r="A64" s="53" t="s">
        <v>425</v>
      </c>
      <c r="B64" s="57">
        <v>45816.579668865743</v>
      </c>
      <c r="C64" s="17" t="s">
        <v>141</v>
      </c>
      <c r="D64" s="17" t="s">
        <v>12</v>
      </c>
      <c r="E64" s="17" t="s">
        <v>426</v>
      </c>
      <c r="F64" s="26" t="s">
        <v>427</v>
      </c>
      <c r="G64" s="17" t="s">
        <v>3</v>
      </c>
      <c r="H64" s="26" t="s">
        <v>199</v>
      </c>
      <c r="I64" s="17" t="s">
        <v>114</v>
      </c>
      <c r="J64" s="17" t="s">
        <v>428</v>
      </c>
      <c r="L64" s="19">
        <v>45732</v>
      </c>
      <c r="M64" s="19">
        <v>45732</v>
      </c>
      <c r="N64" s="19">
        <v>45736</v>
      </c>
      <c r="AA64" s="49">
        <f t="shared" si="0"/>
        <v>0</v>
      </c>
      <c r="AB64" s="49">
        <f t="shared" si="1"/>
        <v>0</v>
      </c>
      <c r="AC64" s="17" t="s">
        <v>116</v>
      </c>
      <c r="AD64" s="17" t="s">
        <v>192</v>
      </c>
      <c r="AE64" s="17" t="s">
        <v>118</v>
      </c>
      <c r="AF64" s="17" t="s">
        <v>429</v>
      </c>
      <c r="AG64" s="17" t="s">
        <v>3</v>
      </c>
      <c r="AH64" s="17" t="s">
        <v>116</v>
      </c>
      <c r="AI64" s="17" t="s">
        <v>139</v>
      </c>
      <c r="AJ64" s="17" t="s">
        <v>139</v>
      </c>
      <c r="AK64" s="17" t="s">
        <v>116</v>
      </c>
      <c r="AL64" s="17" t="s">
        <v>388</v>
      </c>
      <c r="AM64" s="19">
        <v>45746</v>
      </c>
      <c r="AN64" s="19">
        <v>45746</v>
      </c>
      <c r="AO64" s="17" t="s">
        <v>115</v>
      </c>
      <c r="AP64" s="17" t="s">
        <v>116</v>
      </c>
      <c r="AQ64" s="17" t="s">
        <v>116</v>
      </c>
      <c r="AR64" s="17" t="s">
        <v>412</v>
      </c>
      <c r="AS64" s="17" t="s">
        <v>139</v>
      </c>
      <c r="AT64" s="17" t="s">
        <v>139</v>
      </c>
      <c r="AU64" s="17" t="s">
        <v>116</v>
      </c>
      <c r="AV64" s="52" t="e">
        <f t="shared" ca="1" si="5"/>
        <v>#NAME?</v>
      </c>
    </row>
    <row r="65" spans="1:48" ht="26.4" x14ac:dyDescent="0.25">
      <c r="A65" s="53" t="s">
        <v>430</v>
      </c>
      <c r="B65" s="57">
        <v>45816.580346469906</v>
      </c>
      <c r="C65" s="17" t="s">
        <v>141</v>
      </c>
      <c r="D65" s="17" t="s">
        <v>12</v>
      </c>
      <c r="E65" s="17" t="s">
        <v>342</v>
      </c>
      <c r="F65" s="26" t="s">
        <v>157</v>
      </c>
      <c r="G65" s="17" t="s">
        <v>3</v>
      </c>
      <c r="H65" s="26" t="s">
        <v>431</v>
      </c>
      <c r="I65" s="17" t="s">
        <v>116</v>
      </c>
      <c r="J65" s="17" t="s">
        <v>428</v>
      </c>
      <c r="L65" s="19">
        <v>45732</v>
      </c>
      <c r="M65" s="19">
        <v>45732</v>
      </c>
      <c r="N65" s="19">
        <v>45736</v>
      </c>
      <c r="AA65" s="49">
        <f t="shared" si="0"/>
        <v>0</v>
      </c>
      <c r="AB65" s="49">
        <f t="shared" si="1"/>
        <v>0</v>
      </c>
      <c r="AC65" s="17" t="s">
        <v>116</v>
      </c>
      <c r="AD65" s="17" t="s">
        <v>192</v>
      </c>
      <c r="AE65" s="17" t="s">
        <v>118</v>
      </c>
      <c r="AF65" s="17" t="s">
        <v>299</v>
      </c>
      <c r="AG65" s="17" t="s">
        <v>3</v>
      </c>
      <c r="AH65" s="17" t="s">
        <v>116</v>
      </c>
      <c r="AI65" s="17" t="s">
        <v>139</v>
      </c>
      <c r="AJ65" s="17" t="s">
        <v>139</v>
      </c>
      <c r="AK65" s="17" t="s">
        <v>116</v>
      </c>
      <c r="AL65" s="17" t="s">
        <v>388</v>
      </c>
      <c r="AM65" s="19">
        <v>45746</v>
      </c>
      <c r="AN65" s="19">
        <v>45746</v>
      </c>
      <c r="AO65" s="17" t="s">
        <v>115</v>
      </c>
      <c r="AP65" s="17" t="s">
        <v>116</v>
      </c>
      <c r="AQ65" s="17" t="s">
        <v>116</v>
      </c>
      <c r="AR65" s="17" t="s">
        <v>412</v>
      </c>
      <c r="AS65" s="17" t="s">
        <v>139</v>
      </c>
      <c r="AT65" s="17" t="s">
        <v>139</v>
      </c>
      <c r="AU65" s="17" t="s">
        <v>116</v>
      </c>
      <c r="AV65" s="52" t="e">
        <f t="shared" ca="1" si="5"/>
        <v>#NAME?</v>
      </c>
    </row>
    <row r="66" spans="1:48" ht="26.4" x14ac:dyDescent="0.25">
      <c r="A66" s="53" t="s">
        <v>432</v>
      </c>
      <c r="B66" s="57">
        <v>45793.429668923607</v>
      </c>
      <c r="C66" s="17" t="s">
        <v>357</v>
      </c>
      <c r="D66" s="17" t="s">
        <v>240</v>
      </c>
      <c r="E66" s="17" t="s">
        <v>433</v>
      </c>
      <c r="F66" s="26" t="s">
        <v>156</v>
      </c>
      <c r="G66" s="17" t="s">
        <v>10</v>
      </c>
      <c r="H66" s="26" t="s">
        <v>396</v>
      </c>
      <c r="I66" s="17" t="s">
        <v>116</v>
      </c>
      <c r="J66" s="17" t="s">
        <v>434</v>
      </c>
      <c r="K66" s="17" t="s">
        <v>435</v>
      </c>
      <c r="L66" s="19">
        <v>45746</v>
      </c>
      <c r="M66" s="19">
        <v>45742</v>
      </c>
      <c r="N66" s="19">
        <v>45753</v>
      </c>
      <c r="O66" s="17" t="s">
        <v>116</v>
      </c>
      <c r="P66" s="17" t="s">
        <v>116</v>
      </c>
      <c r="Q66" s="17" t="s">
        <v>116</v>
      </c>
      <c r="R66" s="17" t="s">
        <v>116</v>
      </c>
      <c r="S66" s="17" t="s">
        <v>116</v>
      </c>
      <c r="T66" s="17" t="s">
        <v>116</v>
      </c>
      <c r="U66" s="17" t="s">
        <v>116</v>
      </c>
      <c r="W66" s="17" t="s">
        <v>116</v>
      </c>
      <c r="X66" s="17" t="s">
        <v>116</v>
      </c>
      <c r="Z66" s="49" t="s">
        <v>116</v>
      </c>
      <c r="AA66" s="49">
        <f t="shared" si="0"/>
        <v>10</v>
      </c>
      <c r="AB66" s="49">
        <f t="shared" si="1"/>
        <v>0</v>
      </c>
      <c r="AC66" s="17" t="s">
        <v>116</v>
      </c>
      <c r="AD66" s="17" t="s">
        <v>159</v>
      </c>
      <c r="AE66" s="17" t="s">
        <v>240</v>
      </c>
      <c r="AF66" s="17" t="s">
        <v>166</v>
      </c>
      <c r="AG66" s="17" t="s">
        <v>10</v>
      </c>
      <c r="AH66" s="17" t="s">
        <v>116</v>
      </c>
      <c r="AI66" s="17" t="s">
        <v>139</v>
      </c>
      <c r="AJ66" s="17" t="s">
        <v>139</v>
      </c>
      <c r="AK66" s="17" t="s">
        <v>116</v>
      </c>
      <c r="AL66" s="17" t="s">
        <v>388</v>
      </c>
      <c r="AR66" s="17" t="s">
        <v>436</v>
      </c>
      <c r="AV66" s="52" t="e">
        <f t="shared" ca="1" si="5"/>
        <v>#NAME?</v>
      </c>
    </row>
    <row r="67" spans="1:48" ht="13.2" x14ac:dyDescent="0.25">
      <c r="A67" s="53" t="s">
        <v>437</v>
      </c>
      <c r="B67" s="57">
        <v>45858.636035752315</v>
      </c>
      <c r="C67" s="17" t="s">
        <v>357</v>
      </c>
      <c r="D67" s="17" t="s">
        <v>12</v>
      </c>
      <c r="E67" s="17" t="s">
        <v>166</v>
      </c>
      <c r="F67" s="26" t="s">
        <v>20</v>
      </c>
      <c r="G67" s="17" t="s">
        <v>10</v>
      </c>
      <c r="H67" s="26" t="s">
        <v>438</v>
      </c>
      <c r="I67" s="17" t="s">
        <v>116</v>
      </c>
      <c r="J67" s="17" t="s">
        <v>115</v>
      </c>
      <c r="L67" s="19">
        <v>45736</v>
      </c>
      <c r="M67" s="19">
        <v>45742</v>
      </c>
      <c r="N67" s="19">
        <v>45746</v>
      </c>
      <c r="O67" s="17" t="s">
        <v>116</v>
      </c>
      <c r="P67" s="17" t="s">
        <v>116</v>
      </c>
      <c r="Q67" s="17" t="s">
        <v>116</v>
      </c>
      <c r="R67" s="17" t="s">
        <v>116</v>
      </c>
      <c r="S67" s="17" t="s">
        <v>116</v>
      </c>
      <c r="T67" s="17" t="s">
        <v>116</v>
      </c>
      <c r="U67" s="17" t="s">
        <v>116</v>
      </c>
      <c r="W67" s="17" t="s">
        <v>116</v>
      </c>
      <c r="X67" s="17" t="s">
        <v>116</v>
      </c>
      <c r="Z67" s="49" t="s">
        <v>116</v>
      </c>
      <c r="AA67" s="49">
        <f t="shared" si="0"/>
        <v>10</v>
      </c>
      <c r="AB67" s="49">
        <f t="shared" si="1"/>
        <v>0</v>
      </c>
      <c r="AC67" s="17" t="s">
        <v>116</v>
      </c>
      <c r="AD67" s="17" t="s">
        <v>159</v>
      </c>
      <c r="AE67" s="17" t="s">
        <v>118</v>
      </c>
      <c r="AF67" s="17"/>
      <c r="AG67" s="17"/>
      <c r="AH67" s="17"/>
      <c r="AI67" s="17" t="s">
        <v>139</v>
      </c>
      <c r="AJ67" s="17" t="s">
        <v>139</v>
      </c>
      <c r="AK67" s="17" t="s">
        <v>116</v>
      </c>
      <c r="AL67" s="17" t="s">
        <v>362</v>
      </c>
      <c r="AM67" s="19">
        <v>45844</v>
      </c>
      <c r="AN67" s="19">
        <v>45844</v>
      </c>
      <c r="AO67" s="17" t="s">
        <v>287</v>
      </c>
      <c r="AP67" s="17" t="s">
        <v>116</v>
      </c>
      <c r="AQ67" s="17" t="s">
        <v>116</v>
      </c>
      <c r="AR67" s="17" t="s">
        <v>439</v>
      </c>
      <c r="AS67" s="17" t="s">
        <v>139</v>
      </c>
      <c r="AU67" s="17" t="s">
        <v>116</v>
      </c>
      <c r="AV67" s="52" t="e">
        <f t="shared" ca="1" si="5"/>
        <v>#NAME?</v>
      </c>
    </row>
    <row r="68" spans="1:48" ht="26.4" x14ac:dyDescent="0.25">
      <c r="A68" s="53" t="s">
        <v>440</v>
      </c>
      <c r="B68" s="57">
        <v>46060.607785081018</v>
      </c>
      <c r="C68" s="17" t="s">
        <v>141</v>
      </c>
      <c r="D68" s="17" t="s">
        <v>12</v>
      </c>
      <c r="E68" s="17" t="s">
        <v>441</v>
      </c>
      <c r="F68" s="26" t="s">
        <v>442</v>
      </c>
      <c r="G68" s="17" t="s">
        <v>7</v>
      </c>
      <c r="H68" s="26" t="s">
        <v>443</v>
      </c>
      <c r="I68" s="17" t="s">
        <v>116</v>
      </c>
      <c r="J68" s="17" t="s">
        <v>444</v>
      </c>
      <c r="K68" s="17"/>
      <c r="L68" s="19">
        <v>45736</v>
      </c>
      <c r="M68" s="19">
        <v>45736</v>
      </c>
      <c r="N68" s="19">
        <v>45736</v>
      </c>
      <c r="AA68" s="49">
        <f t="shared" si="0"/>
        <v>0</v>
      </c>
      <c r="AB68" s="49">
        <f t="shared" si="1"/>
        <v>0</v>
      </c>
      <c r="AC68" s="17" t="s">
        <v>116</v>
      </c>
      <c r="AD68" s="17" t="s">
        <v>126</v>
      </c>
      <c r="AE68" s="17" t="s">
        <v>118</v>
      </c>
      <c r="AF68" s="17" t="s">
        <v>445</v>
      </c>
      <c r="AG68" s="17" t="s">
        <v>8</v>
      </c>
      <c r="AH68" s="17" t="s">
        <v>116</v>
      </c>
      <c r="AI68" s="17" t="s">
        <v>139</v>
      </c>
      <c r="AJ68" s="17" t="s">
        <v>116</v>
      </c>
      <c r="AK68" s="17" t="s">
        <v>116</v>
      </c>
      <c r="AL68" s="17" t="s">
        <v>362</v>
      </c>
      <c r="AM68" s="19">
        <v>45746</v>
      </c>
      <c r="AN68" s="19">
        <v>45746</v>
      </c>
      <c r="AO68" s="17" t="s">
        <v>159</v>
      </c>
      <c r="AP68" s="17" t="s">
        <v>116</v>
      </c>
      <c r="AQ68" s="17" t="s">
        <v>116</v>
      </c>
      <c r="AR68" s="17" t="s">
        <v>419</v>
      </c>
      <c r="AS68" s="17" t="s">
        <v>116</v>
      </c>
      <c r="AT68" s="17" t="s">
        <v>116</v>
      </c>
      <c r="AU68" s="17" t="s">
        <v>116</v>
      </c>
      <c r="AV68" s="58" t="s">
        <v>446</v>
      </c>
    </row>
    <row r="69" spans="1:48" ht="26.4" x14ac:dyDescent="0.25">
      <c r="A69" s="53" t="s">
        <v>447</v>
      </c>
      <c r="B69" s="57">
        <v>46060.607996527775</v>
      </c>
      <c r="C69" s="17" t="s">
        <v>141</v>
      </c>
      <c r="D69" s="17" t="s">
        <v>12</v>
      </c>
      <c r="E69" s="17" t="s">
        <v>448</v>
      </c>
      <c r="F69" s="26" t="s">
        <v>18</v>
      </c>
      <c r="G69" s="17" t="s">
        <v>3</v>
      </c>
      <c r="H69" s="26" t="s">
        <v>449</v>
      </c>
      <c r="I69" s="17" t="s">
        <v>244</v>
      </c>
      <c r="J69" s="17" t="s">
        <v>414</v>
      </c>
      <c r="L69" s="19">
        <v>45736</v>
      </c>
      <c r="M69" s="19">
        <v>45736</v>
      </c>
      <c r="N69" s="19">
        <v>45736</v>
      </c>
      <c r="AA69" s="49">
        <f t="shared" si="0"/>
        <v>0</v>
      </c>
      <c r="AB69" s="49">
        <f t="shared" si="1"/>
        <v>0</v>
      </c>
      <c r="AC69" s="17" t="s">
        <v>116</v>
      </c>
      <c r="AD69" s="17" t="s">
        <v>117</v>
      </c>
      <c r="AE69" s="17" t="s">
        <v>118</v>
      </c>
      <c r="AF69" s="17" t="s">
        <v>450</v>
      </c>
      <c r="AG69" s="17" t="s">
        <v>10</v>
      </c>
      <c r="AH69" s="17" t="s">
        <v>116</v>
      </c>
      <c r="AI69" s="17" t="s">
        <v>139</v>
      </c>
      <c r="AJ69" s="17" t="s">
        <v>116</v>
      </c>
      <c r="AK69" s="17" t="s">
        <v>116</v>
      </c>
      <c r="AL69" s="17" t="s">
        <v>362</v>
      </c>
      <c r="AM69" s="19">
        <v>45746</v>
      </c>
      <c r="AN69" s="19">
        <v>45781</v>
      </c>
      <c r="AO69" s="17" t="s">
        <v>126</v>
      </c>
      <c r="AP69" s="17" t="s">
        <v>116</v>
      </c>
      <c r="AQ69" s="17" t="s">
        <v>116</v>
      </c>
      <c r="AR69" s="17" t="s">
        <v>419</v>
      </c>
      <c r="AS69" s="17" t="s">
        <v>116</v>
      </c>
      <c r="AT69" s="17" t="s">
        <v>116</v>
      </c>
      <c r="AU69" s="17" t="s">
        <v>116</v>
      </c>
      <c r="AV69" s="58" t="s">
        <v>451</v>
      </c>
    </row>
    <row r="70" spans="1:48" ht="13.2" x14ac:dyDescent="0.25">
      <c r="A70" s="53" t="s">
        <v>452</v>
      </c>
      <c r="B70" s="57">
        <v>46060.608200648145</v>
      </c>
      <c r="C70" s="17" t="s">
        <v>141</v>
      </c>
      <c r="D70" s="17" t="s">
        <v>12</v>
      </c>
      <c r="E70" s="17" t="s">
        <v>453</v>
      </c>
      <c r="F70" s="26" t="s">
        <v>25</v>
      </c>
      <c r="G70" s="17" t="s">
        <v>5</v>
      </c>
      <c r="H70" s="26" t="s">
        <v>454</v>
      </c>
      <c r="I70" s="17" t="s">
        <v>114</v>
      </c>
      <c r="J70" s="17" t="s">
        <v>444</v>
      </c>
      <c r="L70" s="19">
        <v>45736</v>
      </c>
      <c r="M70" s="19">
        <v>45736</v>
      </c>
      <c r="N70" s="19">
        <v>45736</v>
      </c>
      <c r="AA70" s="49">
        <f t="shared" si="0"/>
        <v>0</v>
      </c>
      <c r="AB70" s="49">
        <f t="shared" si="1"/>
        <v>0</v>
      </c>
      <c r="AC70" s="17" t="s">
        <v>116</v>
      </c>
      <c r="AD70" s="17" t="s">
        <v>126</v>
      </c>
      <c r="AE70" s="17" t="s">
        <v>118</v>
      </c>
      <c r="AF70" s="17" t="s">
        <v>26</v>
      </c>
      <c r="AG70" s="17" t="s">
        <v>10</v>
      </c>
      <c r="AH70" s="17" t="s">
        <v>116</v>
      </c>
      <c r="AI70" s="17" t="s">
        <v>139</v>
      </c>
      <c r="AJ70" s="17" t="s">
        <v>116</v>
      </c>
      <c r="AK70" s="17" t="s">
        <v>116</v>
      </c>
      <c r="AL70" s="17" t="s">
        <v>362</v>
      </c>
      <c r="AM70" s="19">
        <v>45746</v>
      </c>
      <c r="AN70" s="19">
        <v>45774</v>
      </c>
      <c r="AO70" s="17" t="s">
        <v>126</v>
      </c>
      <c r="AP70" s="17" t="s">
        <v>116</v>
      </c>
      <c r="AQ70" s="17" t="s">
        <v>116</v>
      </c>
      <c r="AR70" s="17" t="s">
        <v>419</v>
      </c>
      <c r="AS70" s="17" t="s">
        <v>116</v>
      </c>
      <c r="AT70" s="17" t="s">
        <v>116</v>
      </c>
      <c r="AU70" s="17" t="s">
        <v>116</v>
      </c>
      <c r="AV70" s="58" t="s">
        <v>455</v>
      </c>
    </row>
    <row r="71" spans="1:48" ht="13.2" x14ac:dyDescent="0.25">
      <c r="A71" s="59" t="s">
        <v>456</v>
      </c>
      <c r="B71" s="57">
        <v>45830.661663356484</v>
      </c>
      <c r="C71" s="17" t="s">
        <v>111</v>
      </c>
      <c r="D71" s="17" t="s">
        <v>12</v>
      </c>
      <c r="E71" s="17" t="s">
        <v>351</v>
      </c>
      <c r="F71" s="26" t="s">
        <v>152</v>
      </c>
      <c r="G71" s="17" t="s">
        <v>6</v>
      </c>
      <c r="H71" s="17" t="s">
        <v>113</v>
      </c>
      <c r="I71" s="17" t="s">
        <v>114</v>
      </c>
      <c r="J71" s="17" t="s">
        <v>145</v>
      </c>
      <c r="L71" s="19">
        <v>45746</v>
      </c>
      <c r="M71" s="19">
        <v>45746</v>
      </c>
      <c r="N71" s="19">
        <v>45747</v>
      </c>
      <c r="O71" s="17" t="s">
        <v>116</v>
      </c>
      <c r="P71" s="17" t="s">
        <v>116</v>
      </c>
      <c r="Q71" s="17" t="s">
        <v>116</v>
      </c>
      <c r="R71" s="17" t="s">
        <v>116</v>
      </c>
      <c r="S71" s="17" t="s">
        <v>116</v>
      </c>
      <c r="T71" s="17" t="s">
        <v>116</v>
      </c>
      <c r="W71" s="17" t="s">
        <v>116</v>
      </c>
      <c r="X71" s="17" t="s">
        <v>116</v>
      </c>
      <c r="Z71" s="49" t="s">
        <v>116</v>
      </c>
      <c r="AA71" s="49">
        <f t="shared" si="0"/>
        <v>9</v>
      </c>
      <c r="AB71" s="49">
        <f t="shared" si="1"/>
        <v>0</v>
      </c>
      <c r="AC71" s="17" t="s">
        <v>116</v>
      </c>
      <c r="AD71" s="17" t="s">
        <v>159</v>
      </c>
      <c r="AE71" s="17" t="s">
        <v>118</v>
      </c>
      <c r="AF71" s="17"/>
      <c r="AG71" s="17"/>
      <c r="AH71" s="17"/>
      <c r="AI71" s="17" t="s">
        <v>139</v>
      </c>
      <c r="AJ71" s="17" t="s">
        <v>139</v>
      </c>
      <c r="AK71" s="17" t="s">
        <v>116</v>
      </c>
      <c r="AL71" s="17" t="s">
        <v>388</v>
      </c>
      <c r="AM71" s="19">
        <v>45781</v>
      </c>
      <c r="AP71" s="17" t="s">
        <v>116</v>
      </c>
      <c r="AQ71" s="17" t="s">
        <v>116</v>
      </c>
      <c r="AR71" s="17" t="s">
        <v>422</v>
      </c>
      <c r="AS71" s="17" t="s">
        <v>139</v>
      </c>
      <c r="AT71" s="17" t="s">
        <v>139</v>
      </c>
      <c r="AU71" s="17" t="s">
        <v>116</v>
      </c>
      <c r="AV71" s="52" t="e">
        <f t="shared" ref="AV71:AV81" ca="1" si="6">geturl(A71)</f>
        <v>#NAME?</v>
      </c>
    </row>
    <row r="72" spans="1:48" ht="26.4" x14ac:dyDescent="0.25">
      <c r="A72" s="53" t="s">
        <v>457</v>
      </c>
      <c r="B72" s="57">
        <v>45774.693246886571</v>
      </c>
      <c r="C72" s="17" t="s">
        <v>141</v>
      </c>
      <c r="D72" s="17" t="s">
        <v>12</v>
      </c>
      <c r="E72" s="17" t="s">
        <v>364</v>
      </c>
      <c r="F72" s="17" t="s">
        <v>458</v>
      </c>
      <c r="G72" s="17" t="s">
        <v>7</v>
      </c>
      <c r="H72" s="17" t="s">
        <v>386</v>
      </c>
      <c r="I72" s="17" t="s">
        <v>116</v>
      </c>
      <c r="J72" s="17" t="s">
        <v>459</v>
      </c>
      <c r="L72" s="19">
        <v>45749</v>
      </c>
      <c r="M72" s="19">
        <v>45749</v>
      </c>
      <c r="N72" s="19">
        <v>45755</v>
      </c>
      <c r="O72" s="17" t="s">
        <v>116</v>
      </c>
      <c r="P72" s="17" t="s">
        <v>116</v>
      </c>
      <c r="Q72" s="17" t="s">
        <v>116</v>
      </c>
      <c r="R72" s="17" t="s">
        <v>116</v>
      </c>
      <c r="S72" s="17" t="s">
        <v>116</v>
      </c>
      <c r="T72" s="17" t="s">
        <v>116</v>
      </c>
      <c r="W72" s="17" t="s">
        <v>116</v>
      </c>
      <c r="X72" s="17" t="s">
        <v>116</v>
      </c>
      <c r="Z72" s="49" t="s">
        <v>116</v>
      </c>
      <c r="AA72" s="49">
        <f t="shared" si="0"/>
        <v>9</v>
      </c>
      <c r="AB72" s="49">
        <f t="shared" si="1"/>
        <v>0</v>
      </c>
      <c r="AC72" s="17" t="s">
        <v>116</v>
      </c>
      <c r="AD72" s="17" t="s">
        <v>117</v>
      </c>
      <c r="AE72" s="17" t="s">
        <v>118</v>
      </c>
      <c r="AF72" s="17" t="s">
        <v>460</v>
      </c>
      <c r="AG72" s="17" t="s">
        <v>7</v>
      </c>
      <c r="AH72" s="17" t="s">
        <v>116</v>
      </c>
      <c r="AI72" s="17" t="s">
        <v>139</v>
      </c>
      <c r="AJ72" s="17" t="s">
        <v>116</v>
      </c>
      <c r="AK72" s="17" t="s">
        <v>116</v>
      </c>
      <c r="AL72" s="17" t="s">
        <v>388</v>
      </c>
      <c r="AM72" s="19">
        <v>45760</v>
      </c>
      <c r="AN72" s="19">
        <v>45762</v>
      </c>
      <c r="AO72" s="17" t="s">
        <v>276</v>
      </c>
      <c r="AP72" s="17" t="s">
        <v>116</v>
      </c>
      <c r="AQ72" s="17" t="s">
        <v>116</v>
      </c>
      <c r="AR72" s="17" t="s">
        <v>276</v>
      </c>
      <c r="AS72" s="17" t="s">
        <v>139</v>
      </c>
      <c r="AT72" s="17" t="s">
        <v>116</v>
      </c>
      <c r="AU72" s="17" t="s">
        <v>116</v>
      </c>
      <c r="AV72" s="52" t="e">
        <f t="shared" ca="1" si="6"/>
        <v>#NAME?</v>
      </c>
    </row>
    <row r="73" spans="1:48" ht="26.4" x14ac:dyDescent="0.25">
      <c r="A73" s="53" t="s">
        <v>461</v>
      </c>
      <c r="B73" s="57">
        <v>45774.694736909718</v>
      </c>
      <c r="C73" s="17" t="s">
        <v>141</v>
      </c>
      <c r="D73" s="17" t="s">
        <v>12</v>
      </c>
      <c r="E73" s="17" t="s">
        <v>462</v>
      </c>
      <c r="F73" s="17" t="s">
        <v>463</v>
      </c>
      <c r="G73" s="17" t="s">
        <v>7</v>
      </c>
      <c r="H73" s="17" t="s">
        <v>464</v>
      </c>
      <c r="I73" s="17" t="s">
        <v>116</v>
      </c>
      <c r="J73" s="17" t="s">
        <v>459</v>
      </c>
      <c r="L73" s="19">
        <v>45749</v>
      </c>
      <c r="M73" s="19">
        <v>45749</v>
      </c>
      <c r="N73" s="19">
        <v>45755</v>
      </c>
      <c r="O73" s="17" t="s">
        <v>116</v>
      </c>
      <c r="P73" s="17" t="s">
        <v>116</v>
      </c>
      <c r="R73" s="17" t="s">
        <v>116</v>
      </c>
      <c r="S73" s="17" t="s">
        <v>116</v>
      </c>
      <c r="T73" s="17" t="s">
        <v>116</v>
      </c>
      <c r="W73" s="17" t="s">
        <v>116</v>
      </c>
      <c r="X73" s="17" t="s">
        <v>116</v>
      </c>
      <c r="Z73" s="49" t="s">
        <v>116</v>
      </c>
      <c r="AA73" s="49">
        <f t="shared" si="0"/>
        <v>8</v>
      </c>
      <c r="AB73" s="49">
        <f t="shared" si="1"/>
        <v>0</v>
      </c>
      <c r="AC73" s="17" t="s">
        <v>116</v>
      </c>
      <c r="AD73" s="17" t="s">
        <v>117</v>
      </c>
      <c r="AE73" s="17" t="s">
        <v>118</v>
      </c>
      <c r="AF73" s="17" t="s">
        <v>465</v>
      </c>
      <c r="AG73" s="17" t="s">
        <v>7</v>
      </c>
      <c r="AH73" s="17" t="s">
        <v>116</v>
      </c>
      <c r="AI73" s="17" t="s">
        <v>139</v>
      </c>
      <c r="AJ73" s="17" t="s">
        <v>139</v>
      </c>
      <c r="AK73" s="17" t="s">
        <v>116</v>
      </c>
      <c r="AL73" s="17" t="s">
        <v>388</v>
      </c>
      <c r="AM73" s="19">
        <v>45760</v>
      </c>
      <c r="AN73" s="19">
        <v>45760</v>
      </c>
      <c r="AO73" s="17" t="s">
        <v>115</v>
      </c>
      <c r="AP73" s="17" t="s">
        <v>116</v>
      </c>
      <c r="AQ73" s="17" t="s">
        <v>116</v>
      </c>
      <c r="AR73" s="17" t="s">
        <v>276</v>
      </c>
      <c r="AS73" s="17" t="s">
        <v>139</v>
      </c>
      <c r="AT73" s="17" t="s">
        <v>116</v>
      </c>
      <c r="AU73" s="17" t="s">
        <v>116</v>
      </c>
      <c r="AV73" s="52" t="e">
        <f t="shared" ca="1" si="6"/>
        <v>#NAME?</v>
      </c>
    </row>
    <row r="74" spans="1:48" ht="13.2" x14ac:dyDescent="0.25">
      <c r="A74" s="59" t="s">
        <v>466</v>
      </c>
      <c r="B74" s="57">
        <v>45816.610148217587</v>
      </c>
      <c r="C74" s="17" t="s">
        <v>141</v>
      </c>
      <c r="D74" s="17" t="s">
        <v>12</v>
      </c>
      <c r="E74" s="17" t="s">
        <v>467</v>
      </c>
      <c r="F74" s="26" t="s">
        <v>468</v>
      </c>
      <c r="G74" s="17" t="s">
        <v>5</v>
      </c>
      <c r="H74" s="17" t="s">
        <v>233</v>
      </c>
      <c r="I74" s="17" t="s">
        <v>114</v>
      </c>
      <c r="J74" s="17" t="s">
        <v>221</v>
      </c>
      <c r="L74" s="19">
        <v>45760</v>
      </c>
      <c r="M74" s="19">
        <v>45760</v>
      </c>
      <c r="N74" s="19">
        <v>45760</v>
      </c>
      <c r="O74" s="17" t="s">
        <v>116</v>
      </c>
      <c r="P74" s="17" t="s">
        <v>116</v>
      </c>
      <c r="Q74" s="17" t="s">
        <v>116</v>
      </c>
      <c r="R74" s="17" t="s">
        <v>116</v>
      </c>
      <c r="S74" s="17" t="s">
        <v>116</v>
      </c>
      <c r="T74" s="17" t="s">
        <v>116</v>
      </c>
      <c r="V74" s="17" t="s">
        <v>116</v>
      </c>
      <c r="W74" s="17" t="s">
        <v>116</v>
      </c>
      <c r="X74" s="17" t="s">
        <v>116</v>
      </c>
      <c r="AA74" s="49">
        <f t="shared" si="0"/>
        <v>9</v>
      </c>
      <c r="AB74" s="49">
        <f t="shared" si="1"/>
        <v>0</v>
      </c>
      <c r="AC74" s="17" t="s">
        <v>116</v>
      </c>
      <c r="AD74" s="17" t="s">
        <v>255</v>
      </c>
      <c r="AE74" s="17" t="s">
        <v>118</v>
      </c>
      <c r="AF74" s="17"/>
      <c r="AI74" s="17" t="s">
        <v>139</v>
      </c>
      <c r="AJ74" s="17" t="s">
        <v>139</v>
      </c>
      <c r="AK74" s="17" t="s">
        <v>116</v>
      </c>
      <c r="AL74" s="17" t="s">
        <v>362</v>
      </c>
      <c r="AM74" s="19">
        <v>45781</v>
      </c>
      <c r="AN74" s="19">
        <v>45781</v>
      </c>
      <c r="AO74" s="17" t="s">
        <v>122</v>
      </c>
      <c r="AP74" s="17" t="s">
        <v>116</v>
      </c>
      <c r="AQ74" s="17" t="s">
        <v>116</v>
      </c>
      <c r="AR74" s="17" t="s">
        <v>214</v>
      </c>
      <c r="AS74" s="17" t="s">
        <v>139</v>
      </c>
      <c r="AT74" s="17" t="s">
        <v>139</v>
      </c>
      <c r="AU74" s="17" t="s">
        <v>116</v>
      </c>
      <c r="AV74" s="52" t="e">
        <f t="shared" ca="1" si="6"/>
        <v>#NAME?</v>
      </c>
    </row>
    <row r="75" spans="1:48" ht="13.2" x14ac:dyDescent="0.25">
      <c r="A75" s="59" t="s">
        <v>469</v>
      </c>
      <c r="B75" s="57">
        <v>45816.609789965281</v>
      </c>
      <c r="C75" s="17" t="s">
        <v>141</v>
      </c>
      <c r="D75" s="17" t="s">
        <v>12</v>
      </c>
      <c r="E75" s="17" t="s">
        <v>470</v>
      </c>
      <c r="F75" s="26" t="s">
        <v>468</v>
      </c>
      <c r="G75" s="17" t="s">
        <v>5</v>
      </c>
      <c r="H75" s="17" t="s">
        <v>471</v>
      </c>
      <c r="I75" s="17" t="s">
        <v>114</v>
      </c>
      <c r="J75" s="17" t="s">
        <v>221</v>
      </c>
      <c r="L75" s="19">
        <v>45760</v>
      </c>
      <c r="M75" s="19">
        <v>45760</v>
      </c>
      <c r="N75" s="19">
        <v>45760</v>
      </c>
      <c r="O75" s="17" t="s">
        <v>116</v>
      </c>
      <c r="P75" s="17" t="s">
        <v>116</v>
      </c>
      <c r="Q75" s="17" t="s">
        <v>116</v>
      </c>
      <c r="R75" s="17" t="s">
        <v>116</v>
      </c>
      <c r="S75" s="17" t="s">
        <v>116</v>
      </c>
      <c r="T75" s="17" t="s">
        <v>116</v>
      </c>
      <c r="V75" s="17" t="s">
        <v>116</v>
      </c>
      <c r="W75" s="17" t="s">
        <v>116</v>
      </c>
      <c r="X75" s="17" t="s">
        <v>116</v>
      </c>
      <c r="AA75" s="49">
        <f t="shared" si="0"/>
        <v>9</v>
      </c>
      <c r="AB75" s="49">
        <f t="shared" si="1"/>
        <v>0</v>
      </c>
      <c r="AC75" s="17" t="s">
        <v>116</v>
      </c>
      <c r="AD75" s="17" t="s">
        <v>472</v>
      </c>
      <c r="AE75" s="17" t="s">
        <v>118</v>
      </c>
      <c r="AI75" s="17" t="s">
        <v>139</v>
      </c>
      <c r="AJ75" s="17" t="s">
        <v>139</v>
      </c>
      <c r="AK75" s="17" t="s">
        <v>116</v>
      </c>
      <c r="AL75" s="17" t="s">
        <v>362</v>
      </c>
      <c r="AM75" s="19">
        <v>45781</v>
      </c>
      <c r="AN75" s="19">
        <v>45781</v>
      </c>
      <c r="AO75" s="17" t="s">
        <v>122</v>
      </c>
      <c r="AP75" s="17" t="s">
        <v>116</v>
      </c>
      <c r="AQ75" s="17" t="s">
        <v>116</v>
      </c>
      <c r="AR75" s="17" t="s">
        <v>214</v>
      </c>
      <c r="AS75" s="17" t="s">
        <v>139</v>
      </c>
      <c r="AT75" s="17" t="s">
        <v>139</v>
      </c>
      <c r="AU75" s="17" t="s">
        <v>116</v>
      </c>
      <c r="AV75" s="52" t="e">
        <f t="shared" ca="1" si="6"/>
        <v>#NAME?</v>
      </c>
    </row>
    <row r="76" spans="1:48" ht="13.2" x14ac:dyDescent="0.25">
      <c r="A76" s="59" t="s">
        <v>473</v>
      </c>
      <c r="B76" s="57">
        <v>45890.790919155093</v>
      </c>
      <c r="C76" s="17" t="s">
        <v>111</v>
      </c>
      <c r="D76" s="17" t="s">
        <v>12</v>
      </c>
      <c r="E76" s="17" t="s">
        <v>474</v>
      </c>
      <c r="F76" s="26" t="s">
        <v>475</v>
      </c>
      <c r="G76" s="17" t="s">
        <v>10</v>
      </c>
      <c r="H76" s="17" t="s">
        <v>113</v>
      </c>
      <c r="I76" s="17" t="s">
        <v>114</v>
      </c>
      <c r="J76" s="17" t="s">
        <v>282</v>
      </c>
      <c r="L76" s="19">
        <v>45778</v>
      </c>
      <c r="N76" s="19">
        <v>45778</v>
      </c>
      <c r="AA76" s="49">
        <f t="shared" si="0"/>
        <v>0</v>
      </c>
      <c r="AB76" s="49">
        <f t="shared" si="1"/>
        <v>0</v>
      </c>
      <c r="AC76" s="17" t="s">
        <v>116</v>
      </c>
      <c r="AD76" s="17" t="s">
        <v>167</v>
      </c>
      <c r="AE76" s="17" t="s">
        <v>118</v>
      </c>
      <c r="AF76" s="17" t="s">
        <v>476</v>
      </c>
      <c r="AG76" s="17" t="s">
        <v>6</v>
      </c>
      <c r="AH76" s="17" t="s">
        <v>116</v>
      </c>
      <c r="AI76" s="17" t="s">
        <v>139</v>
      </c>
      <c r="AJ76" s="17" t="s">
        <v>139</v>
      </c>
      <c r="AK76" s="17" t="s">
        <v>116</v>
      </c>
      <c r="AL76" s="17" t="s">
        <v>362</v>
      </c>
      <c r="AM76" s="19">
        <v>45788</v>
      </c>
      <c r="AN76" s="19">
        <v>45816</v>
      </c>
      <c r="AO76" s="17" t="s">
        <v>477</v>
      </c>
      <c r="AP76" s="17" t="s">
        <v>116</v>
      </c>
      <c r="AQ76" s="17" t="s">
        <v>116</v>
      </c>
      <c r="AR76" s="17" t="s">
        <v>476</v>
      </c>
      <c r="AU76" s="17" t="s">
        <v>116</v>
      </c>
      <c r="AV76" s="52" t="e">
        <f t="shared" ca="1" si="6"/>
        <v>#NAME?</v>
      </c>
    </row>
    <row r="77" spans="1:48" ht="13.2" x14ac:dyDescent="0.25">
      <c r="A77" s="59" t="s">
        <v>478</v>
      </c>
      <c r="B77" s="57">
        <v>45877.494386307866</v>
      </c>
      <c r="C77" s="17" t="s">
        <v>111</v>
      </c>
      <c r="D77" s="17" t="s">
        <v>12</v>
      </c>
      <c r="E77" s="17" t="s">
        <v>479</v>
      </c>
      <c r="F77" s="26" t="s">
        <v>480</v>
      </c>
      <c r="G77" s="17" t="s">
        <v>7</v>
      </c>
      <c r="H77" s="17" t="s">
        <v>113</v>
      </c>
      <c r="I77" s="17" t="s">
        <v>114</v>
      </c>
      <c r="J77" s="17" t="s">
        <v>481</v>
      </c>
      <c r="L77" s="19">
        <v>45778</v>
      </c>
      <c r="M77" s="19">
        <v>45774</v>
      </c>
      <c r="N77" s="19">
        <v>45778</v>
      </c>
      <c r="AA77" s="49">
        <f t="shared" si="0"/>
        <v>0</v>
      </c>
      <c r="AB77" s="49">
        <f t="shared" si="1"/>
        <v>0</v>
      </c>
      <c r="AC77" s="17" t="s">
        <v>116</v>
      </c>
      <c r="AD77" s="17" t="s">
        <v>117</v>
      </c>
      <c r="AE77" s="17" t="s">
        <v>118</v>
      </c>
      <c r="AF77" s="17" t="s">
        <v>462</v>
      </c>
      <c r="AG77" s="17" t="s">
        <v>7</v>
      </c>
      <c r="AH77" s="17" t="s">
        <v>116</v>
      </c>
      <c r="AI77" s="17" t="s">
        <v>139</v>
      </c>
      <c r="AJ77" s="17" t="s">
        <v>139</v>
      </c>
      <c r="AK77" s="17" t="s">
        <v>116</v>
      </c>
      <c r="AL77" s="17" t="s">
        <v>388</v>
      </c>
      <c r="AM77" s="19">
        <v>45781</v>
      </c>
      <c r="AN77" s="19">
        <v>45816</v>
      </c>
      <c r="AO77" s="17" t="s">
        <v>482</v>
      </c>
      <c r="AP77" s="17" t="s">
        <v>116</v>
      </c>
      <c r="AQ77" s="17" t="s">
        <v>116</v>
      </c>
      <c r="AR77" s="17" t="s">
        <v>422</v>
      </c>
      <c r="AS77" s="17" t="s">
        <v>139</v>
      </c>
      <c r="AT77" s="17" t="s">
        <v>139</v>
      </c>
      <c r="AU77" s="17" t="s">
        <v>116</v>
      </c>
      <c r="AV77" s="52" t="e">
        <f t="shared" ca="1" si="6"/>
        <v>#NAME?</v>
      </c>
    </row>
    <row r="78" spans="1:48" ht="13.2" x14ac:dyDescent="0.25">
      <c r="A78" s="59" t="s">
        <v>483</v>
      </c>
      <c r="B78" s="57">
        <v>45877.468510659717</v>
      </c>
      <c r="C78" s="17" t="s">
        <v>357</v>
      </c>
      <c r="D78" s="17" t="s">
        <v>12</v>
      </c>
      <c r="E78" s="17" t="s">
        <v>482</v>
      </c>
      <c r="F78" s="17" t="s">
        <v>484</v>
      </c>
      <c r="G78" s="17" t="s">
        <v>10</v>
      </c>
      <c r="H78" s="17" t="s">
        <v>485</v>
      </c>
      <c r="I78" s="17" t="s">
        <v>114</v>
      </c>
      <c r="J78" s="17" t="s">
        <v>115</v>
      </c>
      <c r="L78" s="19">
        <v>45792</v>
      </c>
      <c r="N78" s="19">
        <v>45792</v>
      </c>
      <c r="AA78" s="49">
        <f t="shared" si="0"/>
        <v>0</v>
      </c>
      <c r="AB78" s="49">
        <f t="shared" si="1"/>
        <v>0</v>
      </c>
      <c r="AC78" s="17" t="s">
        <v>116</v>
      </c>
      <c r="AD78" s="17" t="s">
        <v>159</v>
      </c>
      <c r="AE78" s="17" t="s">
        <v>118</v>
      </c>
      <c r="AF78" s="17" t="s">
        <v>486</v>
      </c>
      <c r="AG78" s="17" t="s">
        <v>7</v>
      </c>
      <c r="AH78" s="17" t="s">
        <v>116</v>
      </c>
      <c r="AI78" s="17" t="s">
        <v>139</v>
      </c>
      <c r="AK78" s="17" t="s">
        <v>116</v>
      </c>
      <c r="AL78" s="17" t="s">
        <v>362</v>
      </c>
      <c r="AM78" s="19">
        <v>45816</v>
      </c>
      <c r="AN78" s="19">
        <v>45809</v>
      </c>
      <c r="AO78" s="17" t="s">
        <v>487</v>
      </c>
      <c r="AP78" s="17" t="s">
        <v>116</v>
      </c>
      <c r="AQ78" s="17" t="s">
        <v>116</v>
      </c>
      <c r="AR78" s="17" t="s">
        <v>276</v>
      </c>
      <c r="AS78" s="17" t="s">
        <v>139</v>
      </c>
      <c r="AT78" s="17" t="s">
        <v>116</v>
      </c>
      <c r="AU78" s="17" t="s">
        <v>116</v>
      </c>
      <c r="AV78" s="52" t="e">
        <f t="shared" ca="1" si="6"/>
        <v>#NAME?</v>
      </c>
    </row>
    <row r="79" spans="1:48" ht="13.2" x14ac:dyDescent="0.25">
      <c r="A79" s="59" t="s">
        <v>488</v>
      </c>
      <c r="B79" s="57">
        <v>45830.631302858797</v>
      </c>
      <c r="C79" s="17" t="s">
        <v>489</v>
      </c>
      <c r="D79" s="17" t="s">
        <v>12</v>
      </c>
      <c r="E79" s="17" t="s">
        <v>490</v>
      </c>
      <c r="F79" s="17" t="s">
        <v>17</v>
      </c>
      <c r="G79" s="17" t="s">
        <v>3</v>
      </c>
      <c r="H79" s="17" t="s">
        <v>449</v>
      </c>
      <c r="I79" s="17" t="s">
        <v>114</v>
      </c>
      <c r="J79" s="17" t="s">
        <v>491</v>
      </c>
      <c r="L79" s="19">
        <v>45809</v>
      </c>
      <c r="M79" s="19">
        <v>45809</v>
      </c>
      <c r="N79" s="19">
        <v>45811</v>
      </c>
      <c r="O79" s="17" t="s">
        <v>116</v>
      </c>
      <c r="P79" s="17" t="s">
        <v>116</v>
      </c>
      <c r="Q79" s="17" t="s">
        <v>116</v>
      </c>
      <c r="R79" s="17" t="s">
        <v>116</v>
      </c>
      <c r="S79" s="17" t="s">
        <v>116</v>
      </c>
      <c r="T79" s="17" t="s">
        <v>116</v>
      </c>
      <c r="V79" s="17" t="s">
        <v>116</v>
      </c>
      <c r="AA79" s="49">
        <f t="shared" si="0"/>
        <v>7</v>
      </c>
      <c r="AB79" s="49">
        <f t="shared" si="1"/>
        <v>0</v>
      </c>
      <c r="AC79" s="17" t="s">
        <v>116</v>
      </c>
      <c r="AD79" s="17" t="s">
        <v>492</v>
      </c>
      <c r="AE79" s="17" t="s">
        <v>118</v>
      </c>
      <c r="AK79" s="17" t="s">
        <v>116</v>
      </c>
      <c r="AL79" s="17" t="s">
        <v>362</v>
      </c>
      <c r="AM79" s="19">
        <v>45823</v>
      </c>
      <c r="AN79" s="19">
        <v>45823</v>
      </c>
      <c r="AO79" s="17" t="s">
        <v>491</v>
      </c>
      <c r="AP79" s="17" t="s">
        <v>116</v>
      </c>
      <c r="AQ79" s="17" t="s">
        <v>116</v>
      </c>
      <c r="AR79" s="17" t="s">
        <v>491</v>
      </c>
      <c r="AU79" s="17" t="s">
        <v>116</v>
      </c>
      <c r="AV79" s="52" t="e">
        <f t="shared" ca="1" si="6"/>
        <v>#NAME?</v>
      </c>
    </row>
    <row r="80" spans="1:48" ht="13.2" x14ac:dyDescent="0.25">
      <c r="A80" s="59" t="s">
        <v>493</v>
      </c>
      <c r="B80" s="57">
        <v>45914.583325057873</v>
      </c>
      <c r="C80" s="17" t="s">
        <v>357</v>
      </c>
      <c r="D80" s="17" t="s">
        <v>12</v>
      </c>
      <c r="E80" s="17" t="s">
        <v>494</v>
      </c>
      <c r="F80" s="17" t="s">
        <v>156</v>
      </c>
      <c r="G80" s="17" t="s">
        <v>10</v>
      </c>
      <c r="H80" s="17" t="s">
        <v>495</v>
      </c>
      <c r="I80" s="17" t="s">
        <v>116</v>
      </c>
      <c r="J80" s="17" t="s">
        <v>434</v>
      </c>
      <c r="L80" s="19">
        <v>45809</v>
      </c>
      <c r="M80" s="19">
        <v>45788</v>
      </c>
      <c r="N80" s="19">
        <v>45809</v>
      </c>
      <c r="O80" s="17" t="s">
        <v>116</v>
      </c>
      <c r="P80" s="17" t="s">
        <v>116</v>
      </c>
      <c r="R80" s="17" t="s">
        <v>116</v>
      </c>
      <c r="S80" s="17" t="s">
        <v>116</v>
      </c>
      <c r="T80" s="17" t="s">
        <v>116</v>
      </c>
      <c r="V80" s="17" t="s">
        <v>116</v>
      </c>
      <c r="X80" s="17" t="s">
        <v>116</v>
      </c>
      <c r="AA80" s="49">
        <f t="shared" si="0"/>
        <v>7</v>
      </c>
      <c r="AB80" s="49">
        <f t="shared" si="1"/>
        <v>0</v>
      </c>
      <c r="AC80" s="17" t="s">
        <v>116</v>
      </c>
      <c r="AD80" s="17" t="s">
        <v>159</v>
      </c>
      <c r="AE80" s="17" t="s">
        <v>118</v>
      </c>
      <c r="AF80" s="17" t="s">
        <v>166</v>
      </c>
      <c r="AG80" s="17" t="s">
        <v>10</v>
      </c>
      <c r="AH80" s="17" t="s">
        <v>116</v>
      </c>
      <c r="AK80" s="17" t="s">
        <v>116</v>
      </c>
      <c r="AL80" s="17" t="s">
        <v>388</v>
      </c>
      <c r="AM80" s="19">
        <v>45844</v>
      </c>
      <c r="AN80" s="19">
        <v>45844</v>
      </c>
      <c r="AO80" s="17" t="s">
        <v>287</v>
      </c>
      <c r="AP80" s="17" t="s">
        <v>116</v>
      </c>
      <c r="AQ80" s="17" t="s">
        <v>116</v>
      </c>
      <c r="AR80" s="17" t="s">
        <v>112</v>
      </c>
      <c r="AU80" s="17" t="s">
        <v>116</v>
      </c>
      <c r="AV80" s="52" t="e">
        <f t="shared" ca="1" si="6"/>
        <v>#NAME?</v>
      </c>
    </row>
    <row r="81" spans="1:48" ht="13.2" x14ac:dyDescent="0.25">
      <c r="A81" s="59" t="s">
        <v>496</v>
      </c>
      <c r="B81" s="57">
        <v>45858.635167974542</v>
      </c>
      <c r="C81" s="17" t="s">
        <v>357</v>
      </c>
      <c r="D81" s="17" t="s">
        <v>12</v>
      </c>
      <c r="E81" s="17" t="s">
        <v>497</v>
      </c>
      <c r="F81" s="17" t="s">
        <v>498</v>
      </c>
      <c r="G81" s="17" t="s">
        <v>10</v>
      </c>
      <c r="H81" s="17" t="s">
        <v>499</v>
      </c>
      <c r="I81" s="17" t="s">
        <v>114</v>
      </c>
      <c r="J81" s="17" t="s">
        <v>115</v>
      </c>
      <c r="L81" s="19">
        <v>45816</v>
      </c>
      <c r="N81" s="19">
        <v>45831</v>
      </c>
      <c r="O81" s="17" t="s">
        <v>116</v>
      </c>
      <c r="P81" s="17" t="s">
        <v>116</v>
      </c>
      <c r="Q81" s="17" t="s">
        <v>116</v>
      </c>
      <c r="R81" s="17" t="s">
        <v>116</v>
      </c>
      <c r="S81" s="17" t="s">
        <v>116</v>
      </c>
      <c r="T81" s="17" t="s">
        <v>116</v>
      </c>
      <c r="V81" s="17" t="s">
        <v>116</v>
      </c>
      <c r="Z81" s="17" t="s">
        <v>116</v>
      </c>
      <c r="AA81" s="49">
        <f t="shared" si="0"/>
        <v>8</v>
      </c>
      <c r="AB81" s="49">
        <f t="shared" si="1"/>
        <v>0</v>
      </c>
      <c r="AC81" s="17" t="s">
        <v>116</v>
      </c>
      <c r="AD81" s="17" t="s">
        <v>126</v>
      </c>
      <c r="AE81" s="17" t="s">
        <v>118</v>
      </c>
      <c r="AF81" s="17" t="s">
        <v>500</v>
      </c>
      <c r="AG81" s="17" t="s">
        <v>10</v>
      </c>
      <c r="AH81" s="17" t="s">
        <v>116</v>
      </c>
      <c r="AI81" s="17" t="s">
        <v>139</v>
      </c>
      <c r="AK81" s="17" t="s">
        <v>116</v>
      </c>
      <c r="AL81" s="17" t="s">
        <v>362</v>
      </c>
      <c r="AM81" s="19">
        <v>45858</v>
      </c>
      <c r="AN81" s="19">
        <v>45858</v>
      </c>
      <c r="AO81" s="17" t="s">
        <v>439</v>
      </c>
      <c r="AP81" s="17" t="s">
        <v>116</v>
      </c>
      <c r="AQ81" s="17" t="s">
        <v>116</v>
      </c>
      <c r="AR81" s="17" t="s">
        <v>501</v>
      </c>
      <c r="AS81" s="17" t="s">
        <v>139</v>
      </c>
      <c r="AU81" s="17" t="s">
        <v>116</v>
      </c>
      <c r="AV81" s="52" t="e">
        <f t="shared" ca="1" si="6"/>
        <v>#NAME?</v>
      </c>
    </row>
    <row r="82" spans="1:48" ht="13.2" x14ac:dyDescent="0.25">
      <c r="A82" s="53" t="s">
        <v>502</v>
      </c>
      <c r="B82" s="57">
        <v>46110.474994930555</v>
      </c>
      <c r="C82" s="17" t="s">
        <v>357</v>
      </c>
      <c r="D82" s="60" t="s">
        <v>12</v>
      </c>
      <c r="E82" s="17" t="s">
        <v>408</v>
      </c>
      <c r="F82" s="26" t="s">
        <v>503</v>
      </c>
      <c r="G82" s="17" t="s">
        <v>6</v>
      </c>
      <c r="H82" s="26" t="s">
        <v>228</v>
      </c>
      <c r="I82" s="17" t="s">
        <v>114</v>
      </c>
      <c r="J82" s="17" t="s">
        <v>115</v>
      </c>
      <c r="L82" s="19">
        <v>45816</v>
      </c>
      <c r="N82" s="19">
        <v>45820</v>
      </c>
      <c r="AA82" s="49">
        <f t="shared" si="0"/>
        <v>0</v>
      </c>
      <c r="AB82" s="49">
        <f t="shared" si="1"/>
        <v>0</v>
      </c>
      <c r="AC82" s="17" t="s">
        <v>116</v>
      </c>
      <c r="AD82" s="17" t="s">
        <v>117</v>
      </c>
      <c r="AE82" s="17" t="s">
        <v>118</v>
      </c>
      <c r="AI82" s="17" t="s">
        <v>139</v>
      </c>
      <c r="AJ82" s="17" t="s">
        <v>139</v>
      </c>
      <c r="AK82" s="17" t="s">
        <v>116</v>
      </c>
      <c r="AL82" s="17" t="s">
        <v>113</v>
      </c>
      <c r="AN82" s="19">
        <v>46089</v>
      </c>
      <c r="AO82" s="17" t="s">
        <v>117</v>
      </c>
      <c r="AU82" s="17" t="s">
        <v>504</v>
      </c>
      <c r="AV82" s="58" t="s">
        <v>505</v>
      </c>
    </row>
    <row r="83" spans="1:48" ht="13.2" x14ac:dyDescent="0.25">
      <c r="A83" s="59" t="s">
        <v>506</v>
      </c>
      <c r="B83" s="57">
        <v>45851.835340868056</v>
      </c>
      <c r="C83" s="17" t="s">
        <v>357</v>
      </c>
      <c r="D83" s="17" t="s">
        <v>240</v>
      </c>
      <c r="E83" s="17" t="s">
        <v>507</v>
      </c>
      <c r="F83" s="17" t="s">
        <v>508</v>
      </c>
      <c r="G83" s="17" t="s">
        <v>7</v>
      </c>
      <c r="H83" s="17" t="s">
        <v>199</v>
      </c>
      <c r="I83" s="17" t="s">
        <v>114</v>
      </c>
      <c r="J83" s="17" t="s">
        <v>482</v>
      </c>
      <c r="L83" s="19">
        <v>45830</v>
      </c>
      <c r="M83" s="19">
        <v>45827</v>
      </c>
      <c r="N83" s="19">
        <v>45831</v>
      </c>
      <c r="O83" s="17" t="s">
        <v>116</v>
      </c>
      <c r="P83" s="17" t="s">
        <v>116</v>
      </c>
      <c r="Q83" s="17" t="s">
        <v>116</v>
      </c>
      <c r="R83" s="17" t="s">
        <v>116</v>
      </c>
      <c r="S83" s="17" t="s">
        <v>116</v>
      </c>
      <c r="T83" s="17" t="s">
        <v>116</v>
      </c>
      <c r="V83" s="17" t="s">
        <v>116</v>
      </c>
      <c r="Z83" s="17" t="s">
        <v>116</v>
      </c>
      <c r="AA83" s="49">
        <f t="shared" si="0"/>
        <v>8</v>
      </c>
      <c r="AB83" s="49">
        <f t="shared" si="1"/>
        <v>0</v>
      </c>
      <c r="AC83" s="17" t="s">
        <v>116</v>
      </c>
      <c r="AD83" s="17" t="s">
        <v>509</v>
      </c>
      <c r="AE83" s="17" t="s">
        <v>240</v>
      </c>
      <c r="AV83" s="52" t="e">
        <f t="shared" ref="AV83:AV87" ca="1" si="7">geturl(A83)</f>
        <v>#NAME?</v>
      </c>
    </row>
    <row r="84" spans="1:48" ht="13.2" x14ac:dyDescent="0.25">
      <c r="A84" s="59" t="s">
        <v>510</v>
      </c>
      <c r="B84" s="57">
        <v>45865.572893912038</v>
      </c>
      <c r="C84" s="17" t="s">
        <v>357</v>
      </c>
      <c r="D84" s="17" t="s">
        <v>12</v>
      </c>
      <c r="E84" s="17" t="s">
        <v>511</v>
      </c>
      <c r="F84" s="17" t="s">
        <v>23</v>
      </c>
      <c r="G84" s="17" t="s">
        <v>9</v>
      </c>
      <c r="H84" s="17" t="s">
        <v>512</v>
      </c>
      <c r="I84" s="17" t="s">
        <v>116</v>
      </c>
      <c r="J84" s="17" t="s">
        <v>513</v>
      </c>
      <c r="L84" s="19">
        <v>45823</v>
      </c>
      <c r="M84" s="19">
        <v>45823</v>
      </c>
      <c r="N84" s="19">
        <v>45831</v>
      </c>
      <c r="O84" s="17" t="s">
        <v>116</v>
      </c>
      <c r="P84" s="17" t="s">
        <v>116</v>
      </c>
      <c r="Q84" s="17" t="s">
        <v>116</v>
      </c>
      <c r="R84" s="17" t="s">
        <v>116</v>
      </c>
      <c r="S84" s="17" t="s">
        <v>116</v>
      </c>
      <c r="T84" s="17" t="s">
        <v>116</v>
      </c>
      <c r="V84" s="17" t="s">
        <v>116</v>
      </c>
      <c r="Z84" s="17" t="s">
        <v>116</v>
      </c>
      <c r="AA84" s="49">
        <f t="shared" si="0"/>
        <v>8</v>
      </c>
      <c r="AB84" s="49">
        <f t="shared" si="1"/>
        <v>0</v>
      </c>
      <c r="AC84" s="17" t="s">
        <v>116</v>
      </c>
      <c r="AD84" s="17" t="s">
        <v>117</v>
      </c>
      <c r="AE84" s="17" t="s">
        <v>118</v>
      </c>
      <c r="AF84" s="17" t="s">
        <v>514</v>
      </c>
      <c r="AG84" s="17" t="s">
        <v>9</v>
      </c>
      <c r="AH84" s="17" t="s">
        <v>116</v>
      </c>
      <c r="AK84" s="17" t="s">
        <v>116</v>
      </c>
      <c r="AL84" s="17" t="s">
        <v>362</v>
      </c>
      <c r="AM84" s="19">
        <v>45844</v>
      </c>
      <c r="AN84" s="19">
        <v>45844</v>
      </c>
      <c r="AO84" s="17" t="s">
        <v>132</v>
      </c>
      <c r="AP84" s="17" t="s">
        <v>116</v>
      </c>
      <c r="AQ84" s="17" t="s">
        <v>116</v>
      </c>
      <c r="AR84" s="17" t="s">
        <v>501</v>
      </c>
      <c r="AU84" s="17" t="s">
        <v>116</v>
      </c>
      <c r="AV84" s="52" t="e">
        <f t="shared" ca="1" si="7"/>
        <v>#NAME?</v>
      </c>
    </row>
    <row r="85" spans="1:48" ht="13.2" x14ac:dyDescent="0.25">
      <c r="A85" s="59" t="s">
        <v>515</v>
      </c>
      <c r="B85" s="57">
        <v>45865.572046064815</v>
      </c>
      <c r="C85" s="17" t="s">
        <v>357</v>
      </c>
      <c r="D85" s="17" t="s">
        <v>12</v>
      </c>
      <c r="E85" s="17" t="s">
        <v>181</v>
      </c>
      <c r="F85" s="17" t="s">
        <v>498</v>
      </c>
      <c r="G85" s="17" t="s">
        <v>9</v>
      </c>
      <c r="H85" s="17" t="s">
        <v>516</v>
      </c>
      <c r="I85" s="17" t="s">
        <v>116</v>
      </c>
      <c r="J85" s="17" t="s">
        <v>513</v>
      </c>
      <c r="L85" s="19">
        <v>45823</v>
      </c>
      <c r="M85" s="19">
        <v>45823</v>
      </c>
      <c r="N85" s="19">
        <v>45831</v>
      </c>
      <c r="O85" s="17" t="s">
        <v>116</v>
      </c>
      <c r="P85" s="17" t="s">
        <v>116</v>
      </c>
      <c r="Q85" s="17" t="s">
        <v>116</v>
      </c>
      <c r="R85" s="17" t="s">
        <v>116</v>
      </c>
      <c r="S85" s="17" t="s">
        <v>116</v>
      </c>
      <c r="T85" s="17" t="s">
        <v>116</v>
      </c>
      <c r="V85" s="17" t="s">
        <v>116</v>
      </c>
      <c r="Z85" s="17" t="s">
        <v>116</v>
      </c>
      <c r="AA85" s="49">
        <f t="shared" si="0"/>
        <v>8</v>
      </c>
      <c r="AB85" s="49">
        <f t="shared" si="1"/>
        <v>0</v>
      </c>
      <c r="AC85" s="17" t="s">
        <v>116</v>
      </c>
      <c r="AD85" s="17" t="s">
        <v>117</v>
      </c>
      <c r="AE85" s="17" t="s">
        <v>118</v>
      </c>
      <c r="AF85" s="17"/>
      <c r="AG85" s="17"/>
      <c r="AK85" s="17" t="s">
        <v>116</v>
      </c>
      <c r="AL85" s="17" t="s">
        <v>362</v>
      </c>
      <c r="AM85" s="19">
        <v>45844</v>
      </c>
      <c r="AN85" s="19">
        <v>45844</v>
      </c>
      <c r="AO85" s="17" t="s">
        <v>132</v>
      </c>
      <c r="AP85" s="17" t="s">
        <v>116</v>
      </c>
      <c r="AQ85" s="17" t="s">
        <v>116</v>
      </c>
      <c r="AR85" s="17" t="s">
        <v>501</v>
      </c>
      <c r="AU85" s="17" t="s">
        <v>116</v>
      </c>
      <c r="AV85" s="52" t="e">
        <f t="shared" ca="1" si="7"/>
        <v>#NAME?</v>
      </c>
    </row>
    <row r="86" spans="1:48" ht="13.2" x14ac:dyDescent="0.25">
      <c r="A86" s="59" t="s">
        <v>517</v>
      </c>
      <c r="B86" s="57">
        <v>45914.582819814816</v>
      </c>
      <c r="C86" s="17" t="s">
        <v>357</v>
      </c>
      <c r="D86" s="17" t="s">
        <v>12</v>
      </c>
      <c r="E86" s="17" t="s">
        <v>518</v>
      </c>
      <c r="F86" s="17" t="s">
        <v>396</v>
      </c>
      <c r="G86" s="17" t="s">
        <v>10</v>
      </c>
      <c r="H86" s="17" t="s">
        <v>519</v>
      </c>
      <c r="I86" s="17" t="s">
        <v>114</v>
      </c>
      <c r="J86" s="17" t="s">
        <v>494</v>
      </c>
      <c r="L86" s="19">
        <v>45837</v>
      </c>
      <c r="M86" s="19">
        <v>45834</v>
      </c>
      <c r="N86" s="19">
        <v>45838</v>
      </c>
      <c r="O86" s="17" t="s">
        <v>116</v>
      </c>
      <c r="P86" s="17" t="s">
        <v>116</v>
      </c>
      <c r="Q86" s="17" t="s">
        <v>116</v>
      </c>
      <c r="R86" s="17" t="s">
        <v>116</v>
      </c>
      <c r="S86" s="17" t="s">
        <v>116</v>
      </c>
      <c r="T86" s="17" t="s">
        <v>116</v>
      </c>
      <c r="U86" s="17" t="s">
        <v>116</v>
      </c>
      <c r="V86" s="17" t="s">
        <v>116</v>
      </c>
      <c r="X86" s="17" t="s">
        <v>116</v>
      </c>
      <c r="Z86" s="17" t="s">
        <v>116</v>
      </c>
      <c r="AA86" s="49">
        <f t="shared" si="0"/>
        <v>10</v>
      </c>
      <c r="AB86" s="49">
        <f t="shared" si="1"/>
        <v>0</v>
      </c>
      <c r="AC86" s="17" t="s">
        <v>116</v>
      </c>
      <c r="AD86" s="17" t="s">
        <v>167</v>
      </c>
      <c r="AE86" s="17" t="s">
        <v>118</v>
      </c>
      <c r="AF86" s="17" t="s">
        <v>520</v>
      </c>
      <c r="AG86" s="17" t="s">
        <v>10</v>
      </c>
      <c r="AH86" s="17" t="s">
        <v>116</v>
      </c>
      <c r="AK86" s="17" t="s">
        <v>116</v>
      </c>
      <c r="AL86" s="17" t="s">
        <v>388</v>
      </c>
      <c r="AM86" s="19">
        <v>45844</v>
      </c>
      <c r="AN86" s="19">
        <v>45844</v>
      </c>
      <c r="AO86" s="17" t="s">
        <v>287</v>
      </c>
      <c r="AP86" s="17" t="s">
        <v>116</v>
      </c>
      <c r="AQ86" s="17" t="s">
        <v>116</v>
      </c>
      <c r="AR86" s="17" t="s">
        <v>112</v>
      </c>
      <c r="AU86" s="17" t="s">
        <v>116</v>
      </c>
      <c r="AV86" s="52" t="e">
        <f t="shared" ca="1" si="7"/>
        <v>#NAME?</v>
      </c>
    </row>
    <row r="87" spans="1:48" ht="13.2" x14ac:dyDescent="0.25">
      <c r="A87" s="59" t="s">
        <v>521</v>
      </c>
      <c r="B87" s="57">
        <v>45914.583087719904</v>
      </c>
      <c r="C87" s="17" t="s">
        <v>357</v>
      </c>
      <c r="D87" s="17" t="s">
        <v>12</v>
      </c>
      <c r="E87" s="17" t="s">
        <v>522</v>
      </c>
      <c r="F87" s="17" t="s">
        <v>386</v>
      </c>
      <c r="G87" s="17" t="s">
        <v>10</v>
      </c>
      <c r="H87" s="17" t="s">
        <v>523</v>
      </c>
      <c r="I87" s="17" t="s">
        <v>244</v>
      </c>
      <c r="J87" s="17" t="s">
        <v>494</v>
      </c>
      <c r="L87" s="19">
        <v>45837</v>
      </c>
      <c r="M87" s="19">
        <v>45834</v>
      </c>
      <c r="N87" s="19">
        <v>45838</v>
      </c>
      <c r="O87" s="17" t="s">
        <v>116</v>
      </c>
      <c r="P87" s="17" t="s">
        <v>116</v>
      </c>
      <c r="Q87" s="17" t="s">
        <v>116</v>
      </c>
      <c r="R87" s="17" t="s">
        <v>116</v>
      </c>
      <c r="T87" s="17" t="s">
        <v>116</v>
      </c>
      <c r="U87" s="17" t="s">
        <v>116</v>
      </c>
      <c r="V87" s="17" t="s">
        <v>116</v>
      </c>
      <c r="X87" s="17" t="s">
        <v>116</v>
      </c>
      <c r="Z87" s="17" t="s">
        <v>116</v>
      </c>
      <c r="AA87" s="49">
        <f t="shared" si="0"/>
        <v>9</v>
      </c>
      <c r="AB87" s="49">
        <f t="shared" si="1"/>
        <v>0</v>
      </c>
      <c r="AC87" s="17" t="s">
        <v>116</v>
      </c>
      <c r="AD87" s="17" t="s">
        <v>167</v>
      </c>
      <c r="AE87" s="17" t="s">
        <v>118</v>
      </c>
      <c r="AF87" s="17" t="s">
        <v>127</v>
      </c>
      <c r="AG87" s="17" t="s">
        <v>10</v>
      </c>
      <c r="AH87" s="17" t="s">
        <v>116</v>
      </c>
      <c r="AK87" s="17" t="s">
        <v>116</v>
      </c>
      <c r="AL87" s="17" t="s">
        <v>388</v>
      </c>
      <c r="AM87" s="19">
        <v>45844</v>
      </c>
      <c r="AN87" s="19">
        <v>45844</v>
      </c>
      <c r="AO87" s="17" t="s">
        <v>287</v>
      </c>
      <c r="AP87" s="17" t="s">
        <v>116</v>
      </c>
      <c r="AQ87" s="17" t="s">
        <v>116</v>
      </c>
      <c r="AR87" s="17" t="s">
        <v>112</v>
      </c>
      <c r="AU87" s="17" t="s">
        <v>116</v>
      </c>
      <c r="AV87" s="52" t="e">
        <f t="shared" ca="1" si="7"/>
        <v>#NAME?</v>
      </c>
    </row>
    <row r="88" spans="1:48" ht="13.2" x14ac:dyDescent="0.25">
      <c r="A88" s="59" t="s">
        <v>524</v>
      </c>
      <c r="B88" s="57">
        <v>45955.531788252316</v>
      </c>
      <c r="C88" s="17" t="s">
        <v>357</v>
      </c>
      <c r="D88" s="61" t="s">
        <v>12</v>
      </c>
      <c r="E88" s="17" t="s">
        <v>525</v>
      </c>
      <c r="F88" s="26" t="s">
        <v>386</v>
      </c>
      <c r="G88" s="17" t="s">
        <v>7</v>
      </c>
      <c r="H88" s="17" t="s">
        <v>199</v>
      </c>
      <c r="I88" s="17" t="s">
        <v>114</v>
      </c>
      <c r="J88" s="17" t="s">
        <v>526</v>
      </c>
      <c r="K88" s="17" t="s">
        <v>527</v>
      </c>
      <c r="L88" s="19">
        <v>45879</v>
      </c>
      <c r="M88" s="19">
        <v>45851</v>
      </c>
      <c r="N88" s="19">
        <v>45884</v>
      </c>
      <c r="O88" s="17" t="s">
        <v>116</v>
      </c>
      <c r="P88" s="17" t="s">
        <v>116</v>
      </c>
      <c r="Q88" s="17" t="s">
        <v>116</v>
      </c>
      <c r="R88" s="17" t="s">
        <v>116</v>
      </c>
      <c r="S88" s="17" t="s">
        <v>116</v>
      </c>
      <c r="T88" s="17" t="s">
        <v>116</v>
      </c>
      <c r="W88" s="17" t="s">
        <v>116</v>
      </c>
      <c r="Y88" s="17" t="s">
        <v>116</v>
      </c>
      <c r="Z88" s="17" t="s">
        <v>116</v>
      </c>
      <c r="AC88" s="17" t="s">
        <v>116</v>
      </c>
      <c r="AD88" s="17" t="s">
        <v>509</v>
      </c>
      <c r="AE88" s="17" t="s">
        <v>118</v>
      </c>
      <c r="AK88" s="17" t="s">
        <v>116</v>
      </c>
      <c r="AL88" s="17" t="s">
        <v>388</v>
      </c>
      <c r="AM88" s="19">
        <v>45886</v>
      </c>
      <c r="AN88" s="19">
        <v>45886</v>
      </c>
      <c r="AO88" s="17" t="s">
        <v>509</v>
      </c>
      <c r="AP88" s="17" t="s">
        <v>116</v>
      </c>
      <c r="AQ88" s="17" t="s">
        <v>116</v>
      </c>
      <c r="AR88" s="17" t="s">
        <v>509</v>
      </c>
      <c r="AS88" s="17" t="s">
        <v>139</v>
      </c>
      <c r="AT88" s="17" t="s">
        <v>139</v>
      </c>
      <c r="AU88" s="17" t="s">
        <v>116</v>
      </c>
      <c r="AV88" s="58" t="s">
        <v>528</v>
      </c>
    </row>
    <row r="89" spans="1:48" ht="13.2" x14ac:dyDescent="0.25">
      <c r="A89" s="59" t="s">
        <v>529</v>
      </c>
      <c r="B89" s="57">
        <v>45955.531629606485</v>
      </c>
      <c r="C89" s="17" t="s">
        <v>357</v>
      </c>
      <c r="D89" s="61" t="s">
        <v>12</v>
      </c>
      <c r="E89" s="17" t="s">
        <v>530</v>
      </c>
      <c r="F89" s="26" t="s">
        <v>396</v>
      </c>
      <c r="G89" s="17" t="s">
        <v>7</v>
      </c>
      <c r="H89" s="17" t="s">
        <v>199</v>
      </c>
      <c r="I89" s="17" t="s">
        <v>114</v>
      </c>
      <c r="J89" s="17" t="s">
        <v>155</v>
      </c>
      <c r="L89" s="19">
        <v>45876</v>
      </c>
      <c r="M89" s="19">
        <v>45872</v>
      </c>
      <c r="N89" s="19">
        <v>45876</v>
      </c>
      <c r="O89" s="17" t="s">
        <v>116</v>
      </c>
      <c r="P89" s="17" t="s">
        <v>116</v>
      </c>
      <c r="Q89" s="17" t="s">
        <v>116</v>
      </c>
      <c r="S89" s="17" t="s">
        <v>116</v>
      </c>
      <c r="U89" s="17" t="s">
        <v>116</v>
      </c>
      <c r="W89" s="17" t="s">
        <v>116</v>
      </c>
      <c r="X89" s="17" t="s">
        <v>116</v>
      </c>
      <c r="Y89" s="17" t="s">
        <v>116</v>
      </c>
      <c r="Z89" s="17" t="s">
        <v>116</v>
      </c>
      <c r="AC89" s="17" t="s">
        <v>116</v>
      </c>
      <c r="AD89" s="17" t="s">
        <v>509</v>
      </c>
      <c r="AE89" s="17" t="s">
        <v>118</v>
      </c>
      <c r="AI89" s="17" t="s">
        <v>139</v>
      </c>
      <c r="AK89" s="17" t="s">
        <v>116</v>
      </c>
      <c r="AL89" s="17" t="s">
        <v>388</v>
      </c>
      <c r="AM89" s="19">
        <v>45879</v>
      </c>
      <c r="AN89" s="19">
        <v>45879</v>
      </c>
      <c r="AO89" s="17" t="s">
        <v>509</v>
      </c>
      <c r="AP89" s="17" t="s">
        <v>116</v>
      </c>
      <c r="AQ89" s="17" t="s">
        <v>116</v>
      </c>
      <c r="AR89" s="17" t="s">
        <v>509</v>
      </c>
      <c r="AS89" s="17" t="s">
        <v>139</v>
      </c>
      <c r="AT89" s="17" t="s">
        <v>139</v>
      </c>
      <c r="AU89" s="17" t="s">
        <v>116</v>
      </c>
      <c r="AV89" s="58" t="s">
        <v>531</v>
      </c>
    </row>
    <row r="90" spans="1:48" ht="13.2" x14ac:dyDescent="0.25">
      <c r="A90" s="59" t="s">
        <v>532</v>
      </c>
      <c r="B90" s="57">
        <v>45977.406734780088</v>
      </c>
      <c r="C90" s="17" t="s">
        <v>357</v>
      </c>
      <c r="D90" s="17" t="s">
        <v>12</v>
      </c>
      <c r="E90" s="17" t="s">
        <v>533</v>
      </c>
      <c r="F90" s="26" t="s">
        <v>534</v>
      </c>
      <c r="G90" s="17" t="s">
        <v>3</v>
      </c>
      <c r="H90" s="17" t="s">
        <v>458</v>
      </c>
      <c r="I90" s="17" t="s">
        <v>116</v>
      </c>
      <c r="J90" s="17" t="s">
        <v>287</v>
      </c>
      <c r="L90" s="19">
        <v>45872</v>
      </c>
      <c r="M90" s="19">
        <v>45876</v>
      </c>
      <c r="N90" s="19">
        <v>45876</v>
      </c>
      <c r="O90" s="17" t="s">
        <v>116</v>
      </c>
      <c r="P90" s="17" t="s">
        <v>116</v>
      </c>
      <c r="Q90" s="17" t="s">
        <v>116</v>
      </c>
      <c r="S90" s="17" t="s">
        <v>116</v>
      </c>
      <c r="U90" s="17" t="s">
        <v>116</v>
      </c>
      <c r="W90" s="17" t="s">
        <v>116</v>
      </c>
      <c r="X90" s="17" t="s">
        <v>116</v>
      </c>
      <c r="Y90" s="17" t="s">
        <v>116</v>
      </c>
      <c r="Z90" s="17" t="s">
        <v>116</v>
      </c>
      <c r="AC90" s="17" t="s">
        <v>116</v>
      </c>
      <c r="AD90" s="17" t="s">
        <v>126</v>
      </c>
      <c r="AE90" s="17" t="s">
        <v>118</v>
      </c>
      <c r="AF90" s="17" t="s">
        <v>14</v>
      </c>
      <c r="AG90" s="17" t="s">
        <v>6</v>
      </c>
      <c r="AH90" s="17" t="s">
        <v>116</v>
      </c>
      <c r="AI90" s="17" t="s">
        <v>116</v>
      </c>
      <c r="AK90" s="17" t="s">
        <v>116</v>
      </c>
      <c r="AL90" s="17" t="s">
        <v>362</v>
      </c>
      <c r="AM90" s="19">
        <v>45893</v>
      </c>
      <c r="AN90" s="19">
        <v>45907</v>
      </c>
      <c r="AO90" s="17" t="s">
        <v>126</v>
      </c>
      <c r="AP90" s="17" t="s">
        <v>116</v>
      </c>
      <c r="AQ90" s="17" t="s">
        <v>116</v>
      </c>
      <c r="AR90" s="17" t="s">
        <v>126</v>
      </c>
      <c r="AS90" s="17" t="s">
        <v>116</v>
      </c>
      <c r="AU90" s="17" t="s">
        <v>116</v>
      </c>
      <c r="AV90" s="58" t="s">
        <v>535</v>
      </c>
    </row>
    <row r="91" spans="1:48" ht="13.2" x14ac:dyDescent="0.25">
      <c r="A91" s="59" t="s">
        <v>536</v>
      </c>
      <c r="B91" s="57">
        <v>45977.407202893519</v>
      </c>
      <c r="C91" s="17" t="s">
        <v>357</v>
      </c>
      <c r="D91" s="17" t="s">
        <v>12</v>
      </c>
      <c r="E91" s="17" t="s">
        <v>537</v>
      </c>
      <c r="F91" s="26" t="s">
        <v>538</v>
      </c>
      <c r="G91" s="17" t="s">
        <v>6</v>
      </c>
      <c r="H91" s="17" t="s">
        <v>539</v>
      </c>
      <c r="I91" s="17" t="s">
        <v>116</v>
      </c>
      <c r="J91" s="17" t="s">
        <v>287</v>
      </c>
      <c r="L91" s="19">
        <v>45872</v>
      </c>
      <c r="M91" s="19">
        <v>45872</v>
      </c>
      <c r="N91" s="19">
        <v>45876</v>
      </c>
      <c r="O91" s="17" t="s">
        <v>116</v>
      </c>
      <c r="P91" s="17" t="s">
        <v>116</v>
      </c>
      <c r="Q91" s="17" t="s">
        <v>116</v>
      </c>
      <c r="S91" s="17" t="s">
        <v>116</v>
      </c>
      <c r="U91" s="17" t="s">
        <v>116</v>
      </c>
      <c r="W91" s="17" t="s">
        <v>116</v>
      </c>
      <c r="X91" s="17" t="s">
        <v>116</v>
      </c>
      <c r="Y91" s="17" t="s">
        <v>116</v>
      </c>
      <c r="Z91" s="17" t="s">
        <v>116</v>
      </c>
      <c r="AC91" s="17" t="s">
        <v>116</v>
      </c>
      <c r="AD91" s="17" t="s">
        <v>117</v>
      </c>
      <c r="AE91" s="17" t="s">
        <v>118</v>
      </c>
      <c r="AF91" s="17" t="s">
        <v>181</v>
      </c>
      <c r="AG91" s="17" t="s">
        <v>9</v>
      </c>
      <c r="AH91" s="17" t="s">
        <v>116</v>
      </c>
      <c r="AK91" s="17" t="s">
        <v>116</v>
      </c>
      <c r="AL91" s="17" t="s">
        <v>362</v>
      </c>
      <c r="AM91" s="19">
        <v>45893</v>
      </c>
      <c r="AN91" s="19">
        <v>45914</v>
      </c>
      <c r="AO91" s="17" t="s">
        <v>117</v>
      </c>
      <c r="AP91" s="17" t="s">
        <v>116</v>
      </c>
      <c r="AQ91" s="17" t="s">
        <v>116</v>
      </c>
      <c r="AR91" s="17" t="s">
        <v>126</v>
      </c>
      <c r="AT91" s="17" t="s">
        <v>116</v>
      </c>
      <c r="AU91" s="17" t="s">
        <v>116</v>
      </c>
      <c r="AV91" s="58" t="s">
        <v>540</v>
      </c>
    </row>
    <row r="92" spans="1:48" ht="13.2" x14ac:dyDescent="0.25">
      <c r="A92" s="59" t="s">
        <v>541</v>
      </c>
      <c r="B92" s="57">
        <v>45977.406985000001</v>
      </c>
      <c r="C92" s="17" t="s">
        <v>357</v>
      </c>
      <c r="D92" s="62" t="s">
        <v>12</v>
      </c>
      <c r="E92" s="17" t="s">
        <v>168</v>
      </c>
      <c r="F92" s="26" t="s">
        <v>542</v>
      </c>
      <c r="G92" s="17" t="s">
        <v>10</v>
      </c>
      <c r="H92" s="17" t="s">
        <v>543</v>
      </c>
      <c r="I92" s="17" t="s">
        <v>116</v>
      </c>
      <c r="J92" s="17" t="s">
        <v>287</v>
      </c>
      <c r="L92" s="19">
        <v>45872</v>
      </c>
      <c r="M92" s="19">
        <v>45872</v>
      </c>
      <c r="N92" s="19">
        <v>45876</v>
      </c>
      <c r="O92" s="17" t="s">
        <v>116</v>
      </c>
      <c r="P92" s="17" t="s">
        <v>116</v>
      </c>
      <c r="Q92" s="17" t="s">
        <v>116</v>
      </c>
      <c r="S92" s="17" t="s">
        <v>116</v>
      </c>
      <c r="U92" s="17" t="s">
        <v>116</v>
      </c>
      <c r="W92" s="17" t="s">
        <v>116</v>
      </c>
      <c r="X92" s="17" t="s">
        <v>116</v>
      </c>
      <c r="Y92" s="17" t="s">
        <v>116</v>
      </c>
      <c r="Z92" s="17" t="s">
        <v>116</v>
      </c>
      <c r="AC92" s="17" t="s">
        <v>116</v>
      </c>
      <c r="AD92" s="17" t="s">
        <v>117</v>
      </c>
      <c r="AE92" s="17" t="s">
        <v>118</v>
      </c>
      <c r="AF92" s="17" t="s">
        <v>122</v>
      </c>
      <c r="AG92" s="17" t="s">
        <v>4</v>
      </c>
      <c r="AH92" s="17" t="s">
        <v>116</v>
      </c>
      <c r="AI92" s="17" t="s">
        <v>139</v>
      </c>
      <c r="AJ92" s="17" t="s">
        <v>116</v>
      </c>
      <c r="AK92" s="17" t="s">
        <v>116</v>
      </c>
      <c r="AL92" s="17" t="s">
        <v>362</v>
      </c>
      <c r="AM92" s="19">
        <v>45900</v>
      </c>
      <c r="AN92" s="19">
        <v>45907</v>
      </c>
      <c r="AO92" s="17" t="s">
        <v>159</v>
      </c>
      <c r="AP92" s="17" t="s">
        <v>116</v>
      </c>
      <c r="AQ92" s="17" t="s">
        <v>116</v>
      </c>
      <c r="AR92" s="17" t="s">
        <v>126</v>
      </c>
      <c r="AU92" s="17" t="s">
        <v>116</v>
      </c>
      <c r="AV92" s="58" t="s">
        <v>544</v>
      </c>
    </row>
    <row r="93" spans="1:48" ht="26.4" x14ac:dyDescent="0.25">
      <c r="A93" s="53" t="s">
        <v>545</v>
      </c>
      <c r="B93" s="57">
        <v>46128.831496400468</v>
      </c>
      <c r="C93" s="17" t="s">
        <v>357</v>
      </c>
      <c r="D93" s="17" t="s">
        <v>12</v>
      </c>
      <c r="E93" s="17" t="s">
        <v>546</v>
      </c>
      <c r="F93" s="26" t="s">
        <v>20</v>
      </c>
      <c r="G93" s="17" t="s">
        <v>9</v>
      </c>
      <c r="H93" s="26" t="s">
        <v>547</v>
      </c>
      <c r="I93" s="17" t="s">
        <v>114</v>
      </c>
      <c r="J93" s="17" t="s">
        <v>287</v>
      </c>
      <c r="L93" s="19">
        <v>45872</v>
      </c>
      <c r="M93" s="19">
        <v>45872</v>
      </c>
      <c r="N93" s="19">
        <v>45876</v>
      </c>
      <c r="O93" s="17" t="s">
        <v>116</v>
      </c>
      <c r="P93" s="17" t="s">
        <v>116</v>
      </c>
      <c r="Q93" s="17" t="s">
        <v>116</v>
      </c>
      <c r="S93" s="17" t="s">
        <v>116</v>
      </c>
      <c r="U93" s="17" t="s">
        <v>116</v>
      </c>
      <c r="W93" s="17" t="s">
        <v>116</v>
      </c>
      <c r="X93" s="17" t="s">
        <v>116</v>
      </c>
      <c r="Y93" s="17" t="s">
        <v>116</v>
      </c>
      <c r="Z93" s="17" t="s">
        <v>116</v>
      </c>
      <c r="AC93" s="17" t="s">
        <v>116</v>
      </c>
      <c r="AD93" s="17" t="s">
        <v>159</v>
      </c>
      <c r="AE93" s="17" t="s">
        <v>118</v>
      </c>
      <c r="AF93" s="17" t="s">
        <v>548</v>
      </c>
      <c r="AG93" s="17" t="s">
        <v>4</v>
      </c>
      <c r="AH93" s="17" t="s">
        <v>116</v>
      </c>
      <c r="AK93" s="17" t="s">
        <v>116</v>
      </c>
      <c r="AL93" s="17" t="s">
        <v>362</v>
      </c>
      <c r="AM93" s="19">
        <v>45893</v>
      </c>
      <c r="AN93" s="19">
        <v>45900</v>
      </c>
      <c r="AO93" s="17" t="s">
        <v>117</v>
      </c>
      <c r="AP93" s="17" t="s">
        <v>116</v>
      </c>
      <c r="AQ93" s="17" t="s">
        <v>116</v>
      </c>
      <c r="AR93" s="17" t="s">
        <v>117</v>
      </c>
      <c r="AU93" s="17" t="s">
        <v>116</v>
      </c>
      <c r="AV93" s="58" t="s">
        <v>549</v>
      </c>
    </row>
    <row r="94" spans="1:48" ht="26.4" x14ac:dyDescent="0.25">
      <c r="A94" s="53" t="s">
        <v>550</v>
      </c>
      <c r="B94" s="57">
        <v>46128.831795578706</v>
      </c>
      <c r="C94" s="17" t="s">
        <v>357</v>
      </c>
      <c r="D94" s="17" t="s">
        <v>12</v>
      </c>
      <c r="E94" s="17" t="s">
        <v>551</v>
      </c>
      <c r="F94" s="26" t="s">
        <v>552</v>
      </c>
      <c r="G94" s="17" t="s">
        <v>4</v>
      </c>
      <c r="H94" s="26" t="s">
        <v>156</v>
      </c>
      <c r="I94" s="17" t="s">
        <v>116</v>
      </c>
      <c r="J94" s="17" t="s">
        <v>287</v>
      </c>
      <c r="L94" s="19">
        <v>45872</v>
      </c>
      <c r="M94" s="19">
        <v>45872</v>
      </c>
      <c r="N94" s="19">
        <v>45876</v>
      </c>
      <c r="O94" s="17" t="s">
        <v>116</v>
      </c>
      <c r="P94" s="17" t="s">
        <v>116</v>
      </c>
      <c r="Q94" s="17" t="s">
        <v>116</v>
      </c>
      <c r="S94" s="17" t="s">
        <v>116</v>
      </c>
      <c r="U94" s="17" t="s">
        <v>116</v>
      </c>
      <c r="W94" s="17" t="s">
        <v>116</v>
      </c>
      <c r="X94" s="17" t="s">
        <v>116</v>
      </c>
      <c r="Y94" s="17" t="s">
        <v>116</v>
      </c>
      <c r="Z94" s="17" t="s">
        <v>116</v>
      </c>
      <c r="AC94" s="17" t="s">
        <v>116</v>
      </c>
      <c r="AD94" s="17" t="s">
        <v>159</v>
      </c>
      <c r="AE94" s="17" t="s">
        <v>118</v>
      </c>
      <c r="AF94" s="17" t="s">
        <v>194</v>
      </c>
      <c r="AG94" s="17" t="s">
        <v>6</v>
      </c>
      <c r="AH94" s="17" t="s">
        <v>116</v>
      </c>
      <c r="AK94" s="17" t="s">
        <v>116</v>
      </c>
      <c r="AL94" s="17" t="s">
        <v>362</v>
      </c>
      <c r="AM94" s="19">
        <v>45921</v>
      </c>
      <c r="AN94" s="19">
        <v>45921</v>
      </c>
      <c r="AO94" s="17" t="s">
        <v>159</v>
      </c>
      <c r="AP94" s="17" t="s">
        <v>116</v>
      </c>
      <c r="AQ94" s="17" t="s">
        <v>116</v>
      </c>
      <c r="AR94" s="17" t="s">
        <v>117</v>
      </c>
      <c r="AU94" s="17" t="s">
        <v>116</v>
      </c>
      <c r="AV94" s="58" t="s">
        <v>553</v>
      </c>
    </row>
    <row r="95" spans="1:48" ht="13.2" x14ac:dyDescent="0.25">
      <c r="A95" s="59" t="s">
        <v>554</v>
      </c>
      <c r="B95" s="57">
        <v>46058.788094826392</v>
      </c>
      <c r="C95" s="17" t="s">
        <v>357</v>
      </c>
      <c r="D95" s="17" t="s">
        <v>12</v>
      </c>
      <c r="E95" s="17" t="s">
        <v>324</v>
      </c>
      <c r="F95" s="26" t="s">
        <v>20</v>
      </c>
      <c r="G95" s="17" t="s">
        <v>2</v>
      </c>
      <c r="H95" s="17" t="s">
        <v>555</v>
      </c>
      <c r="I95" s="17" t="s">
        <v>116</v>
      </c>
      <c r="J95" s="17" t="s">
        <v>287</v>
      </c>
      <c r="K95" s="17" t="s">
        <v>556</v>
      </c>
      <c r="L95" s="19">
        <v>45872</v>
      </c>
      <c r="M95" s="19">
        <v>45872</v>
      </c>
      <c r="N95" s="19">
        <v>45876</v>
      </c>
      <c r="O95" s="17" t="s">
        <v>116</v>
      </c>
      <c r="P95" s="17" t="s">
        <v>116</v>
      </c>
      <c r="Q95" s="17" t="s">
        <v>116</v>
      </c>
      <c r="S95" s="17" t="s">
        <v>116</v>
      </c>
      <c r="U95" s="17" t="s">
        <v>116</v>
      </c>
      <c r="W95" s="17" t="s">
        <v>116</v>
      </c>
      <c r="X95" s="17" t="s">
        <v>116</v>
      </c>
      <c r="Y95" s="17" t="s">
        <v>116</v>
      </c>
      <c r="Z95" s="17" t="s">
        <v>116</v>
      </c>
      <c r="AC95" s="17" t="s">
        <v>116</v>
      </c>
      <c r="AD95" s="17" t="s">
        <v>126</v>
      </c>
      <c r="AE95" s="17" t="s">
        <v>118</v>
      </c>
      <c r="AF95" s="17" t="s">
        <v>203</v>
      </c>
      <c r="AG95" s="17" t="s">
        <v>4</v>
      </c>
      <c r="AH95" s="17" t="s">
        <v>116</v>
      </c>
      <c r="AI95" s="17" t="s">
        <v>139</v>
      </c>
      <c r="AK95" s="17" t="s">
        <v>116</v>
      </c>
      <c r="AL95" s="17" t="s">
        <v>362</v>
      </c>
      <c r="AM95" s="19">
        <v>45890</v>
      </c>
      <c r="AN95" s="19">
        <v>45886</v>
      </c>
      <c r="AO95" s="17" t="s">
        <v>126</v>
      </c>
      <c r="AP95" s="17" t="s">
        <v>116</v>
      </c>
      <c r="AQ95" s="17" t="s">
        <v>116</v>
      </c>
      <c r="AR95" s="17" t="s">
        <v>126</v>
      </c>
      <c r="AU95" s="17" t="s">
        <v>116</v>
      </c>
      <c r="AV95" s="58" t="s">
        <v>557</v>
      </c>
    </row>
    <row r="96" spans="1:48" ht="13.2" x14ac:dyDescent="0.25">
      <c r="A96" s="59" t="s">
        <v>558</v>
      </c>
      <c r="B96" s="57">
        <v>46058.395671921295</v>
      </c>
      <c r="C96" s="17" t="s">
        <v>357</v>
      </c>
      <c r="D96" s="17" t="s">
        <v>12</v>
      </c>
      <c r="E96" s="17" t="s">
        <v>559</v>
      </c>
      <c r="F96" s="26" t="s">
        <v>156</v>
      </c>
      <c r="G96" s="17" t="s">
        <v>4</v>
      </c>
      <c r="H96" s="17" t="s">
        <v>560</v>
      </c>
      <c r="I96" s="17" t="s">
        <v>116</v>
      </c>
      <c r="J96" s="17" t="s">
        <v>287</v>
      </c>
      <c r="L96" s="19">
        <v>45872</v>
      </c>
      <c r="M96" s="19">
        <v>45872</v>
      </c>
      <c r="N96" s="19">
        <v>45876</v>
      </c>
      <c r="O96" s="17" t="s">
        <v>116</v>
      </c>
      <c r="P96" s="17" t="s">
        <v>116</v>
      </c>
      <c r="Q96" s="17" t="s">
        <v>116</v>
      </c>
      <c r="S96" s="17" t="s">
        <v>116</v>
      </c>
      <c r="W96" s="17" t="s">
        <v>116</v>
      </c>
      <c r="X96" s="17" t="s">
        <v>116</v>
      </c>
      <c r="Y96" s="17" t="s">
        <v>116</v>
      </c>
      <c r="Z96" s="17" t="s">
        <v>116</v>
      </c>
      <c r="AC96" s="17" t="s">
        <v>116</v>
      </c>
      <c r="AD96" s="17" t="s">
        <v>159</v>
      </c>
      <c r="AE96" s="17" t="s">
        <v>118</v>
      </c>
      <c r="AF96" s="17" t="s">
        <v>551</v>
      </c>
      <c r="AG96" s="17" t="s">
        <v>4</v>
      </c>
      <c r="AH96" s="17" t="s">
        <v>116</v>
      </c>
      <c r="AK96" s="17" t="s">
        <v>116</v>
      </c>
      <c r="AL96" s="17" t="s">
        <v>388</v>
      </c>
      <c r="AM96" s="19">
        <v>45921</v>
      </c>
      <c r="AN96" s="19">
        <v>45921</v>
      </c>
      <c r="AO96" s="17" t="s">
        <v>159</v>
      </c>
      <c r="AP96" s="17" t="s">
        <v>116</v>
      </c>
      <c r="AQ96" s="17" t="s">
        <v>116</v>
      </c>
      <c r="AR96" s="17" t="s">
        <v>561</v>
      </c>
      <c r="AS96" s="17" t="s">
        <v>116</v>
      </c>
      <c r="AT96" s="17" t="s">
        <v>139</v>
      </c>
      <c r="AU96" s="17" t="s">
        <v>116</v>
      </c>
      <c r="AV96" s="58" t="s">
        <v>562</v>
      </c>
    </row>
    <row r="97" spans="1:48" ht="13.2" x14ac:dyDescent="0.25">
      <c r="A97" s="59" t="s">
        <v>563</v>
      </c>
      <c r="B97" s="57">
        <v>45879.646944062501</v>
      </c>
      <c r="C97" s="17" t="s">
        <v>357</v>
      </c>
      <c r="D97" s="63" t="s">
        <v>12</v>
      </c>
      <c r="E97" s="17" t="s">
        <v>364</v>
      </c>
      <c r="F97" s="17" t="s">
        <v>268</v>
      </c>
      <c r="G97" s="17" t="s">
        <v>7</v>
      </c>
      <c r="H97" s="17" t="s">
        <v>564</v>
      </c>
      <c r="I97" s="17" t="s">
        <v>114</v>
      </c>
      <c r="J97" s="17" t="s">
        <v>481</v>
      </c>
      <c r="L97" s="19">
        <v>45876</v>
      </c>
      <c r="M97" s="19">
        <v>45872</v>
      </c>
      <c r="N97" s="19">
        <v>45876</v>
      </c>
      <c r="O97" s="17" t="s">
        <v>116</v>
      </c>
      <c r="P97" s="17" t="s">
        <v>116</v>
      </c>
      <c r="Q97" s="17" t="s">
        <v>116</v>
      </c>
      <c r="S97" s="17" t="s">
        <v>116</v>
      </c>
      <c r="U97" s="17" t="s">
        <v>116</v>
      </c>
      <c r="W97" s="17" t="s">
        <v>116</v>
      </c>
      <c r="X97" s="17" t="s">
        <v>116</v>
      </c>
      <c r="Y97" s="17" t="s">
        <v>116</v>
      </c>
      <c r="Z97" s="17" t="s">
        <v>116</v>
      </c>
      <c r="AC97" s="17" t="s">
        <v>116</v>
      </c>
      <c r="AD97" s="17" t="s">
        <v>509</v>
      </c>
      <c r="AE97" s="17" t="s">
        <v>118</v>
      </c>
      <c r="AF97" s="17" t="s">
        <v>565</v>
      </c>
      <c r="AG97" s="17" t="s">
        <v>9</v>
      </c>
      <c r="AH97" s="17" t="s">
        <v>116</v>
      </c>
      <c r="AI97" s="17" t="s">
        <v>139</v>
      </c>
      <c r="AK97" s="17" t="s">
        <v>116</v>
      </c>
      <c r="AL97" s="17" t="s">
        <v>362</v>
      </c>
      <c r="AM97" s="19">
        <v>45879</v>
      </c>
      <c r="AN97" s="19">
        <v>45879</v>
      </c>
      <c r="AO97" s="17" t="s">
        <v>170</v>
      </c>
      <c r="AP97" s="17" t="s">
        <v>116</v>
      </c>
      <c r="AQ97" s="17" t="s">
        <v>116</v>
      </c>
      <c r="AR97" s="17" t="s">
        <v>501</v>
      </c>
      <c r="AS97" s="17" t="s">
        <v>139</v>
      </c>
      <c r="AU97" s="17" t="s">
        <v>116</v>
      </c>
      <c r="AV97" s="52" t="e">
        <f t="shared" ref="AV97:AV100" ca="1" si="8">geturl(A97)</f>
        <v>#NAME?</v>
      </c>
    </row>
    <row r="98" spans="1:48" ht="13.2" x14ac:dyDescent="0.25">
      <c r="A98" s="59" t="s">
        <v>566</v>
      </c>
      <c r="B98" s="57">
        <v>45879.647630648149</v>
      </c>
      <c r="C98" s="17" t="s">
        <v>357</v>
      </c>
      <c r="D98" s="63" t="s">
        <v>12</v>
      </c>
      <c r="E98" s="17" t="s">
        <v>441</v>
      </c>
      <c r="F98" s="17" t="s">
        <v>567</v>
      </c>
      <c r="G98" s="17" t="s">
        <v>7</v>
      </c>
      <c r="H98" s="17" t="s">
        <v>568</v>
      </c>
      <c r="I98" s="17" t="s">
        <v>114</v>
      </c>
      <c r="J98" s="17" t="s">
        <v>481</v>
      </c>
      <c r="L98" s="19">
        <v>45876</v>
      </c>
      <c r="M98" s="19">
        <v>45872</v>
      </c>
      <c r="N98" s="19">
        <v>45876</v>
      </c>
      <c r="O98" s="17" t="s">
        <v>116</v>
      </c>
      <c r="P98" s="17" t="s">
        <v>116</v>
      </c>
      <c r="Q98" s="17" t="s">
        <v>116</v>
      </c>
      <c r="S98" s="17" t="s">
        <v>116</v>
      </c>
      <c r="U98" s="17" t="s">
        <v>116</v>
      </c>
      <c r="W98" s="17" t="s">
        <v>116</v>
      </c>
      <c r="X98" s="17" t="s">
        <v>116</v>
      </c>
      <c r="Y98" s="17" t="s">
        <v>116</v>
      </c>
      <c r="Z98" s="17" t="s">
        <v>116</v>
      </c>
      <c r="AC98" s="17" t="s">
        <v>116</v>
      </c>
      <c r="AD98" s="17" t="s">
        <v>509</v>
      </c>
      <c r="AE98" s="17" t="s">
        <v>118</v>
      </c>
      <c r="AF98" s="17" t="s">
        <v>569</v>
      </c>
      <c r="AG98" s="17" t="s">
        <v>9</v>
      </c>
      <c r="AH98" s="17" t="s">
        <v>116</v>
      </c>
      <c r="AI98" s="17" t="s">
        <v>139</v>
      </c>
      <c r="AK98" s="17" t="s">
        <v>116</v>
      </c>
      <c r="AL98" s="17" t="s">
        <v>362</v>
      </c>
      <c r="AM98" s="19">
        <v>45879</v>
      </c>
      <c r="AN98" s="19">
        <v>45879</v>
      </c>
      <c r="AO98" s="17" t="s">
        <v>170</v>
      </c>
      <c r="AP98" s="17" t="s">
        <v>116</v>
      </c>
      <c r="AQ98" s="17" t="s">
        <v>116</v>
      </c>
      <c r="AR98" s="17" t="s">
        <v>501</v>
      </c>
      <c r="AS98" s="17" t="s">
        <v>139</v>
      </c>
      <c r="AU98" s="17" t="s">
        <v>116</v>
      </c>
      <c r="AV98" s="52" t="e">
        <f t="shared" ca="1" si="8"/>
        <v>#NAME?</v>
      </c>
    </row>
    <row r="99" spans="1:48" ht="13.2" x14ac:dyDescent="0.25">
      <c r="A99" s="59" t="s">
        <v>570</v>
      </c>
      <c r="B99" s="57">
        <v>45914.576500810188</v>
      </c>
      <c r="C99" s="17" t="s">
        <v>357</v>
      </c>
      <c r="D99" s="17" t="s">
        <v>240</v>
      </c>
      <c r="E99" s="17" t="s">
        <v>571</v>
      </c>
      <c r="F99" s="17" t="s">
        <v>25</v>
      </c>
      <c r="G99" s="17" t="s">
        <v>4</v>
      </c>
      <c r="H99" s="17" t="s">
        <v>572</v>
      </c>
      <c r="I99" s="17" t="s">
        <v>116</v>
      </c>
      <c r="J99" s="17" t="s">
        <v>573</v>
      </c>
      <c r="L99" s="19">
        <v>45876</v>
      </c>
      <c r="M99" s="19">
        <v>45872</v>
      </c>
      <c r="N99" s="19">
        <v>45876</v>
      </c>
      <c r="O99" s="17" t="s">
        <v>116</v>
      </c>
      <c r="P99" s="17" t="s">
        <v>116</v>
      </c>
      <c r="Q99" s="17" t="s">
        <v>116</v>
      </c>
      <c r="S99" s="17" t="s">
        <v>116</v>
      </c>
      <c r="U99" s="17" t="s">
        <v>116</v>
      </c>
      <c r="W99" s="17" t="s">
        <v>116</v>
      </c>
      <c r="X99" s="17" t="s">
        <v>116</v>
      </c>
      <c r="Y99" s="17" t="s">
        <v>116</v>
      </c>
      <c r="Z99" s="17" t="s">
        <v>116</v>
      </c>
      <c r="AC99" s="17" t="s">
        <v>116</v>
      </c>
      <c r="AD99" s="17" t="s">
        <v>126</v>
      </c>
      <c r="AE99" s="17" t="s">
        <v>240</v>
      </c>
      <c r="AF99" s="17" t="s">
        <v>453</v>
      </c>
      <c r="AG99" s="17" t="s">
        <v>5</v>
      </c>
      <c r="AV99" s="52" t="e">
        <f t="shared" ca="1" si="8"/>
        <v>#NAME?</v>
      </c>
    </row>
    <row r="100" spans="1:48" ht="13.2" x14ac:dyDescent="0.25">
      <c r="A100" s="59" t="s">
        <v>574</v>
      </c>
      <c r="B100" s="57">
        <v>45890.791339074072</v>
      </c>
      <c r="C100" s="17" t="s">
        <v>357</v>
      </c>
      <c r="D100" s="61" t="s">
        <v>12</v>
      </c>
      <c r="E100" s="17" t="s">
        <v>575</v>
      </c>
      <c r="F100" s="17" t="s">
        <v>576</v>
      </c>
      <c r="G100" s="17" t="s">
        <v>10</v>
      </c>
      <c r="H100" s="17" t="s">
        <v>199</v>
      </c>
      <c r="I100" s="17" t="s">
        <v>114</v>
      </c>
      <c r="J100" s="17" t="s">
        <v>434</v>
      </c>
      <c r="L100" s="19">
        <v>45876</v>
      </c>
      <c r="M100" s="19">
        <v>45872</v>
      </c>
      <c r="N100" s="19">
        <v>45876</v>
      </c>
      <c r="O100" s="17" t="s">
        <v>116</v>
      </c>
      <c r="P100" s="17" t="s">
        <v>116</v>
      </c>
      <c r="Q100" s="17" t="s">
        <v>116</v>
      </c>
      <c r="S100" s="17" t="s">
        <v>116</v>
      </c>
      <c r="U100" s="17" t="s">
        <v>116</v>
      </c>
      <c r="W100" s="17" t="s">
        <v>116</v>
      </c>
      <c r="X100" s="17" t="s">
        <v>116</v>
      </c>
      <c r="Y100" s="17" t="s">
        <v>116</v>
      </c>
      <c r="Z100" s="17" t="s">
        <v>116</v>
      </c>
      <c r="AC100" s="17" t="s">
        <v>116</v>
      </c>
      <c r="AD100" s="17" t="s">
        <v>167</v>
      </c>
      <c r="AE100" s="17" t="s">
        <v>118</v>
      </c>
      <c r="AF100" s="17" t="s">
        <v>494</v>
      </c>
      <c r="AG100" s="17" t="s">
        <v>10</v>
      </c>
      <c r="AH100" s="17" t="s">
        <v>116</v>
      </c>
      <c r="AK100" s="17" t="s">
        <v>116</v>
      </c>
      <c r="AL100" s="17" t="s">
        <v>388</v>
      </c>
      <c r="AM100" s="19">
        <v>45886</v>
      </c>
      <c r="AN100" s="19">
        <v>45886</v>
      </c>
      <c r="AO100" s="17" t="s">
        <v>112</v>
      </c>
      <c r="AP100" s="17" t="s">
        <v>116</v>
      </c>
      <c r="AQ100" s="17" t="s">
        <v>116</v>
      </c>
      <c r="AR100" s="17" t="s">
        <v>170</v>
      </c>
      <c r="AU100" s="17" t="s">
        <v>116</v>
      </c>
      <c r="AV100" s="52" t="e">
        <f t="shared" ca="1" si="8"/>
        <v>#NAME?</v>
      </c>
    </row>
    <row r="101" spans="1:48" ht="26.4" x14ac:dyDescent="0.25">
      <c r="A101" s="53" t="s">
        <v>577</v>
      </c>
      <c r="B101" s="57">
        <v>46128.832194432871</v>
      </c>
      <c r="C101" s="17" t="s">
        <v>357</v>
      </c>
      <c r="D101" s="17" t="s">
        <v>12</v>
      </c>
      <c r="E101" s="17" t="s">
        <v>578</v>
      </c>
      <c r="F101" s="26" t="s">
        <v>579</v>
      </c>
      <c r="G101" s="17" t="s">
        <v>4</v>
      </c>
      <c r="H101" s="26" t="s">
        <v>580</v>
      </c>
      <c r="I101" s="17" t="s">
        <v>116</v>
      </c>
      <c r="J101" s="17" t="s">
        <v>287</v>
      </c>
      <c r="K101" s="17" t="s">
        <v>581</v>
      </c>
      <c r="L101" s="19">
        <v>45879</v>
      </c>
      <c r="M101" s="19">
        <v>45879</v>
      </c>
      <c r="N101" s="19">
        <v>45884</v>
      </c>
      <c r="O101" s="17" t="s">
        <v>116</v>
      </c>
      <c r="P101" s="17" t="s">
        <v>116</v>
      </c>
      <c r="Q101" s="17" t="s">
        <v>116</v>
      </c>
      <c r="R101" s="17" t="s">
        <v>116</v>
      </c>
      <c r="S101" s="17" t="s">
        <v>116</v>
      </c>
      <c r="T101" s="17" t="s">
        <v>116</v>
      </c>
      <c r="W101" s="17" t="s">
        <v>116</v>
      </c>
      <c r="Y101" s="17" t="s">
        <v>116</v>
      </c>
      <c r="Z101" s="17" t="s">
        <v>116</v>
      </c>
      <c r="AC101" s="17" t="s">
        <v>116</v>
      </c>
      <c r="AD101" s="17" t="s">
        <v>159</v>
      </c>
      <c r="AE101" s="17" t="s">
        <v>118</v>
      </c>
      <c r="AF101" s="17" t="s">
        <v>24</v>
      </c>
      <c r="AG101" s="17" t="s">
        <v>10</v>
      </c>
      <c r="AH101" s="17" t="s">
        <v>116</v>
      </c>
      <c r="AK101" s="17" t="s">
        <v>116</v>
      </c>
      <c r="AL101" s="17" t="s">
        <v>362</v>
      </c>
      <c r="AM101" s="19">
        <v>45921</v>
      </c>
      <c r="AN101" s="19">
        <v>45921</v>
      </c>
      <c r="AO101" s="17" t="s">
        <v>159</v>
      </c>
      <c r="AP101" s="17" t="s">
        <v>116</v>
      </c>
      <c r="AQ101" s="17" t="s">
        <v>116</v>
      </c>
      <c r="AR101" s="17" t="s">
        <v>117</v>
      </c>
      <c r="AU101" s="17" t="s">
        <v>116</v>
      </c>
      <c r="AV101" s="58" t="s">
        <v>582</v>
      </c>
    </row>
    <row r="102" spans="1:48" ht="13.2" x14ac:dyDescent="0.25">
      <c r="A102" s="59" t="s">
        <v>583</v>
      </c>
      <c r="B102" s="57">
        <v>45907.595170983797</v>
      </c>
      <c r="C102" s="17" t="s">
        <v>357</v>
      </c>
      <c r="D102" s="17" t="s">
        <v>12</v>
      </c>
      <c r="E102" s="17" t="s">
        <v>584</v>
      </c>
      <c r="F102" s="17" t="s">
        <v>585</v>
      </c>
      <c r="G102" s="17" t="s">
        <v>3</v>
      </c>
      <c r="H102" s="17" t="s">
        <v>586</v>
      </c>
      <c r="I102" s="17" t="s">
        <v>116</v>
      </c>
      <c r="J102" s="17" t="s">
        <v>191</v>
      </c>
      <c r="L102" s="19">
        <v>45894</v>
      </c>
      <c r="M102" s="19">
        <v>45893</v>
      </c>
      <c r="N102" s="19">
        <v>45895</v>
      </c>
      <c r="O102" s="17" t="s">
        <v>116</v>
      </c>
      <c r="P102" s="17" t="s">
        <v>116</v>
      </c>
      <c r="Q102" s="17" t="s">
        <v>116</v>
      </c>
      <c r="R102" s="17" t="s">
        <v>116</v>
      </c>
      <c r="V102" s="17" t="s">
        <v>116</v>
      </c>
      <c r="W102" s="17" t="s">
        <v>116</v>
      </c>
      <c r="Y102" s="17" t="s">
        <v>116</v>
      </c>
      <c r="Z102" s="17" t="s">
        <v>116</v>
      </c>
      <c r="AC102" s="17" t="s">
        <v>116</v>
      </c>
      <c r="AD102" s="17" t="s">
        <v>117</v>
      </c>
      <c r="AE102" s="17" t="s">
        <v>118</v>
      </c>
      <c r="AF102" s="17" t="s">
        <v>533</v>
      </c>
      <c r="AG102" s="17" t="s">
        <v>3</v>
      </c>
      <c r="AH102" s="17" t="s">
        <v>116</v>
      </c>
      <c r="AK102" s="17" t="s">
        <v>116</v>
      </c>
      <c r="AL102" s="17" t="s">
        <v>388</v>
      </c>
      <c r="AM102" s="19">
        <v>45907</v>
      </c>
      <c r="AN102" s="19">
        <v>45907</v>
      </c>
      <c r="AO102" s="17" t="s">
        <v>439</v>
      </c>
      <c r="AP102" s="17" t="s">
        <v>116</v>
      </c>
      <c r="AQ102" s="17" t="s">
        <v>116</v>
      </c>
      <c r="AU102" s="17" t="s">
        <v>116</v>
      </c>
      <c r="AV102" s="52" t="e">
        <f ca="1">geturl(A102)</f>
        <v>#NAME?</v>
      </c>
    </row>
    <row r="103" spans="1:48" ht="26.4" x14ac:dyDescent="0.25">
      <c r="A103" s="53" t="s">
        <v>587</v>
      </c>
      <c r="B103" s="57">
        <v>46131.606620682869</v>
      </c>
      <c r="C103" s="17" t="s">
        <v>357</v>
      </c>
      <c r="D103" s="17" t="s">
        <v>12</v>
      </c>
      <c r="E103" s="17" t="s">
        <v>588</v>
      </c>
      <c r="F103" s="26" t="s">
        <v>589</v>
      </c>
      <c r="G103" s="17" t="s">
        <v>3</v>
      </c>
      <c r="H103" s="26" t="s">
        <v>590</v>
      </c>
      <c r="I103" s="17" t="s">
        <v>116</v>
      </c>
      <c r="J103" s="17" t="s">
        <v>191</v>
      </c>
      <c r="L103" s="19">
        <v>45894</v>
      </c>
      <c r="M103" s="19">
        <v>45894</v>
      </c>
      <c r="N103" s="19">
        <v>45895</v>
      </c>
      <c r="O103" s="17" t="s">
        <v>116</v>
      </c>
      <c r="P103" s="17" t="s">
        <v>116</v>
      </c>
      <c r="Q103" s="17" t="s">
        <v>116</v>
      </c>
      <c r="R103" s="17" t="s">
        <v>116</v>
      </c>
      <c r="V103" s="17" t="s">
        <v>116</v>
      </c>
      <c r="W103" s="17" t="s">
        <v>116</v>
      </c>
      <c r="Y103" s="17" t="s">
        <v>116</v>
      </c>
      <c r="Z103" s="17" t="s">
        <v>116</v>
      </c>
      <c r="AC103" s="17" t="s">
        <v>116</v>
      </c>
      <c r="AD103" s="17" t="s">
        <v>117</v>
      </c>
      <c r="AE103" s="17" t="s">
        <v>118</v>
      </c>
      <c r="AF103" s="17" t="s">
        <v>591</v>
      </c>
      <c r="AG103" s="17" t="s">
        <v>3</v>
      </c>
      <c r="AH103" s="17" t="s">
        <v>116</v>
      </c>
      <c r="AK103" s="17" t="s">
        <v>116</v>
      </c>
      <c r="AL103" s="17" t="s">
        <v>388</v>
      </c>
      <c r="AM103" s="19">
        <v>45907</v>
      </c>
      <c r="AN103" s="19">
        <v>45907</v>
      </c>
      <c r="AO103" s="17" t="s">
        <v>126</v>
      </c>
      <c r="AP103" s="17" t="s">
        <v>116</v>
      </c>
      <c r="AQ103" s="17" t="s">
        <v>116</v>
      </c>
      <c r="AR103" s="17" t="s">
        <v>592</v>
      </c>
      <c r="AU103" s="17" t="s">
        <v>116</v>
      </c>
      <c r="AV103" s="58" t="s">
        <v>593</v>
      </c>
    </row>
    <row r="104" spans="1:48" ht="13.2" x14ac:dyDescent="0.25">
      <c r="A104" s="59" t="s">
        <v>594</v>
      </c>
      <c r="B104" s="57">
        <v>46058.395904583333</v>
      </c>
      <c r="C104" s="17" t="s">
        <v>357</v>
      </c>
      <c r="D104" s="17" t="s">
        <v>12</v>
      </c>
      <c r="E104" s="17" t="s">
        <v>595</v>
      </c>
      <c r="F104" s="26" t="s">
        <v>396</v>
      </c>
      <c r="G104" s="17" t="s">
        <v>4</v>
      </c>
      <c r="H104" s="17" t="s">
        <v>596</v>
      </c>
      <c r="I104" s="17" t="s">
        <v>116</v>
      </c>
      <c r="J104" s="17" t="s">
        <v>597</v>
      </c>
      <c r="L104" s="19">
        <v>45894</v>
      </c>
      <c r="M104" s="19">
        <v>45893</v>
      </c>
      <c r="N104" s="19">
        <v>45895</v>
      </c>
      <c r="O104" s="17" t="s">
        <v>116</v>
      </c>
      <c r="P104" s="17" t="s">
        <v>116</v>
      </c>
      <c r="Q104" s="17" t="s">
        <v>116</v>
      </c>
      <c r="R104" s="17" t="s">
        <v>116</v>
      </c>
      <c r="V104" s="17" t="s">
        <v>116</v>
      </c>
      <c r="W104" s="17" t="s">
        <v>116</v>
      </c>
      <c r="Y104" s="17" t="s">
        <v>116</v>
      </c>
      <c r="Z104" s="17" t="s">
        <v>116</v>
      </c>
      <c r="AC104" s="17" t="s">
        <v>116</v>
      </c>
      <c r="AD104" s="17" t="s">
        <v>126</v>
      </c>
      <c r="AE104" s="17" t="s">
        <v>118</v>
      </c>
      <c r="AF104" s="17" t="s">
        <v>598</v>
      </c>
      <c r="AG104" s="17" t="s">
        <v>4</v>
      </c>
      <c r="AH104" s="17" t="s">
        <v>116</v>
      </c>
      <c r="AK104" s="17" t="s">
        <v>116</v>
      </c>
      <c r="AL104" s="17" t="s">
        <v>388</v>
      </c>
      <c r="AM104" s="19">
        <v>45921</v>
      </c>
      <c r="AN104" s="19">
        <v>45921</v>
      </c>
      <c r="AO104" s="17" t="s">
        <v>159</v>
      </c>
      <c r="AP104" s="17" t="s">
        <v>116</v>
      </c>
      <c r="AQ104" s="17" t="s">
        <v>116</v>
      </c>
      <c r="AR104" s="17" t="s">
        <v>561</v>
      </c>
      <c r="AS104" s="17" t="s">
        <v>139</v>
      </c>
      <c r="AT104" s="17" t="s">
        <v>139</v>
      </c>
      <c r="AU104" s="17" t="s">
        <v>116</v>
      </c>
      <c r="AV104" s="58" t="s">
        <v>599</v>
      </c>
    </row>
    <row r="105" spans="1:48" ht="13.2" x14ac:dyDescent="0.25">
      <c r="A105" s="59" t="s">
        <v>600</v>
      </c>
      <c r="B105" s="57">
        <v>46058.396140312499</v>
      </c>
      <c r="C105" s="17" t="s">
        <v>357</v>
      </c>
      <c r="D105" s="17" t="s">
        <v>12</v>
      </c>
      <c r="E105" s="17" t="s">
        <v>601</v>
      </c>
      <c r="F105" s="26" t="s">
        <v>386</v>
      </c>
      <c r="G105" s="17" t="s">
        <v>4</v>
      </c>
      <c r="H105" s="17" t="s">
        <v>602</v>
      </c>
      <c r="I105" s="17" t="s">
        <v>114</v>
      </c>
      <c r="J105" s="17" t="s">
        <v>597</v>
      </c>
      <c r="L105" s="19">
        <v>45894</v>
      </c>
      <c r="M105" s="19">
        <v>45893</v>
      </c>
      <c r="N105" s="19">
        <v>45895</v>
      </c>
      <c r="O105" s="17" t="s">
        <v>116</v>
      </c>
      <c r="P105" s="17" t="s">
        <v>116</v>
      </c>
      <c r="Q105" s="17" t="s">
        <v>116</v>
      </c>
      <c r="R105" s="17" t="s">
        <v>116</v>
      </c>
      <c r="V105" s="17" t="s">
        <v>116</v>
      </c>
      <c r="W105" s="17" t="s">
        <v>116</v>
      </c>
      <c r="Y105" s="17" t="s">
        <v>116</v>
      </c>
      <c r="Z105" s="17" t="s">
        <v>116</v>
      </c>
      <c r="AC105" s="17" t="s">
        <v>116</v>
      </c>
      <c r="AD105" s="17" t="s">
        <v>126</v>
      </c>
      <c r="AE105" s="17" t="s">
        <v>118</v>
      </c>
      <c r="AF105" s="17" t="s">
        <v>603</v>
      </c>
      <c r="AG105" s="17" t="s">
        <v>4</v>
      </c>
      <c r="AH105" s="17" t="s">
        <v>116</v>
      </c>
      <c r="AK105" s="17" t="s">
        <v>116</v>
      </c>
      <c r="AL105" s="17" t="s">
        <v>388</v>
      </c>
      <c r="AM105" s="19">
        <v>45921</v>
      </c>
      <c r="AN105" s="19">
        <v>45921</v>
      </c>
      <c r="AO105" s="17" t="s">
        <v>159</v>
      </c>
      <c r="AP105" s="17" t="s">
        <v>116</v>
      </c>
      <c r="AQ105" s="17" t="s">
        <v>116</v>
      </c>
      <c r="AR105" s="17" t="s">
        <v>561</v>
      </c>
      <c r="AS105" s="17" t="s">
        <v>139</v>
      </c>
      <c r="AT105" s="17" t="s">
        <v>139</v>
      </c>
      <c r="AU105" s="17" t="s">
        <v>116</v>
      </c>
      <c r="AV105" s="58" t="s">
        <v>604</v>
      </c>
    </row>
    <row r="106" spans="1:48" ht="26.4" x14ac:dyDescent="0.25">
      <c r="A106" s="59" t="s">
        <v>605</v>
      </c>
      <c r="B106" s="57">
        <v>45967.874065891199</v>
      </c>
      <c r="C106" s="17" t="s">
        <v>357</v>
      </c>
      <c r="D106" s="62" t="s">
        <v>12</v>
      </c>
      <c r="E106" s="17" t="s">
        <v>606</v>
      </c>
      <c r="F106" s="26" t="s">
        <v>607</v>
      </c>
      <c r="G106" s="17" t="s">
        <v>10</v>
      </c>
      <c r="H106" s="17" t="s">
        <v>608</v>
      </c>
      <c r="I106" s="17" t="s">
        <v>114</v>
      </c>
      <c r="J106" s="17" t="s">
        <v>132</v>
      </c>
      <c r="L106" s="19">
        <v>45904</v>
      </c>
      <c r="M106" s="19">
        <v>45905</v>
      </c>
      <c r="N106" s="19">
        <v>45912</v>
      </c>
      <c r="O106" s="17" t="s">
        <v>116</v>
      </c>
      <c r="P106" s="17" t="s">
        <v>116</v>
      </c>
      <c r="Q106" s="17" t="s">
        <v>116</v>
      </c>
      <c r="S106" s="17" t="s">
        <v>116</v>
      </c>
      <c r="T106" s="17" t="s">
        <v>116</v>
      </c>
      <c r="U106" s="17" t="s">
        <v>116</v>
      </c>
      <c r="X106" s="17" t="s">
        <v>116</v>
      </c>
      <c r="Y106" s="17" t="s">
        <v>116</v>
      </c>
      <c r="Z106" s="17" t="s">
        <v>116</v>
      </c>
      <c r="AC106" s="17" t="s">
        <v>116</v>
      </c>
      <c r="AD106" s="17" t="s">
        <v>167</v>
      </c>
      <c r="AE106" s="17" t="s">
        <v>118</v>
      </c>
      <c r="AK106" s="17" t="s">
        <v>116</v>
      </c>
      <c r="AL106" s="17" t="s">
        <v>362</v>
      </c>
      <c r="AM106" s="19">
        <v>45963</v>
      </c>
      <c r="AN106" s="19">
        <v>45963</v>
      </c>
      <c r="AO106" s="17" t="s">
        <v>167</v>
      </c>
      <c r="AP106" s="17" t="s">
        <v>116</v>
      </c>
      <c r="AQ106" s="17" t="s">
        <v>116</v>
      </c>
      <c r="AR106" s="17" t="s">
        <v>167</v>
      </c>
      <c r="AV106" s="58" t="s">
        <v>609</v>
      </c>
    </row>
    <row r="107" spans="1:48" ht="13.2" x14ac:dyDescent="0.25">
      <c r="A107" s="53" t="s">
        <v>610</v>
      </c>
      <c r="B107" s="57">
        <v>45946.862431145833</v>
      </c>
      <c r="C107" s="17" t="s">
        <v>357</v>
      </c>
      <c r="D107" s="60" t="s">
        <v>611</v>
      </c>
      <c r="E107" s="17" t="s">
        <v>612</v>
      </c>
      <c r="F107" s="26" t="s">
        <v>613</v>
      </c>
      <c r="G107" s="17" t="s">
        <v>6</v>
      </c>
      <c r="H107" s="26" t="s">
        <v>131</v>
      </c>
      <c r="I107" s="17" t="s">
        <v>114</v>
      </c>
      <c r="J107" s="17" t="s">
        <v>439</v>
      </c>
      <c r="L107" s="19">
        <v>45904</v>
      </c>
      <c r="M107" s="19">
        <v>45942</v>
      </c>
      <c r="N107" s="19">
        <v>45946</v>
      </c>
      <c r="R107" s="17" t="s">
        <v>116</v>
      </c>
      <c r="AC107" s="17" t="s">
        <v>116</v>
      </c>
      <c r="AD107" s="17" t="s">
        <v>126</v>
      </c>
      <c r="AV107" s="58" t="s">
        <v>614</v>
      </c>
    </row>
    <row r="108" spans="1:48" ht="13.2" x14ac:dyDescent="0.25">
      <c r="A108" s="59" t="s">
        <v>615</v>
      </c>
      <c r="B108" s="57">
        <v>45975.345227268517</v>
      </c>
      <c r="C108" s="17" t="s">
        <v>357</v>
      </c>
      <c r="D108" s="62" t="s">
        <v>12</v>
      </c>
      <c r="E108" s="17" t="s">
        <v>616</v>
      </c>
      <c r="F108" s="26" t="s">
        <v>152</v>
      </c>
      <c r="G108" s="17" t="s">
        <v>6</v>
      </c>
      <c r="H108" s="17" t="s">
        <v>463</v>
      </c>
      <c r="I108" s="17" t="s">
        <v>114</v>
      </c>
      <c r="J108" s="17" t="s">
        <v>145</v>
      </c>
      <c r="K108" s="17" t="s">
        <v>617</v>
      </c>
      <c r="L108" s="19">
        <v>45917</v>
      </c>
      <c r="M108" s="19">
        <v>45909</v>
      </c>
      <c r="N108" s="19">
        <v>45918</v>
      </c>
      <c r="O108" s="17" t="s">
        <v>116</v>
      </c>
      <c r="P108" s="17" t="s">
        <v>116</v>
      </c>
      <c r="Q108" s="17" t="s">
        <v>116</v>
      </c>
      <c r="S108" s="17" t="s">
        <v>116</v>
      </c>
      <c r="U108" s="17" t="s">
        <v>116</v>
      </c>
      <c r="W108" s="17" t="s">
        <v>116</v>
      </c>
      <c r="X108" s="17" t="s">
        <v>116</v>
      </c>
      <c r="Y108" s="17" t="s">
        <v>116</v>
      </c>
      <c r="Z108" s="17" t="s">
        <v>116</v>
      </c>
      <c r="AC108" s="17" t="s">
        <v>116</v>
      </c>
      <c r="AD108" s="17" t="s">
        <v>147</v>
      </c>
      <c r="AE108" s="17" t="s">
        <v>118</v>
      </c>
      <c r="AF108" s="17" t="s">
        <v>537</v>
      </c>
      <c r="AG108" s="17" t="s">
        <v>6</v>
      </c>
      <c r="AH108" s="17" t="s">
        <v>116</v>
      </c>
      <c r="AK108" s="17" t="s">
        <v>116</v>
      </c>
      <c r="AL108" s="17" t="s">
        <v>388</v>
      </c>
      <c r="AM108" s="19">
        <v>45956</v>
      </c>
      <c r="AN108" s="19">
        <v>45956</v>
      </c>
      <c r="AO108" s="17" t="s">
        <v>147</v>
      </c>
      <c r="AP108" s="17" t="s">
        <v>116</v>
      </c>
      <c r="AQ108" s="17" t="s">
        <v>116</v>
      </c>
      <c r="AR108" s="17" t="s">
        <v>618</v>
      </c>
      <c r="AU108" s="17" t="s">
        <v>116</v>
      </c>
      <c r="AV108" s="58" t="s">
        <v>619</v>
      </c>
    </row>
    <row r="109" spans="1:48" ht="13.2" x14ac:dyDescent="0.25">
      <c r="A109" s="59" t="s">
        <v>620</v>
      </c>
      <c r="B109" s="57">
        <v>46005.375823553244</v>
      </c>
      <c r="C109" s="17" t="s">
        <v>357</v>
      </c>
      <c r="D109" s="17" t="s">
        <v>12</v>
      </c>
      <c r="E109" s="17" t="s">
        <v>621</v>
      </c>
      <c r="F109" s="17" t="s">
        <v>622</v>
      </c>
      <c r="G109" s="17" t="s">
        <v>8</v>
      </c>
      <c r="H109" s="17" t="s">
        <v>623</v>
      </c>
      <c r="I109" s="17" t="s">
        <v>116</v>
      </c>
      <c r="J109" s="17" t="s">
        <v>287</v>
      </c>
      <c r="L109" s="19">
        <v>45946</v>
      </c>
      <c r="N109" s="19">
        <v>45946</v>
      </c>
      <c r="O109" s="17" t="s">
        <v>116</v>
      </c>
      <c r="Q109" s="17" t="s">
        <v>116</v>
      </c>
      <c r="R109" s="17" t="s">
        <v>116</v>
      </c>
      <c r="T109" s="17" t="s">
        <v>116</v>
      </c>
      <c r="V109" s="17" t="s">
        <v>116</v>
      </c>
      <c r="W109" s="17" t="s">
        <v>116</v>
      </c>
      <c r="X109" s="17" t="s">
        <v>116</v>
      </c>
      <c r="Y109" s="17" t="s">
        <v>116</v>
      </c>
      <c r="Z109" s="17" t="s">
        <v>116</v>
      </c>
      <c r="AC109" s="17" t="s">
        <v>116</v>
      </c>
      <c r="AD109" s="17" t="s">
        <v>159</v>
      </c>
      <c r="AE109" s="17" t="s">
        <v>118</v>
      </c>
      <c r="AF109" s="17" t="s">
        <v>624</v>
      </c>
      <c r="AG109" s="17" t="s">
        <v>6</v>
      </c>
      <c r="AH109" s="17" t="s">
        <v>116</v>
      </c>
      <c r="AK109" s="17" t="s">
        <v>116</v>
      </c>
      <c r="AL109" s="17" t="s">
        <v>362</v>
      </c>
      <c r="AM109" s="19">
        <v>45998</v>
      </c>
      <c r="AN109" s="19">
        <v>46000</v>
      </c>
      <c r="AO109" s="17" t="s">
        <v>117</v>
      </c>
      <c r="AQ109" s="17" t="s">
        <v>114</v>
      </c>
      <c r="AR109" s="17" t="s">
        <v>117</v>
      </c>
      <c r="AU109" s="17" t="s">
        <v>116</v>
      </c>
      <c r="AV109" s="58" t="s">
        <v>625</v>
      </c>
    </row>
    <row r="110" spans="1:48" ht="13.2" x14ac:dyDescent="0.25">
      <c r="A110" s="59" t="s">
        <v>626</v>
      </c>
      <c r="B110" s="57">
        <v>46078.719064965277</v>
      </c>
      <c r="C110" s="17" t="s">
        <v>357</v>
      </c>
      <c r="D110" s="60" t="s">
        <v>627</v>
      </c>
      <c r="E110" s="17" t="s">
        <v>628</v>
      </c>
      <c r="F110" s="17" t="s">
        <v>184</v>
      </c>
      <c r="G110" s="17" t="s">
        <v>2</v>
      </c>
      <c r="H110" s="17" t="s">
        <v>279</v>
      </c>
      <c r="I110" s="17" t="s">
        <v>116</v>
      </c>
      <c r="J110" s="17" t="s">
        <v>287</v>
      </c>
      <c r="K110" s="17" t="s">
        <v>629</v>
      </c>
      <c r="L110" s="19">
        <v>45946</v>
      </c>
      <c r="N110" s="19">
        <v>45946</v>
      </c>
      <c r="O110" s="17" t="s">
        <v>116</v>
      </c>
      <c r="P110" s="17" t="s">
        <v>116</v>
      </c>
      <c r="Q110" s="17" t="s">
        <v>116</v>
      </c>
      <c r="R110" s="17" t="s">
        <v>116</v>
      </c>
      <c r="T110" s="17" t="s">
        <v>116</v>
      </c>
      <c r="V110" s="17" t="s">
        <v>116</v>
      </c>
      <c r="W110" s="17" t="s">
        <v>116</v>
      </c>
      <c r="X110" s="17" t="s">
        <v>116</v>
      </c>
      <c r="Y110" s="17" t="s">
        <v>116</v>
      </c>
      <c r="Z110" s="17" t="s">
        <v>116</v>
      </c>
      <c r="AC110" s="17" t="s">
        <v>116</v>
      </c>
      <c r="AD110" s="17" t="s">
        <v>159</v>
      </c>
      <c r="AF110" s="17" t="s">
        <v>630</v>
      </c>
      <c r="AG110" s="17" t="s">
        <v>2</v>
      </c>
      <c r="AK110" s="17" t="s">
        <v>114</v>
      </c>
      <c r="AQ110" s="17" t="s">
        <v>114</v>
      </c>
      <c r="AV110" s="52" t="s">
        <v>631</v>
      </c>
    </row>
    <row r="111" spans="1:48" ht="13.2" x14ac:dyDescent="0.25">
      <c r="A111" s="59" t="s">
        <v>632</v>
      </c>
      <c r="B111" s="57">
        <v>46005.376748368057</v>
      </c>
      <c r="C111" s="17" t="s">
        <v>357</v>
      </c>
      <c r="D111" s="17" t="s">
        <v>12</v>
      </c>
      <c r="E111" s="17" t="s">
        <v>633</v>
      </c>
      <c r="F111" s="17" t="s">
        <v>634</v>
      </c>
      <c r="G111" s="17" t="s">
        <v>9</v>
      </c>
      <c r="H111" s="17" t="s">
        <v>635</v>
      </c>
      <c r="I111" s="17" t="s">
        <v>116</v>
      </c>
      <c r="J111" s="17" t="s">
        <v>621</v>
      </c>
      <c r="K111" s="17" t="s">
        <v>636</v>
      </c>
      <c r="L111" s="19">
        <v>45963</v>
      </c>
      <c r="M111" s="19">
        <v>45963</v>
      </c>
      <c r="N111" s="19">
        <v>45967</v>
      </c>
      <c r="O111" s="17" t="s">
        <v>116</v>
      </c>
      <c r="P111" s="17" t="s">
        <v>116</v>
      </c>
      <c r="Q111" s="17" t="s">
        <v>116</v>
      </c>
      <c r="S111" s="17" t="s">
        <v>116</v>
      </c>
      <c r="T111" s="17" t="s">
        <v>116</v>
      </c>
      <c r="U111" s="17" t="s">
        <v>116</v>
      </c>
      <c r="W111" s="17" t="s">
        <v>116</v>
      </c>
      <c r="X111" s="17" t="s">
        <v>116</v>
      </c>
      <c r="Y111" s="17" t="s">
        <v>116</v>
      </c>
      <c r="Z111" s="17" t="s">
        <v>116</v>
      </c>
      <c r="AC111" s="17" t="s">
        <v>116</v>
      </c>
      <c r="AD111" s="17" t="s">
        <v>117</v>
      </c>
      <c r="AE111" s="17" t="s">
        <v>118</v>
      </c>
      <c r="AF111" s="17" t="s">
        <v>637</v>
      </c>
      <c r="AG111" s="17" t="s">
        <v>10</v>
      </c>
      <c r="AH111" s="17" t="s">
        <v>116</v>
      </c>
      <c r="AK111" s="17" t="s">
        <v>116</v>
      </c>
      <c r="AL111" s="17" t="s">
        <v>362</v>
      </c>
      <c r="AM111" s="19">
        <v>45998</v>
      </c>
      <c r="AN111" s="19">
        <v>46000</v>
      </c>
      <c r="AO111" s="17" t="s">
        <v>117</v>
      </c>
      <c r="AP111" s="17" t="s">
        <v>116</v>
      </c>
      <c r="AQ111" s="17" t="s">
        <v>116</v>
      </c>
      <c r="AR111" s="17" t="s">
        <v>117</v>
      </c>
      <c r="AU111" s="17" t="s">
        <v>116</v>
      </c>
      <c r="AV111" s="64" t="s">
        <v>638</v>
      </c>
    </row>
    <row r="112" spans="1:48" ht="13.2" x14ac:dyDescent="0.25">
      <c r="A112" s="59" t="s">
        <v>639</v>
      </c>
      <c r="B112" s="57">
        <v>45982.395084502314</v>
      </c>
      <c r="C112" s="17" t="s">
        <v>357</v>
      </c>
      <c r="D112" s="17" t="s">
        <v>240</v>
      </c>
      <c r="E112" s="17" t="s">
        <v>640</v>
      </c>
      <c r="F112" s="17" t="s">
        <v>11</v>
      </c>
      <c r="G112" s="17" t="s">
        <v>2</v>
      </c>
      <c r="H112" s="17" t="s">
        <v>641</v>
      </c>
      <c r="I112" s="17" t="s">
        <v>116</v>
      </c>
      <c r="J112" s="17" t="s">
        <v>621</v>
      </c>
      <c r="K112" s="17"/>
      <c r="L112" s="19">
        <v>45963</v>
      </c>
      <c r="M112" s="19">
        <v>45963</v>
      </c>
      <c r="N112" s="19">
        <v>45967</v>
      </c>
      <c r="O112" s="17" t="s">
        <v>116</v>
      </c>
      <c r="P112" s="17" t="s">
        <v>116</v>
      </c>
      <c r="Q112" s="17" t="s">
        <v>116</v>
      </c>
      <c r="S112" s="17" t="s">
        <v>116</v>
      </c>
      <c r="T112" s="17" t="s">
        <v>116</v>
      </c>
      <c r="U112" s="17" t="s">
        <v>116</v>
      </c>
      <c r="W112" s="17" t="s">
        <v>116</v>
      </c>
      <c r="X112" s="17" t="s">
        <v>116</v>
      </c>
      <c r="Y112" s="17" t="s">
        <v>116</v>
      </c>
      <c r="Z112" s="17" t="s">
        <v>116</v>
      </c>
      <c r="AC112" s="17" t="s">
        <v>116</v>
      </c>
      <c r="AD112" s="17" t="s">
        <v>126</v>
      </c>
      <c r="AE112" s="17" t="s">
        <v>240</v>
      </c>
      <c r="AF112" s="17"/>
      <c r="AG112" s="17"/>
      <c r="AV112" s="64" t="s">
        <v>609</v>
      </c>
    </row>
    <row r="113" spans="1:48" ht="13.2" x14ac:dyDescent="0.25">
      <c r="A113" s="59" t="str">
        <f>HYPERLINK("https://docs.google.com/forms/d/e/1FAIpQLSd37AKX0Ca1Yeje6eC6NuliFZj5Spn7I7mXRsa9kBsXMqB-Ag/viewform?edit2=2_ABaOnuevPvgCpRTtXzF_nEg8ubPB1kpyPumvlKqedug0yXA_NBt_zSEQ5A5elQPQn8Pz8MI", "Craig Walker - Assistant Ward Clerk - Membership")</f>
        <v>Craig Walker - Assistant Ward Clerk - Membership</v>
      </c>
      <c r="B113" s="57">
        <v>45983.802133969904</v>
      </c>
      <c r="C113" s="17" t="s">
        <v>357</v>
      </c>
      <c r="D113" s="17" t="s">
        <v>12</v>
      </c>
      <c r="E113" s="17" t="s">
        <v>642</v>
      </c>
      <c r="F113" s="17" t="s">
        <v>152</v>
      </c>
      <c r="G113" s="17" t="s">
        <v>3</v>
      </c>
      <c r="H113" s="17" t="s">
        <v>643</v>
      </c>
      <c r="I113" s="17" t="s">
        <v>114</v>
      </c>
      <c r="J113" s="17" t="s">
        <v>191</v>
      </c>
      <c r="K113" s="17"/>
      <c r="L113" s="19">
        <v>45974</v>
      </c>
      <c r="M113" s="19">
        <v>45970</v>
      </c>
      <c r="N113" s="19">
        <v>45974</v>
      </c>
      <c r="O113" s="17" t="s">
        <v>116</v>
      </c>
      <c r="P113" s="17"/>
      <c r="Q113" s="17" t="s">
        <v>116</v>
      </c>
      <c r="R113" s="17" t="s">
        <v>116</v>
      </c>
      <c r="S113" s="17" t="s">
        <v>116</v>
      </c>
      <c r="T113" s="17" t="s">
        <v>116</v>
      </c>
      <c r="U113" s="17" t="s">
        <v>116</v>
      </c>
      <c r="V113" s="17" t="s">
        <v>116</v>
      </c>
      <c r="W113" s="17" t="s">
        <v>116</v>
      </c>
      <c r="X113" s="17" t="s">
        <v>116</v>
      </c>
      <c r="Y113" s="17" t="s">
        <v>116</v>
      </c>
      <c r="Z113" s="17"/>
      <c r="AC113" s="17" t="s">
        <v>116</v>
      </c>
      <c r="AD113" s="17" t="s">
        <v>592</v>
      </c>
      <c r="AE113" s="17" t="s">
        <v>118</v>
      </c>
      <c r="AG113" s="17" t="s">
        <v>3</v>
      </c>
      <c r="AK113" s="17" t="s">
        <v>116</v>
      </c>
      <c r="AL113" s="17" t="s">
        <v>388</v>
      </c>
      <c r="AM113" s="19">
        <v>45977</v>
      </c>
      <c r="AN113" s="19">
        <v>45977</v>
      </c>
      <c r="AO113" s="17" t="s">
        <v>592</v>
      </c>
      <c r="AQ113" s="17" t="s">
        <v>116</v>
      </c>
      <c r="AR113" s="17" t="s">
        <v>618</v>
      </c>
      <c r="AU113" s="17" t="s">
        <v>116</v>
      </c>
      <c r="AV113" s="64" t="s">
        <v>644</v>
      </c>
    </row>
    <row r="114" spans="1:48" ht="13.2" x14ac:dyDescent="0.25">
      <c r="A114" s="59" t="str">
        <f>HYPERLINK("https://docs.google.com/forms/d/e/1FAIpQLSd37AKX0Ca1Yeje6eC6NuliFZj5Spn7I7mXRsa9kBsXMqB-Ag/viewform?edit2=2_ABaOnuestmawDRwNCrwWBbcFzvUi4IXI1Xou83xweNeZQ-Dv589ktMYRHtyGkw0HL1Ct-jc", "Mark Witbeck - EQ 1st Counselor")</f>
        <v>Mark Witbeck - EQ 1st Counselor</v>
      </c>
      <c r="B114" s="57">
        <v>46058.788372905095</v>
      </c>
      <c r="C114" s="17" t="s">
        <v>357</v>
      </c>
      <c r="D114" s="17" t="s">
        <v>12</v>
      </c>
      <c r="E114" s="17" t="s">
        <v>645</v>
      </c>
      <c r="F114" s="17" t="s">
        <v>396</v>
      </c>
      <c r="G114" s="17" t="s">
        <v>8</v>
      </c>
      <c r="H114" s="17" t="s">
        <v>386</v>
      </c>
      <c r="I114" s="17" t="s">
        <v>116</v>
      </c>
      <c r="J114" s="17" t="s">
        <v>646</v>
      </c>
      <c r="K114" s="17"/>
      <c r="L114" s="19">
        <v>45984</v>
      </c>
      <c r="M114" s="19">
        <v>45983</v>
      </c>
      <c r="N114" s="19">
        <v>45985</v>
      </c>
      <c r="O114" s="17" t="s">
        <v>116</v>
      </c>
      <c r="P114" s="17" t="s">
        <v>116</v>
      </c>
      <c r="Q114" s="17" t="s">
        <v>116</v>
      </c>
      <c r="R114" s="17"/>
      <c r="S114" s="17" t="s">
        <v>116</v>
      </c>
      <c r="T114" s="17" t="s">
        <v>116</v>
      </c>
      <c r="U114" s="17" t="s">
        <v>116</v>
      </c>
      <c r="V114" s="17" t="s">
        <v>116</v>
      </c>
      <c r="W114" s="17"/>
      <c r="X114" s="17" t="s">
        <v>116</v>
      </c>
      <c r="Y114" s="17" t="s">
        <v>116</v>
      </c>
      <c r="Z114" s="17" t="s">
        <v>116</v>
      </c>
      <c r="AC114" s="17" t="s">
        <v>116</v>
      </c>
      <c r="AD114" s="17" t="s">
        <v>216</v>
      </c>
      <c r="AE114" s="17" t="s">
        <v>118</v>
      </c>
      <c r="AF114" s="17" t="s">
        <v>647</v>
      </c>
      <c r="AG114" s="17" t="s">
        <v>8</v>
      </c>
      <c r="AH114" s="17" t="s">
        <v>116</v>
      </c>
      <c r="AI114" s="17" t="s">
        <v>139</v>
      </c>
      <c r="AK114" s="17" t="s">
        <v>116</v>
      </c>
      <c r="AL114" s="17" t="s">
        <v>388</v>
      </c>
      <c r="AM114" s="19">
        <v>45998</v>
      </c>
      <c r="AN114" s="19">
        <v>45998</v>
      </c>
      <c r="AO114" s="17" t="s">
        <v>216</v>
      </c>
      <c r="AP114" s="17" t="s">
        <v>116</v>
      </c>
      <c r="AQ114" s="17" t="s">
        <v>116</v>
      </c>
      <c r="AR114" s="17" t="s">
        <v>216</v>
      </c>
      <c r="AS114" s="17" t="s">
        <v>139</v>
      </c>
      <c r="AU114" s="17" t="s">
        <v>116</v>
      </c>
      <c r="AV114" s="64" t="s">
        <v>648</v>
      </c>
    </row>
    <row r="115" spans="1:48" ht="13.2" x14ac:dyDescent="0.25">
      <c r="A115" s="59" t="str">
        <f>HYPERLINK("https://docs.google.com/forms/d/e/1FAIpQLSd37AKX0Ca1Yeje6eC6NuliFZj5Spn7I7mXRsa9kBsXMqB-Ag/viewform?edit2=2_ABaOnueqQ5WD4kzs8XFkpGxeBrDewIQChFYFkeCcx-r4wFHBdNPG4t_O0JkGnrd6V5GB4rY", "Del Stirling - EQ 2nd Counselor")</f>
        <v>Del Stirling - EQ 2nd Counselor</v>
      </c>
      <c r="B115" s="57">
        <v>46058.788623148153</v>
      </c>
      <c r="C115" s="17" t="s">
        <v>357</v>
      </c>
      <c r="D115" s="17" t="s">
        <v>12</v>
      </c>
      <c r="E115" s="17" t="s">
        <v>649</v>
      </c>
      <c r="F115" s="17" t="s">
        <v>386</v>
      </c>
      <c r="G115" s="17" t="s">
        <v>8</v>
      </c>
      <c r="H115" s="17" t="s">
        <v>650</v>
      </c>
      <c r="I115" s="17" t="s">
        <v>116</v>
      </c>
      <c r="J115" s="17" t="s">
        <v>651</v>
      </c>
      <c r="K115" s="17"/>
      <c r="L115" s="19">
        <v>45984</v>
      </c>
      <c r="M115" s="19">
        <v>45983</v>
      </c>
      <c r="N115" s="19">
        <v>45985</v>
      </c>
      <c r="O115" s="17" t="s">
        <v>116</v>
      </c>
      <c r="P115" s="17" t="s">
        <v>116</v>
      </c>
      <c r="Q115" s="17"/>
      <c r="R115" s="17"/>
      <c r="S115" s="17" t="s">
        <v>116</v>
      </c>
      <c r="T115" s="17" t="s">
        <v>116</v>
      </c>
      <c r="U115" s="17" t="s">
        <v>116</v>
      </c>
      <c r="V115" s="17" t="s">
        <v>116</v>
      </c>
      <c r="W115" s="17"/>
      <c r="X115" s="17" t="s">
        <v>116</v>
      </c>
      <c r="Y115" s="17" t="s">
        <v>116</v>
      </c>
      <c r="Z115" s="17" t="s">
        <v>116</v>
      </c>
      <c r="AC115" s="17" t="s">
        <v>116</v>
      </c>
      <c r="AD115" s="17" t="s">
        <v>216</v>
      </c>
      <c r="AE115" s="17" t="s">
        <v>118</v>
      </c>
      <c r="AF115" s="17" t="s">
        <v>645</v>
      </c>
      <c r="AG115" s="17" t="s">
        <v>8</v>
      </c>
      <c r="AH115" s="17" t="s">
        <v>116</v>
      </c>
      <c r="AI115" s="17" t="s">
        <v>139</v>
      </c>
      <c r="AK115" s="17" t="s">
        <v>116</v>
      </c>
      <c r="AL115" s="17" t="s">
        <v>388</v>
      </c>
      <c r="AM115" s="19">
        <v>45998</v>
      </c>
      <c r="AN115" s="19">
        <v>45998</v>
      </c>
      <c r="AO115" s="17" t="s">
        <v>216</v>
      </c>
      <c r="AP115" s="17" t="s">
        <v>116</v>
      </c>
      <c r="AQ115" s="17" t="s">
        <v>116</v>
      </c>
      <c r="AR115" s="17" t="s">
        <v>216</v>
      </c>
      <c r="AS115" s="17" t="s">
        <v>139</v>
      </c>
      <c r="AU115" s="17" t="s">
        <v>116</v>
      </c>
      <c r="AV115" s="64" t="s">
        <v>652</v>
      </c>
    </row>
    <row r="116" spans="1:48" ht="13.2" x14ac:dyDescent="0.25">
      <c r="A116" s="59" t="str">
        <f>HYPERLINK("https://docs.google.com/forms/d/e/1FAIpQLSd37AKX0Ca1Yeje6eC6NuliFZj5Spn7I7mXRsa9kBsXMqB-Ag/viewform?edit2=2_ABaOnueQXAYHk584kJhjy388LUqazq7e-U9SR8htrfX_qegV5t1VyfqM-vER3RMIdSMR100", "Lee Ann Laukka - Stake Relief Society 2nd Counselor")</f>
        <v>Lee Ann Laukka - Stake Relief Society 2nd Counselor</v>
      </c>
      <c r="B116" s="57">
        <v>46005.377660902777</v>
      </c>
      <c r="C116" s="17" t="s">
        <v>357</v>
      </c>
      <c r="D116" s="17" t="s">
        <v>12</v>
      </c>
      <c r="E116" s="17" t="s">
        <v>653</v>
      </c>
      <c r="F116" s="17" t="s">
        <v>11</v>
      </c>
      <c r="G116" s="17" t="s">
        <v>7</v>
      </c>
      <c r="H116" s="17" t="s">
        <v>654</v>
      </c>
      <c r="I116" s="17" t="s">
        <v>116</v>
      </c>
      <c r="J116" s="17" t="s">
        <v>655</v>
      </c>
      <c r="K116" s="17"/>
      <c r="L116" s="19">
        <v>45984</v>
      </c>
      <c r="M116" s="19">
        <v>45984</v>
      </c>
      <c r="N116" s="19">
        <v>45985</v>
      </c>
      <c r="O116" s="17" t="s">
        <v>116</v>
      </c>
      <c r="P116" s="17" t="s">
        <v>116</v>
      </c>
      <c r="Q116" s="17" t="s">
        <v>116</v>
      </c>
      <c r="R116" s="17"/>
      <c r="S116" s="17" t="s">
        <v>116</v>
      </c>
      <c r="T116" s="17" t="s">
        <v>116</v>
      </c>
      <c r="U116" s="17" t="s">
        <v>116</v>
      </c>
      <c r="V116" s="17" t="s">
        <v>116</v>
      </c>
      <c r="W116" s="17"/>
      <c r="X116" s="17" t="s">
        <v>116</v>
      </c>
      <c r="Y116" s="17" t="s">
        <v>116</v>
      </c>
      <c r="Z116" s="17" t="s">
        <v>116</v>
      </c>
      <c r="AC116" s="17" t="s">
        <v>116</v>
      </c>
      <c r="AD116" s="17" t="s">
        <v>117</v>
      </c>
      <c r="AE116" s="17" t="s">
        <v>118</v>
      </c>
      <c r="AF116" s="17" t="s">
        <v>13</v>
      </c>
      <c r="AG116" s="17" t="s">
        <v>6</v>
      </c>
      <c r="AH116" s="17" t="s">
        <v>116</v>
      </c>
      <c r="AK116" s="17" t="s">
        <v>116</v>
      </c>
      <c r="AL116" s="17" t="s">
        <v>362</v>
      </c>
      <c r="AM116" s="19">
        <v>45998</v>
      </c>
      <c r="AN116" s="19">
        <v>46000</v>
      </c>
      <c r="AO116" s="17" t="s">
        <v>117</v>
      </c>
      <c r="AP116" s="17" t="s">
        <v>116</v>
      </c>
      <c r="AQ116" s="17" t="s">
        <v>116</v>
      </c>
      <c r="AR116" s="17" t="s">
        <v>117</v>
      </c>
      <c r="AU116" s="17" t="s">
        <v>116</v>
      </c>
      <c r="AV116" s="64" t="s">
        <v>656</v>
      </c>
    </row>
    <row r="117" spans="1:48" ht="13.2" x14ac:dyDescent="0.25">
      <c r="A117" s="59" t="str">
        <f>HYPERLINK("https://docs.google.com/forms/d/e/1FAIpQLSd37AKX0Ca1Yeje6eC6NuliFZj5Spn7I7mXRsa9kBsXMqB-Ag/viewform?edit2=2_ABaOnufWFP9HETYNJ3J5EUfjOIhDoa5KZFj2apAnrBOV6JXJzgQYkHtCfkj4lP4wohCMwtE", "Logan Fuller - Assistant Executive Secretary")</f>
        <v>Logan Fuller - Assistant Executive Secretary</v>
      </c>
      <c r="B117" s="57">
        <v>46040.612543946758</v>
      </c>
      <c r="C117" s="17" t="s">
        <v>357</v>
      </c>
      <c r="D117" s="17" t="s">
        <v>12</v>
      </c>
      <c r="E117" s="17" t="s">
        <v>429</v>
      </c>
      <c r="F117" s="17" t="s">
        <v>657</v>
      </c>
      <c r="G117" s="17" t="s">
        <v>3</v>
      </c>
      <c r="H117" s="17" t="s">
        <v>658</v>
      </c>
      <c r="I117" s="17" t="s">
        <v>116</v>
      </c>
      <c r="J117" s="17" t="s">
        <v>191</v>
      </c>
      <c r="K117" s="17"/>
      <c r="L117" s="19">
        <v>45984</v>
      </c>
      <c r="M117" s="19">
        <v>45983</v>
      </c>
      <c r="N117" s="19">
        <v>45986</v>
      </c>
      <c r="O117" s="17" t="s">
        <v>116</v>
      </c>
      <c r="P117" s="17" t="s">
        <v>116</v>
      </c>
      <c r="Q117" s="17" t="s">
        <v>116</v>
      </c>
      <c r="R117" s="17"/>
      <c r="S117" s="17" t="s">
        <v>116</v>
      </c>
      <c r="T117" s="17" t="s">
        <v>116</v>
      </c>
      <c r="U117" s="17" t="s">
        <v>116</v>
      </c>
      <c r="V117" s="17" t="s">
        <v>116</v>
      </c>
      <c r="W117" s="17"/>
      <c r="X117" s="17" t="s">
        <v>116</v>
      </c>
      <c r="Y117" s="17" t="s">
        <v>116</v>
      </c>
      <c r="Z117" s="17" t="s">
        <v>116</v>
      </c>
      <c r="AC117" s="17" t="s">
        <v>116</v>
      </c>
      <c r="AD117" s="17" t="s">
        <v>592</v>
      </c>
      <c r="AE117" s="17" t="s">
        <v>118</v>
      </c>
      <c r="AF117" s="17" t="s">
        <v>189</v>
      </c>
      <c r="AG117" s="17" t="s">
        <v>3</v>
      </c>
      <c r="AH117" s="17" t="s">
        <v>116</v>
      </c>
      <c r="AI117" s="17" t="s">
        <v>139</v>
      </c>
      <c r="AJ117" s="17" t="s">
        <v>139</v>
      </c>
      <c r="AK117" s="17" t="s">
        <v>116</v>
      </c>
      <c r="AL117" s="17" t="s">
        <v>388</v>
      </c>
      <c r="AM117" s="19">
        <v>45998</v>
      </c>
      <c r="AN117" s="19">
        <v>45998</v>
      </c>
      <c r="AO117" s="17" t="s">
        <v>592</v>
      </c>
      <c r="AP117" s="17" t="s">
        <v>116</v>
      </c>
      <c r="AQ117" s="17" t="s">
        <v>116</v>
      </c>
      <c r="AR117" s="17" t="s">
        <v>659</v>
      </c>
      <c r="AS117" s="17" t="s">
        <v>139</v>
      </c>
      <c r="AT117" s="17" t="s">
        <v>139</v>
      </c>
      <c r="AU117" s="17" t="s">
        <v>116</v>
      </c>
      <c r="AV117" s="64" t="s">
        <v>660</v>
      </c>
    </row>
    <row r="118" spans="1:48" ht="26.4" x14ac:dyDescent="0.25">
      <c r="A118" s="53" t="str">
        <f>HYPERLINK("https://docs.google.com/forms/d/e/1FAIpQLSd37AKX0Ca1Yeje6eC6NuliFZj5Spn7I7mXRsa9kBsXMqB-Ag/viewform?edit2=2_ABaOnueGV1D7Xj7a5UiuNCsQBshom47Y4WPZn3PVWIRvV1ezyWBf4nAw1EfV1ynT_mKjcGA", "Wendy Wiersma - Stake Relief Society Secretary")</f>
        <v>Wendy Wiersma - Stake Relief Society Secretary</v>
      </c>
      <c r="B118" s="57">
        <v>46138.730624999997</v>
      </c>
      <c r="C118" s="17" t="s">
        <v>357</v>
      </c>
      <c r="D118" s="17" t="s">
        <v>12</v>
      </c>
      <c r="E118" s="17" t="s">
        <v>661</v>
      </c>
      <c r="F118" s="17" t="s">
        <v>662</v>
      </c>
      <c r="G118" s="17" t="s">
        <v>6</v>
      </c>
      <c r="H118" s="26" t="s">
        <v>663</v>
      </c>
      <c r="I118" s="17" t="s">
        <v>116</v>
      </c>
      <c r="J118" s="17" t="s">
        <v>664</v>
      </c>
      <c r="K118" s="17"/>
      <c r="L118" s="19">
        <v>46009</v>
      </c>
      <c r="M118" s="19">
        <v>46005</v>
      </c>
      <c r="N118" s="19">
        <v>46014</v>
      </c>
      <c r="O118" s="17" t="s">
        <v>116</v>
      </c>
      <c r="P118" s="17" t="s">
        <v>116</v>
      </c>
      <c r="Q118" s="17" t="s">
        <v>116</v>
      </c>
      <c r="R118" s="17" t="s">
        <v>116</v>
      </c>
      <c r="S118" s="17" t="s">
        <v>116</v>
      </c>
      <c r="T118" s="17" t="s">
        <v>116</v>
      </c>
      <c r="U118" s="17" t="s">
        <v>116</v>
      </c>
      <c r="V118" s="17" t="s">
        <v>116</v>
      </c>
      <c r="W118" s="17"/>
      <c r="X118" s="17" t="s">
        <v>116</v>
      </c>
      <c r="Y118" s="17" t="s">
        <v>116</v>
      </c>
      <c r="Z118" s="17" t="s">
        <v>116</v>
      </c>
      <c r="AC118" s="17" t="s">
        <v>116</v>
      </c>
      <c r="AD118" s="17" t="s">
        <v>126</v>
      </c>
      <c r="AE118" s="17" t="s">
        <v>118</v>
      </c>
      <c r="AF118" s="17" t="s">
        <v>19</v>
      </c>
      <c r="AG118" s="17" t="s">
        <v>10</v>
      </c>
      <c r="AH118" s="17" t="s">
        <v>116</v>
      </c>
      <c r="AK118" s="17" t="s">
        <v>116</v>
      </c>
      <c r="AL118" s="17" t="s">
        <v>362</v>
      </c>
      <c r="AM118" s="19">
        <v>46033</v>
      </c>
      <c r="AN118" s="19">
        <v>46026</v>
      </c>
      <c r="AO118" s="17" t="s">
        <v>126</v>
      </c>
      <c r="AP118" s="17" t="s">
        <v>116</v>
      </c>
      <c r="AQ118" s="17" t="s">
        <v>116</v>
      </c>
      <c r="AR118" s="17" t="s">
        <v>117</v>
      </c>
      <c r="AS118" s="17" t="s">
        <v>665</v>
      </c>
      <c r="AU118" s="17" t="s">
        <v>666</v>
      </c>
      <c r="AV118" s="64" t="s">
        <v>667</v>
      </c>
    </row>
    <row r="119" spans="1:48" ht="13.2" x14ac:dyDescent="0.25">
      <c r="A119" s="59" t="str">
        <f>HYPERLINK("https://docs.google.com/forms/d/e/1FAIpQLSd37AKX0Ca1Yeje6eC6NuliFZj5Spn7I7mXRsa9kBsXMqB-Ag/viewform?edit2=2_ABaOnuds8n1cXqEQges1keQ6gII34Wl56T73IIC2Ms4ZzOmva2PGEpao-nbgJlaOlo6WGJk", "Bill Blackmer - Assistant Ward Clerk")</f>
        <v>Bill Blackmer - Assistant Ward Clerk</v>
      </c>
      <c r="B119" s="57">
        <v>46055.403037916665</v>
      </c>
      <c r="C119" s="17" t="s">
        <v>357</v>
      </c>
      <c r="D119" s="17" t="s">
        <v>12</v>
      </c>
      <c r="E119" s="17" t="s">
        <v>668</v>
      </c>
      <c r="F119" s="17" t="s">
        <v>232</v>
      </c>
      <c r="G119" s="17" t="s">
        <v>7</v>
      </c>
      <c r="H119" s="17" t="s">
        <v>523</v>
      </c>
      <c r="I119" s="17" t="s">
        <v>114</v>
      </c>
      <c r="J119" s="17" t="s">
        <v>481</v>
      </c>
      <c r="K119" s="17" t="s">
        <v>669</v>
      </c>
      <c r="L119" s="19">
        <v>46033</v>
      </c>
      <c r="M119" s="19">
        <v>46026</v>
      </c>
      <c r="N119" s="19">
        <v>46037</v>
      </c>
      <c r="O119" s="17" t="s">
        <v>116</v>
      </c>
      <c r="P119" s="17" t="s">
        <v>116</v>
      </c>
      <c r="Q119" s="17" t="s">
        <v>116</v>
      </c>
      <c r="R119" s="17"/>
      <c r="S119" s="17" t="s">
        <v>116</v>
      </c>
      <c r="T119" s="17" t="s">
        <v>116</v>
      </c>
      <c r="U119" s="17" t="s">
        <v>116</v>
      </c>
      <c r="V119" s="17"/>
      <c r="W119" s="17" t="s">
        <v>116</v>
      </c>
      <c r="X119" s="17" t="s">
        <v>116</v>
      </c>
      <c r="Y119" s="17" t="s">
        <v>116</v>
      </c>
      <c r="Z119" s="17" t="s">
        <v>116</v>
      </c>
      <c r="AC119" s="17" t="s">
        <v>116</v>
      </c>
      <c r="AD119" s="17" t="s">
        <v>509</v>
      </c>
      <c r="AE119" s="17"/>
      <c r="AF119" s="17"/>
      <c r="AG119" s="17"/>
      <c r="AH119" s="17"/>
      <c r="AK119" s="17"/>
      <c r="AL119" s="17"/>
      <c r="AM119" s="19">
        <v>46054</v>
      </c>
      <c r="AN119" s="19">
        <v>46054</v>
      </c>
      <c r="AO119" s="17" t="s">
        <v>509</v>
      </c>
      <c r="AP119" s="17" t="s">
        <v>116</v>
      </c>
      <c r="AQ119" s="17" t="s">
        <v>116</v>
      </c>
      <c r="AR119" s="17" t="s">
        <v>618</v>
      </c>
      <c r="AS119" s="17"/>
      <c r="AU119" s="17" t="s">
        <v>670</v>
      </c>
      <c r="AV119" s="64" t="s">
        <v>671</v>
      </c>
    </row>
    <row r="120" spans="1:48" ht="13.2" x14ac:dyDescent="0.25">
      <c r="A120" s="59" t="s">
        <v>672</v>
      </c>
      <c r="B120" s="57">
        <v>46072.901755266204</v>
      </c>
      <c r="C120" s="17" t="s">
        <v>357</v>
      </c>
      <c r="D120" s="17" t="s">
        <v>12</v>
      </c>
      <c r="E120" s="17" t="s">
        <v>673</v>
      </c>
      <c r="F120" s="17" t="s">
        <v>674</v>
      </c>
      <c r="G120" s="17" t="s">
        <v>5</v>
      </c>
      <c r="H120" s="17" t="s">
        <v>675</v>
      </c>
      <c r="I120" s="17" t="s">
        <v>114</v>
      </c>
      <c r="J120" s="17" t="s">
        <v>439</v>
      </c>
      <c r="K120" s="17" t="s">
        <v>676</v>
      </c>
      <c r="L120" s="19">
        <v>46037</v>
      </c>
      <c r="M120" s="19"/>
      <c r="N120" s="19">
        <v>46037</v>
      </c>
      <c r="O120" s="17" t="s">
        <v>116</v>
      </c>
      <c r="P120" s="17" t="s">
        <v>116</v>
      </c>
      <c r="Q120" s="17" t="s">
        <v>116</v>
      </c>
      <c r="R120" s="17"/>
      <c r="S120" s="17" t="s">
        <v>116</v>
      </c>
      <c r="T120" s="17" t="s">
        <v>116</v>
      </c>
      <c r="U120" s="17" t="s">
        <v>116</v>
      </c>
      <c r="V120" s="17"/>
      <c r="W120" s="17" t="s">
        <v>116</v>
      </c>
      <c r="X120" s="17" t="s">
        <v>116</v>
      </c>
      <c r="Y120" s="17" t="s">
        <v>116</v>
      </c>
      <c r="Z120" s="17" t="s">
        <v>116</v>
      </c>
      <c r="AC120" s="17" t="s">
        <v>116</v>
      </c>
      <c r="AD120" s="17" t="s">
        <v>167</v>
      </c>
      <c r="AE120" s="17" t="s">
        <v>118</v>
      </c>
      <c r="AF120" s="17"/>
      <c r="AG120" s="17"/>
      <c r="AH120" s="17"/>
      <c r="AK120" s="17" t="s">
        <v>116</v>
      </c>
      <c r="AL120" s="17" t="s">
        <v>362</v>
      </c>
      <c r="AM120" s="19">
        <v>46047</v>
      </c>
      <c r="AN120" s="19">
        <v>46054</v>
      </c>
      <c r="AO120" s="17" t="s">
        <v>677</v>
      </c>
      <c r="AP120" s="17" t="s">
        <v>116</v>
      </c>
      <c r="AQ120" s="17" t="s">
        <v>116</v>
      </c>
      <c r="AR120" s="17" t="s">
        <v>167</v>
      </c>
      <c r="AS120" s="17"/>
      <c r="AU120" s="17" t="s">
        <v>116</v>
      </c>
      <c r="AV120" s="64" t="s">
        <v>678</v>
      </c>
    </row>
    <row r="121" spans="1:48" ht="13.2" x14ac:dyDescent="0.25">
      <c r="A121" s="59" t="s">
        <v>679</v>
      </c>
      <c r="B121" s="57">
        <v>46072.901944143523</v>
      </c>
      <c r="C121" s="17" t="s">
        <v>357</v>
      </c>
      <c r="D121" s="17" t="s">
        <v>12</v>
      </c>
      <c r="E121" s="17" t="s">
        <v>680</v>
      </c>
      <c r="F121" s="17" t="s">
        <v>681</v>
      </c>
      <c r="G121" s="17" t="s">
        <v>7</v>
      </c>
      <c r="H121" s="17" t="s">
        <v>682</v>
      </c>
      <c r="I121" s="17" t="s">
        <v>114</v>
      </c>
      <c r="J121" s="17" t="s">
        <v>481</v>
      </c>
      <c r="K121" s="17" t="s">
        <v>683</v>
      </c>
      <c r="L121" s="19">
        <v>46037</v>
      </c>
      <c r="M121" s="19">
        <v>46026</v>
      </c>
      <c r="N121" s="19">
        <v>46037</v>
      </c>
      <c r="O121" s="17" t="s">
        <v>116</v>
      </c>
      <c r="P121" s="17" t="s">
        <v>116</v>
      </c>
      <c r="Q121" s="17" t="s">
        <v>116</v>
      </c>
      <c r="R121" s="17"/>
      <c r="S121" s="17" t="s">
        <v>116</v>
      </c>
      <c r="T121" s="17" t="s">
        <v>116</v>
      </c>
      <c r="U121" s="17" t="s">
        <v>116</v>
      </c>
      <c r="V121" s="17"/>
      <c r="W121" s="17" t="s">
        <v>116</v>
      </c>
      <c r="X121" s="17" t="s">
        <v>116</v>
      </c>
      <c r="Y121" s="17" t="s">
        <v>116</v>
      </c>
      <c r="Z121" s="17" t="s">
        <v>116</v>
      </c>
      <c r="AC121" s="17" t="s">
        <v>116</v>
      </c>
      <c r="AD121" s="17" t="s">
        <v>167</v>
      </c>
      <c r="AE121" s="17" t="s">
        <v>118</v>
      </c>
      <c r="AF121" s="17"/>
      <c r="AG121" s="17"/>
      <c r="AH121" s="17"/>
      <c r="AK121" s="17" t="s">
        <v>116</v>
      </c>
      <c r="AL121" s="17" t="s">
        <v>362</v>
      </c>
      <c r="AM121" s="19">
        <v>46047</v>
      </c>
      <c r="AN121" s="19">
        <v>46054</v>
      </c>
      <c r="AO121" s="17" t="s">
        <v>509</v>
      </c>
      <c r="AP121" s="17" t="s">
        <v>116</v>
      </c>
      <c r="AQ121" s="17" t="s">
        <v>116</v>
      </c>
      <c r="AR121" s="17" t="s">
        <v>167</v>
      </c>
      <c r="AS121" s="17"/>
      <c r="AU121" s="17" t="s">
        <v>116</v>
      </c>
      <c r="AV121" s="64" t="s">
        <v>684</v>
      </c>
    </row>
    <row r="122" spans="1:48" ht="13.2" x14ac:dyDescent="0.25">
      <c r="A122" s="59" t="str">
        <f>HYPERLINK("https://docs.google.com/forms/d/e/1FAIpQLSd37AKX0Ca1Yeje6eC6NuliFZj5Spn7I7mXRsa9kBsXMqB-Ag/viewform?edit2=2_ABaOnue59nTKwmLOFBeEDNy4A4E50G9m4_Taygd-t5Jtfj3LUJtYDs4lyYyNgEvaenq_DkA", "Matt Merkley - Stake Senior Missionary Specialist")</f>
        <v>Matt Merkley - Stake Senior Missionary Specialist</v>
      </c>
      <c r="B122" s="57">
        <v>46055.400517349539</v>
      </c>
      <c r="C122" s="17" t="s">
        <v>357</v>
      </c>
      <c r="D122" s="17" t="s">
        <v>12</v>
      </c>
      <c r="E122" s="17" t="s">
        <v>685</v>
      </c>
      <c r="F122" s="17" t="s">
        <v>686</v>
      </c>
      <c r="G122" s="17" t="s">
        <v>7</v>
      </c>
      <c r="H122" s="17" t="s">
        <v>687</v>
      </c>
      <c r="I122" s="17" t="s">
        <v>114</v>
      </c>
      <c r="J122" s="17" t="s">
        <v>282</v>
      </c>
      <c r="K122" s="17"/>
      <c r="L122" s="19">
        <v>46037</v>
      </c>
      <c r="M122" s="19">
        <v>46033</v>
      </c>
      <c r="N122" s="19">
        <v>46037</v>
      </c>
      <c r="O122" s="17" t="s">
        <v>116</v>
      </c>
      <c r="P122" s="17" t="s">
        <v>116</v>
      </c>
      <c r="Q122" s="17" t="s">
        <v>116</v>
      </c>
      <c r="R122" s="17"/>
      <c r="S122" s="17" t="s">
        <v>116</v>
      </c>
      <c r="T122" s="17" t="s">
        <v>116</v>
      </c>
      <c r="U122" s="17" t="s">
        <v>116</v>
      </c>
      <c r="V122" s="17"/>
      <c r="W122" s="17" t="s">
        <v>116</v>
      </c>
      <c r="X122" s="17" t="s">
        <v>116</v>
      </c>
      <c r="Y122" s="17" t="s">
        <v>116</v>
      </c>
      <c r="Z122" s="17" t="s">
        <v>116</v>
      </c>
      <c r="AC122" s="17" t="s">
        <v>116</v>
      </c>
      <c r="AD122" s="17" t="s">
        <v>117</v>
      </c>
      <c r="AE122" s="17" t="s">
        <v>118</v>
      </c>
      <c r="AF122" s="17"/>
      <c r="AG122" s="17"/>
      <c r="AH122" s="17"/>
      <c r="AK122" s="17" t="s">
        <v>116</v>
      </c>
      <c r="AL122" s="17" t="s">
        <v>362</v>
      </c>
      <c r="AM122" s="19">
        <v>46054</v>
      </c>
      <c r="AN122" s="19">
        <v>46054</v>
      </c>
      <c r="AO122" s="17" t="s">
        <v>509</v>
      </c>
      <c r="AP122" s="17" t="s">
        <v>116</v>
      </c>
      <c r="AQ122" s="17"/>
      <c r="AR122" s="17"/>
      <c r="AS122" s="17"/>
      <c r="AU122" s="17" t="s">
        <v>116</v>
      </c>
      <c r="AV122" s="64" t="s">
        <v>688</v>
      </c>
    </row>
    <row r="123" spans="1:48" ht="13.2" x14ac:dyDescent="0.25">
      <c r="A123" s="59" t="str">
        <f>HYPERLINK("https://docs.google.com/forms/d/e/1FAIpQLSd37AKX0Ca1Yeje6eC6NuliFZj5Spn7I7mXRsa9kBsXMqB-Ag/viewform?edit2=2_ABaOnuciQxC4eTTBKIRCx9VtdD5b4Aw4GHipS6jqTlBmttCZv1BkF15QgwkCKnZEb9zBjUI", "Cindy Merkley - Stake Senior Missionary Specialists")</f>
        <v>Cindy Merkley - Stake Senior Missionary Specialists</v>
      </c>
      <c r="B123" s="57">
        <v>46055.400732256945</v>
      </c>
      <c r="C123" s="17" t="s">
        <v>357</v>
      </c>
      <c r="D123" s="17" t="s">
        <v>12</v>
      </c>
      <c r="E123" s="17" t="s">
        <v>689</v>
      </c>
      <c r="F123" s="17" t="s">
        <v>690</v>
      </c>
      <c r="G123" s="17" t="s">
        <v>7</v>
      </c>
      <c r="H123" s="17" t="s">
        <v>691</v>
      </c>
      <c r="I123" s="17" t="s">
        <v>116</v>
      </c>
      <c r="J123" s="17" t="s">
        <v>282</v>
      </c>
      <c r="K123" s="17" t="s">
        <v>692</v>
      </c>
      <c r="L123" s="19">
        <v>46037</v>
      </c>
      <c r="M123" s="19">
        <v>46033</v>
      </c>
      <c r="N123" s="19">
        <v>46037</v>
      </c>
      <c r="O123" s="17" t="s">
        <v>116</v>
      </c>
      <c r="P123" s="17" t="s">
        <v>116</v>
      </c>
      <c r="Q123" s="17" t="s">
        <v>116</v>
      </c>
      <c r="R123" s="17"/>
      <c r="S123" s="17" t="s">
        <v>116</v>
      </c>
      <c r="T123" s="17" t="s">
        <v>116</v>
      </c>
      <c r="U123" s="17" t="s">
        <v>116</v>
      </c>
      <c r="V123" s="17"/>
      <c r="W123" s="17" t="s">
        <v>116</v>
      </c>
      <c r="X123" s="17" t="s">
        <v>116</v>
      </c>
      <c r="Y123" s="17" t="s">
        <v>116</v>
      </c>
      <c r="Z123" s="17" t="s">
        <v>116</v>
      </c>
      <c r="AC123" s="17" t="s">
        <v>116</v>
      </c>
      <c r="AD123" s="17" t="s">
        <v>117</v>
      </c>
      <c r="AE123" s="17" t="s">
        <v>118</v>
      </c>
      <c r="AF123" s="17"/>
      <c r="AG123" s="17"/>
      <c r="AH123" s="17"/>
      <c r="AK123" s="17" t="s">
        <v>116</v>
      </c>
      <c r="AL123" s="17" t="s">
        <v>362</v>
      </c>
      <c r="AM123" s="19">
        <v>46054</v>
      </c>
      <c r="AN123" s="19">
        <v>46054</v>
      </c>
      <c r="AO123" s="17" t="s">
        <v>509</v>
      </c>
      <c r="AP123" s="17" t="s">
        <v>116</v>
      </c>
      <c r="AQ123" s="17" t="s">
        <v>116</v>
      </c>
      <c r="AR123" s="17"/>
      <c r="AS123" s="17"/>
      <c r="AU123" s="17" t="s">
        <v>116</v>
      </c>
      <c r="AV123" s="64" t="s">
        <v>693</v>
      </c>
    </row>
    <row r="124" spans="1:48" ht="13.2" x14ac:dyDescent="0.25">
      <c r="A124" s="53" t="s">
        <v>694</v>
      </c>
      <c r="B124" s="57">
        <v>46082.772898159717</v>
      </c>
      <c r="C124" s="17" t="s">
        <v>357</v>
      </c>
      <c r="D124" s="17" t="s">
        <v>12</v>
      </c>
      <c r="E124" s="17" t="s">
        <v>695</v>
      </c>
      <c r="F124" s="17" t="s">
        <v>396</v>
      </c>
      <c r="G124" s="17" t="s">
        <v>7</v>
      </c>
      <c r="H124" s="26" t="s">
        <v>696</v>
      </c>
      <c r="I124" s="17" t="s">
        <v>116</v>
      </c>
      <c r="J124" s="17" t="s">
        <v>526</v>
      </c>
      <c r="K124" s="17"/>
      <c r="L124" s="19">
        <v>46058</v>
      </c>
      <c r="M124" s="19">
        <v>46047</v>
      </c>
      <c r="N124" s="19">
        <v>46058</v>
      </c>
      <c r="O124" s="17" t="s">
        <v>116</v>
      </c>
      <c r="P124" s="17" t="s">
        <v>116</v>
      </c>
      <c r="Q124" s="17" t="s">
        <v>116</v>
      </c>
      <c r="R124" s="17"/>
      <c r="S124" s="17" t="s">
        <v>116</v>
      </c>
      <c r="T124" s="17" t="s">
        <v>116</v>
      </c>
      <c r="U124" s="17" t="s">
        <v>116</v>
      </c>
      <c r="V124" s="17" t="s">
        <v>116</v>
      </c>
      <c r="W124" s="17" t="s">
        <v>116</v>
      </c>
      <c r="X124" s="17" t="s">
        <v>116</v>
      </c>
      <c r="Y124" s="17"/>
      <c r="Z124" s="17" t="s">
        <v>116</v>
      </c>
      <c r="AC124" s="17" t="s">
        <v>116</v>
      </c>
      <c r="AD124" s="17" t="s">
        <v>509</v>
      </c>
      <c r="AE124" s="17" t="s">
        <v>118</v>
      </c>
      <c r="AF124" s="17" t="s">
        <v>530</v>
      </c>
      <c r="AG124" s="17" t="s">
        <v>7</v>
      </c>
      <c r="AH124" s="17" t="s">
        <v>116</v>
      </c>
      <c r="AK124" s="17" t="s">
        <v>116</v>
      </c>
      <c r="AL124" s="17" t="s">
        <v>388</v>
      </c>
      <c r="AM124" s="19">
        <v>46061</v>
      </c>
      <c r="AN124" s="19">
        <v>46061</v>
      </c>
      <c r="AO124" s="17" t="s">
        <v>509</v>
      </c>
      <c r="AP124" s="17" t="s">
        <v>116</v>
      </c>
      <c r="AQ124" s="17" t="s">
        <v>116</v>
      </c>
      <c r="AR124" s="17" t="s">
        <v>509</v>
      </c>
      <c r="AS124" s="17"/>
      <c r="AU124" s="17" t="s">
        <v>116</v>
      </c>
      <c r="AV124" s="64" t="s">
        <v>697</v>
      </c>
    </row>
    <row r="125" spans="1:48" ht="26.4" x14ac:dyDescent="0.25">
      <c r="A125" s="53" t="str">
        <f>HYPERLINK("https://docs.google.com/forms/d/e/1FAIpQLSd37AKX0Ca1Yeje6eC6NuliFZj5Spn7I7mXRsa9kBsXMqB-Ag/viewform?edit2=2_ABaOnudDxXSRl5DbWNRLf0wn5v-nqeGjP0LiosAd6ThAG-F4xBoZQW8FXAUDTOqFq6dVLwI", "Stephne Hilgendorf - Stake Young Women Camp Director")</f>
        <v>Stephne Hilgendorf - Stake Young Women Camp Director</v>
      </c>
      <c r="B125" s="57">
        <v>46150.55069319444</v>
      </c>
      <c r="C125" s="17" t="s">
        <v>357</v>
      </c>
      <c r="D125" s="17" t="s">
        <v>12</v>
      </c>
      <c r="E125" s="17" t="s">
        <v>698</v>
      </c>
      <c r="F125" s="17" t="s">
        <v>699</v>
      </c>
      <c r="G125" s="17" t="s">
        <v>10</v>
      </c>
      <c r="H125" s="26" t="s">
        <v>700</v>
      </c>
      <c r="I125" s="17" t="s">
        <v>114</v>
      </c>
      <c r="J125" s="17" t="s">
        <v>701</v>
      </c>
      <c r="K125" s="17"/>
      <c r="L125" s="19">
        <v>46054</v>
      </c>
      <c r="M125" s="19">
        <v>46054</v>
      </c>
      <c r="N125" s="19">
        <v>46058</v>
      </c>
      <c r="O125" s="17" t="s">
        <v>116</v>
      </c>
      <c r="P125" s="17" t="s">
        <v>116</v>
      </c>
      <c r="Q125" s="17" t="s">
        <v>116</v>
      </c>
      <c r="R125" s="17"/>
      <c r="S125" s="17" t="s">
        <v>116</v>
      </c>
      <c r="T125" s="17" t="s">
        <v>116</v>
      </c>
      <c r="U125" s="17" t="s">
        <v>116</v>
      </c>
      <c r="V125" s="17" t="s">
        <v>116</v>
      </c>
      <c r="W125" s="17" t="s">
        <v>116</v>
      </c>
      <c r="X125" s="17" t="s">
        <v>116</v>
      </c>
      <c r="Y125" s="17"/>
      <c r="Z125" s="17" t="s">
        <v>116</v>
      </c>
      <c r="AC125" s="17" t="s">
        <v>116</v>
      </c>
      <c r="AD125" s="17" t="s">
        <v>561</v>
      </c>
      <c r="AE125" s="17" t="s">
        <v>118</v>
      </c>
      <c r="AF125" s="17" t="s">
        <v>633</v>
      </c>
      <c r="AG125" s="17" t="s">
        <v>9</v>
      </c>
      <c r="AH125" s="17" t="s">
        <v>116</v>
      </c>
      <c r="AK125" s="17" t="s">
        <v>116</v>
      </c>
      <c r="AL125" s="17" t="s">
        <v>362</v>
      </c>
      <c r="AM125" s="19">
        <v>46075</v>
      </c>
      <c r="AN125" s="19">
        <v>46082</v>
      </c>
      <c r="AO125" s="17" t="s">
        <v>561</v>
      </c>
      <c r="AP125" s="17" t="s">
        <v>116</v>
      </c>
      <c r="AQ125" s="17" t="s">
        <v>116</v>
      </c>
      <c r="AR125" s="17" t="s">
        <v>561</v>
      </c>
      <c r="AS125" s="17"/>
      <c r="AU125" s="17" t="s">
        <v>702</v>
      </c>
      <c r="AV125" s="64" t="s">
        <v>703</v>
      </c>
    </row>
    <row r="126" spans="1:48" ht="13.2" x14ac:dyDescent="0.25">
      <c r="A126" s="53" t="str">
        <f>HYPERLINK("https://docs.google.com/forms/d/e/1FAIpQLSd37AKX0Ca1Yeje6eC6NuliFZj5Spn7I7mXRsa9kBsXMqB-Ag/viewform?edit2=2_ABaOnucjwEQQpKVtkpHfLLSdr7wlsJ123jmny_Y0VAZ3t1dzFLz17xf1AylOpEj0gIyz5Dg", "Jordan Coker - Elder's Quorum President")</f>
        <v>Jordan Coker - Elder's Quorum President</v>
      </c>
      <c r="B126" s="57">
        <v>46145.667756331022</v>
      </c>
      <c r="C126" s="17" t="s">
        <v>704</v>
      </c>
      <c r="D126" s="17" t="s">
        <v>64</v>
      </c>
      <c r="E126" s="17" t="s">
        <v>705</v>
      </c>
      <c r="F126" s="17" t="s">
        <v>156</v>
      </c>
      <c r="G126" s="17" t="s">
        <v>2</v>
      </c>
      <c r="H126" s="26" t="s">
        <v>199</v>
      </c>
      <c r="I126" s="17" t="s">
        <v>114</v>
      </c>
      <c r="J126" s="17" t="s">
        <v>287</v>
      </c>
      <c r="K126" s="17"/>
      <c r="L126" s="19">
        <v>46054</v>
      </c>
      <c r="M126" s="19">
        <v>46054</v>
      </c>
      <c r="N126" s="19">
        <v>46058</v>
      </c>
      <c r="O126" s="17" t="s">
        <v>116</v>
      </c>
      <c r="P126" s="17" t="s">
        <v>116</v>
      </c>
      <c r="Q126" s="17" t="s">
        <v>116</v>
      </c>
      <c r="R126" s="17"/>
      <c r="S126" s="17" t="s">
        <v>116</v>
      </c>
      <c r="T126" s="17" t="s">
        <v>116</v>
      </c>
      <c r="U126" s="17" t="s">
        <v>116</v>
      </c>
      <c r="V126" s="17" t="s">
        <v>116</v>
      </c>
      <c r="W126" s="17" t="s">
        <v>116</v>
      </c>
      <c r="X126" s="17" t="s">
        <v>116</v>
      </c>
      <c r="Y126" s="17"/>
      <c r="Z126" s="17" t="s">
        <v>116</v>
      </c>
      <c r="AC126" s="17" t="s">
        <v>116</v>
      </c>
      <c r="AD126" s="17" t="s">
        <v>159</v>
      </c>
      <c r="AE126" s="17" t="s">
        <v>118</v>
      </c>
      <c r="AF126" s="17" t="s">
        <v>706</v>
      </c>
      <c r="AG126" s="17" t="s">
        <v>2</v>
      </c>
      <c r="AH126" s="17" t="s">
        <v>116</v>
      </c>
      <c r="AK126" s="17" t="s">
        <v>116</v>
      </c>
      <c r="AL126" s="17" t="s">
        <v>388</v>
      </c>
      <c r="AM126" s="19">
        <v>46145</v>
      </c>
      <c r="AN126" s="19">
        <v>46145</v>
      </c>
      <c r="AO126" s="17" t="s">
        <v>159</v>
      </c>
      <c r="AP126" s="17" t="s">
        <v>116</v>
      </c>
      <c r="AQ126" s="17" t="s">
        <v>116</v>
      </c>
      <c r="AR126" s="17" t="s">
        <v>707</v>
      </c>
      <c r="AS126" s="17"/>
      <c r="AV126" s="64" t="s">
        <v>708</v>
      </c>
    </row>
    <row r="127" spans="1:48" ht="26.4" x14ac:dyDescent="0.25">
      <c r="A127" s="53" t="str">
        <f>HYPERLINK("https://docs.google.com/forms/d/e/1FAIpQLSd37AKX0Ca1Yeje6eC6NuliFZj5Spn7I7mXRsa9kBsXMqB-Ag/viewform?edit2=2_ABaOnufxkc3tlHnwqQgLBNKZgEJCUxXYMRiEDNla6guit9NDZ30z5t7XPOkPUIpmZDTO4O8", "Lawrence Barrett - Self Reliance Facilitator")</f>
        <v>Lawrence Barrett - Self Reliance Facilitator</v>
      </c>
      <c r="B127" s="57">
        <v>46155.632218356477</v>
      </c>
      <c r="C127" s="17" t="s">
        <v>357</v>
      </c>
      <c r="D127" s="17" t="s">
        <v>12</v>
      </c>
      <c r="E127" s="17" t="s">
        <v>709</v>
      </c>
      <c r="F127" s="17" t="s">
        <v>710</v>
      </c>
      <c r="G127" s="17" t="s">
        <v>10</v>
      </c>
      <c r="H127" s="26" t="s">
        <v>199</v>
      </c>
      <c r="I127" s="17" t="s">
        <v>114</v>
      </c>
      <c r="J127" s="17" t="s">
        <v>287</v>
      </c>
      <c r="K127" s="17" t="s">
        <v>711</v>
      </c>
      <c r="L127" s="19">
        <v>46054</v>
      </c>
      <c r="M127" s="19">
        <v>46054</v>
      </c>
      <c r="N127" s="19">
        <v>46058</v>
      </c>
      <c r="O127" s="17" t="s">
        <v>116</v>
      </c>
      <c r="P127" s="17" t="s">
        <v>116</v>
      </c>
      <c r="Q127" s="17" t="s">
        <v>116</v>
      </c>
      <c r="R127" s="17"/>
      <c r="S127" s="17" t="s">
        <v>116</v>
      </c>
      <c r="T127" s="17" t="s">
        <v>116</v>
      </c>
      <c r="U127" s="17" t="s">
        <v>116</v>
      </c>
      <c r="V127" s="17" t="s">
        <v>116</v>
      </c>
      <c r="W127" s="17" t="s">
        <v>116</v>
      </c>
      <c r="X127" s="17" t="s">
        <v>116</v>
      </c>
      <c r="Y127" s="17"/>
      <c r="Z127" s="17" t="s">
        <v>116</v>
      </c>
      <c r="AC127" s="17" t="s">
        <v>116</v>
      </c>
      <c r="AD127" s="17" t="s">
        <v>389</v>
      </c>
      <c r="AE127" s="17" t="s">
        <v>118</v>
      </c>
      <c r="AF127" s="17"/>
      <c r="AG127" s="17"/>
      <c r="AH127" s="17"/>
      <c r="AK127" s="17" t="s">
        <v>116</v>
      </c>
      <c r="AL127" s="17" t="s">
        <v>362</v>
      </c>
      <c r="AM127" s="19">
        <v>46075</v>
      </c>
      <c r="AN127" s="19">
        <v>46089</v>
      </c>
      <c r="AO127" s="17" t="s">
        <v>389</v>
      </c>
      <c r="AP127" s="17" t="s">
        <v>116</v>
      </c>
      <c r="AQ127" s="17" t="s">
        <v>116</v>
      </c>
      <c r="AR127" s="17" t="s">
        <v>659</v>
      </c>
      <c r="AS127" s="17" t="s">
        <v>139</v>
      </c>
      <c r="AT127" s="17" t="s">
        <v>116</v>
      </c>
      <c r="AU127" s="17" t="s">
        <v>116</v>
      </c>
      <c r="AV127" s="64" t="s">
        <v>712</v>
      </c>
    </row>
    <row r="128" spans="1:48" ht="13.2" x14ac:dyDescent="0.25">
      <c r="A128" s="53" t="str">
        <f>HYPERLINK("https://docs.google.com/forms/d/e/1FAIpQLSd37AKX0Ca1Yeje6eC6NuliFZj5Spn7I7mXRsa9kBsXMqB-Ag/viewform?edit2=2_ABaOnufbV03AkBo9RdW1eUM4xxihGZCxZxrtpDHuj_Qa9D8X4Cfiemy7NEM7mIZWM42VFyA", "Bryce Scott - EQ 2nd Counselor")</f>
        <v>Bryce Scott - EQ 2nd Counselor</v>
      </c>
      <c r="B128" s="57">
        <v>46138.729387777777</v>
      </c>
      <c r="C128" s="17" t="s">
        <v>357</v>
      </c>
      <c r="D128" s="17" t="s">
        <v>12</v>
      </c>
      <c r="E128" s="17" t="s">
        <v>713</v>
      </c>
      <c r="F128" s="17" t="s">
        <v>386</v>
      </c>
      <c r="G128" s="17" t="s">
        <v>7</v>
      </c>
      <c r="H128" s="26" t="s">
        <v>199</v>
      </c>
      <c r="I128" s="17" t="s">
        <v>114</v>
      </c>
      <c r="J128" s="17" t="s">
        <v>526</v>
      </c>
      <c r="K128" s="17"/>
      <c r="L128" s="19">
        <v>46058</v>
      </c>
      <c r="M128" s="19">
        <v>46047</v>
      </c>
      <c r="N128" s="19">
        <v>46058</v>
      </c>
      <c r="O128" s="17" t="s">
        <v>116</v>
      </c>
      <c r="P128" s="17" t="s">
        <v>116</v>
      </c>
      <c r="Q128" s="17" t="s">
        <v>116</v>
      </c>
      <c r="R128" s="17"/>
      <c r="S128" s="17" t="s">
        <v>116</v>
      </c>
      <c r="T128" s="17" t="s">
        <v>116</v>
      </c>
      <c r="U128" s="17" t="s">
        <v>116</v>
      </c>
      <c r="V128" s="17" t="s">
        <v>116</v>
      </c>
      <c r="W128" s="17" t="s">
        <v>116</v>
      </c>
      <c r="X128" s="17" t="s">
        <v>116</v>
      </c>
      <c r="Y128" s="17"/>
      <c r="Z128" s="17" t="s">
        <v>116</v>
      </c>
      <c r="AC128" s="17" t="s">
        <v>116</v>
      </c>
      <c r="AD128" s="17" t="s">
        <v>509</v>
      </c>
      <c r="AE128" s="17" t="s">
        <v>118</v>
      </c>
      <c r="AF128" s="17" t="s">
        <v>714</v>
      </c>
      <c r="AG128" s="17" t="s">
        <v>7</v>
      </c>
      <c r="AH128" s="17" t="s">
        <v>116</v>
      </c>
      <c r="AK128" s="17" t="s">
        <v>116</v>
      </c>
      <c r="AL128" s="17" t="s">
        <v>388</v>
      </c>
      <c r="AM128" s="19">
        <v>46068</v>
      </c>
      <c r="AN128" s="19">
        <v>46068</v>
      </c>
      <c r="AO128" s="17" t="s">
        <v>509</v>
      </c>
      <c r="AP128" s="17" t="s">
        <v>116</v>
      </c>
      <c r="AQ128" s="17" t="s">
        <v>116</v>
      </c>
      <c r="AR128" s="17" t="s">
        <v>509</v>
      </c>
      <c r="AS128" s="17"/>
      <c r="AU128" s="17" t="s">
        <v>116</v>
      </c>
      <c r="AV128" s="64" t="s">
        <v>715</v>
      </c>
    </row>
    <row r="129" spans="1:48" ht="13.2" x14ac:dyDescent="0.25">
      <c r="A129" s="59" t="str">
        <f>HYPERLINK("https://docs.google.com/forms/d/e/1FAIpQLSd37AKX0Ca1Yeje6eC6NuliFZj5Spn7I7mXRsa9kBsXMqB-Ag/viewform?edit2=2_ABaOnucZs_yyqG64TTPx-HI7iKA2OneWgrigcOPOBMu_J3Zl1ZdW363tYAP1Ym-CI38rmSE", "Logan Fuller - Executive Secretary")</f>
        <v>Logan Fuller - Executive Secretary</v>
      </c>
      <c r="B129" s="57">
        <v>46070.626468263887</v>
      </c>
      <c r="C129" s="17" t="s">
        <v>357</v>
      </c>
      <c r="D129" s="17" t="s">
        <v>12</v>
      </c>
      <c r="E129" s="17" t="s">
        <v>429</v>
      </c>
      <c r="F129" s="17" t="s">
        <v>304</v>
      </c>
      <c r="G129" s="17" t="s">
        <v>3</v>
      </c>
      <c r="H129" s="17" t="s">
        <v>657</v>
      </c>
      <c r="I129" s="17" t="s">
        <v>116</v>
      </c>
      <c r="J129" s="17" t="s">
        <v>191</v>
      </c>
      <c r="K129" s="17" t="s">
        <v>716</v>
      </c>
      <c r="L129" s="19">
        <v>46054</v>
      </c>
      <c r="M129" s="19">
        <v>46061</v>
      </c>
      <c r="N129" s="19">
        <v>46064</v>
      </c>
      <c r="O129" s="17" t="s">
        <v>116</v>
      </c>
      <c r="P129" s="17" t="s">
        <v>116</v>
      </c>
      <c r="Q129" s="17" t="s">
        <v>116</v>
      </c>
      <c r="R129" s="17"/>
      <c r="S129" s="17" t="s">
        <v>116</v>
      </c>
      <c r="T129" s="17"/>
      <c r="U129" s="17" t="s">
        <v>116</v>
      </c>
      <c r="V129" s="17"/>
      <c r="W129" s="17" t="s">
        <v>116</v>
      </c>
      <c r="X129" s="17" t="s">
        <v>116</v>
      </c>
      <c r="Y129" s="17" t="s">
        <v>116</v>
      </c>
      <c r="Z129" s="17" t="s">
        <v>116</v>
      </c>
      <c r="AC129" s="17" t="s">
        <v>116</v>
      </c>
      <c r="AD129" s="17" t="s">
        <v>592</v>
      </c>
      <c r="AE129" s="17" t="s">
        <v>118</v>
      </c>
      <c r="AF129" s="17"/>
      <c r="AG129" s="17"/>
      <c r="AH129" s="17" t="s">
        <v>116</v>
      </c>
      <c r="AI129" s="17" t="s">
        <v>139</v>
      </c>
      <c r="AK129" s="17" t="s">
        <v>116</v>
      </c>
      <c r="AL129" s="17" t="s">
        <v>388</v>
      </c>
      <c r="AM129" s="19">
        <v>46068</v>
      </c>
      <c r="AN129" s="19">
        <v>46068</v>
      </c>
      <c r="AO129" s="17" t="s">
        <v>592</v>
      </c>
      <c r="AP129" s="17" t="s">
        <v>116</v>
      </c>
      <c r="AQ129" s="17" t="s">
        <v>116</v>
      </c>
      <c r="AR129" s="17" t="s">
        <v>659</v>
      </c>
      <c r="AS129" s="17" t="s">
        <v>139</v>
      </c>
      <c r="AU129" s="17" t="s">
        <v>116</v>
      </c>
      <c r="AV129" s="64" t="s">
        <v>717</v>
      </c>
    </row>
    <row r="130" spans="1:48" ht="26.4" x14ac:dyDescent="0.25">
      <c r="A130" s="53" t="str">
        <f>HYPERLINK("https://docs.google.com/forms/d/e/1FAIpQLSd37AKX0Ca1Yeje6eC6NuliFZj5Spn7I7mXRsa9kBsXMqB-Ag/viewform?edit2=2_ABaOnudeQNpZK8qo5P01o5m8u1nK-nidTP440bH0iWjs2673t7t6cup8pQiFCCzYZAU0aPQ", "Andrea Lowder - Stake YW 1st Counselor")</f>
        <v>Andrea Lowder - Stake YW 1st Counselor</v>
      </c>
      <c r="B130" s="57">
        <v>46085.872684710645</v>
      </c>
      <c r="C130" s="17" t="s">
        <v>357</v>
      </c>
      <c r="D130" s="17" t="s">
        <v>64</v>
      </c>
      <c r="E130" s="17" t="s">
        <v>718</v>
      </c>
      <c r="F130" s="17" t="s">
        <v>719</v>
      </c>
      <c r="G130" s="17" t="s">
        <v>4</v>
      </c>
      <c r="H130" s="26" t="s">
        <v>720</v>
      </c>
      <c r="I130" s="17" t="s">
        <v>116</v>
      </c>
      <c r="J130" s="17" t="s">
        <v>701</v>
      </c>
      <c r="K130" s="17"/>
      <c r="L130" s="19">
        <v>46061</v>
      </c>
      <c r="M130" s="19">
        <v>46054</v>
      </c>
      <c r="N130" s="19">
        <v>46064</v>
      </c>
      <c r="O130" s="17" t="s">
        <v>116</v>
      </c>
      <c r="P130" s="17" t="s">
        <v>116</v>
      </c>
      <c r="Q130" s="17" t="s">
        <v>116</v>
      </c>
      <c r="R130" s="17"/>
      <c r="S130" s="17" t="s">
        <v>116</v>
      </c>
      <c r="T130" s="17"/>
      <c r="U130" s="17" t="s">
        <v>116</v>
      </c>
      <c r="V130" s="17"/>
      <c r="W130" s="17"/>
      <c r="X130" s="17" t="s">
        <v>116</v>
      </c>
      <c r="Y130" s="17" t="s">
        <v>116</v>
      </c>
      <c r="Z130" s="17" t="s">
        <v>116</v>
      </c>
      <c r="AC130" s="17" t="s">
        <v>116</v>
      </c>
      <c r="AD130" s="17" t="s">
        <v>561</v>
      </c>
      <c r="AE130" s="17" t="s">
        <v>118</v>
      </c>
      <c r="AF130" s="17"/>
      <c r="AG130" s="17"/>
      <c r="AH130" s="17"/>
      <c r="AK130" s="17" t="s">
        <v>116</v>
      </c>
      <c r="AL130" s="17" t="s">
        <v>362</v>
      </c>
      <c r="AM130" s="19">
        <v>46075</v>
      </c>
      <c r="AN130" s="19">
        <v>46085</v>
      </c>
      <c r="AO130" s="17" t="s">
        <v>126</v>
      </c>
      <c r="AP130" s="17" t="s">
        <v>116</v>
      </c>
      <c r="AQ130" s="17" t="s">
        <v>116</v>
      </c>
      <c r="AR130" s="17" t="s">
        <v>561</v>
      </c>
      <c r="AS130" s="17"/>
      <c r="AV130" s="64" t="s">
        <v>721</v>
      </c>
    </row>
    <row r="131" spans="1:48" ht="26.4" x14ac:dyDescent="0.25">
      <c r="A131" s="53" t="str">
        <f>HYPERLINK("https://docs.google.com/forms/d/e/1FAIpQLSd37AKX0Ca1Yeje6eC6NuliFZj5Spn7I7mXRsa9kBsXMqB-Ag/viewform?edit2=2_ABaOnudWeTedu4RM0xhhpxcAAl1Lm1czJ_a-WZCRd0yTmaIgnUPy2sTcZ0gkt0RadE-JDWc", "Rebecca Eschtruth - Stake Single Adult Representative")</f>
        <v>Rebecca Eschtruth - Stake Single Adult Representative</v>
      </c>
      <c r="B131" s="57">
        <v>46086.877827569449</v>
      </c>
      <c r="C131" s="17" t="s">
        <v>357</v>
      </c>
      <c r="D131" s="17" t="s">
        <v>240</v>
      </c>
      <c r="E131" s="17" t="s">
        <v>722</v>
      </c>
      <c r="F131" s="17" t="s">
        <v>22</v>
      </c>
      <c r="G131" s="17" t="s">
        <v>6</v>
      </c>
      <c r="H131" s="26" t="s">
        <v>199</v>
      </c>
      <c r="I131" s="17" t="s">
        <v>114</v>
      </c>
      <c r="J131" s="17" t="s">
        <v>723</v>
      </c>
      <c r="K131" s="17"/>
      <c r="L131" s="19">
        <v>46061</v>
      </c>
      <c r="M131" s="19">
        <v>46065</v>
      </c>
      <c r="N131" s="19">
        <v>46067</v>
      </c>
      <c r="O131" s="17" t="s">
        <v>116</v>
      </c>
      <c r="P131" s="17" t="s">
        <v>116</v>
      </c>
      <c r="Q131" s="17" t="s">
        <v>116</v>
      </c>
      <c r="R131" s="17"/>
      <c r="S131" s="17" t="s">
        <v>116</v>
      </c>
      <c r="T131" s="17"/>
      <c r="U131" s="17" t="s">
        <v>116</v>
      </c>
      <c r="V131" s="17"/>
      <c r="W131" s="17" t="s">
        <v>116</v>
      </c>
      <c r="X131" s="17"/>
      <c r="Y131" s="17" t="s">
        <v>116</v>
      </c>
      <c r="Z131" s="17" t="s">
        <v>116</v>
      </c>
      <c r="AC131" s="17" t="s">
        <v>116</v>
      </c>
      <c r="AD131" s="17" t="s">
        <v>159</v>
      </c>
      <c r="AE131" s="17" t="s">
        <v>240</v>
      </c>
      <c r="AF131" s="17"/>
      <c r="AG131" s="17"/>
      <c r="AH131" s="17"/>
      <c r="AK131" s="17"/>
      <c r="AL131" s="17"/>
      <c r="AM131" s="19"/>
      <c r="AN131" s="19"/>
      <c r="AO131" s="17"/>
      <c r="AP131" s="17"/>
      <c r="AQ131" s="17"/>
      <c r="AR131" s="17"/>
      <c r="AS131" s="17"/>
      <c r="AV131" s="64" t="s">
        <v>724</v>
      </c>
    </row>
    <row r="132" spans="1:48" ht="13.2" x14ac:dyDescent="0.25">
      <c r="A132" s="53" t="str">
        <f>HYPERLINK("https://docs.google.com/forms/d/e/1FAIpQLSd37AKX0Ca1Yeje6eC6NuliFZj5Spn7I7mXRsa9kBsXMqB-Ag/viewform?edit2=2_ABaOnueqOA9jOURj75fgFVzTPRoS4CvrWRrmHCOIfJ0-em66xU40R2VatgNoW4WQt5tTjMU", "Barbara Miller - Stake YW Secretary")</f>
        <v>Barbara Miller - Stake YW Secretary</v>
      </c>
      <c r="B132" s="57">
        <v>46124.545384884259</v>
      </c>
      <c r="C132" s="17" t="s">
        <v>357</v>
      </c>
      <c r="D132" s="17" t="s">
        <v>64</v>
      </c>
      <c r="E132" s="17" t="s">
        <v>725</v>
      </c>
      <c r="F132" s="17" t="s">
        <v>726</v>
      </c>
      <c r="G132" s="17" t="s">
        <v>10</v>
      </c>
      <c r="H132" s="26" t="s">
        <v>199</v>
      </c>
      <c r="I132" s="17" t="s">
        <v>114</v>
      </c>
      <c r="J132" s="17" t="s">
        <v>701</v>
      </c>
      <c r="K132" s="17"/>
      <c r="L132" s="19">
        <v>46072</v>
      </c>
      <c r="M132" s="19">
        <v>46072</v>
      </c>
      <c r="N132" s="19">
        <v>46072</v>
      </c>
      <c r="O132" s="17" t="s">
        <v>116</v>
      </c>
      <c r="P132" s="17" t="s">
        <v>116</v>
      </c>
      <c r="Q132" s="17" t="s">
        <v>116</v>
      </c>
      <c r="R132" s="17" t="s">
        <v>116</v>
      </c>
      <c r="S132" s="17"/>
      <c r="T132" s="17" t="s">
        <v>116</v>
      </c>
      <c r="U132" s="17" t="s">
        <v>116</v>
      </c>
      <c r="V132" s="17" t="s">
        <v>116</v>
      </c>
      <c r="W132" s="17" t="s">
        <v>116</v>
      </c>
      <c r="X132" s="17" t="s">
        <v>116</v>
      </c>
      <c r="Y132" s="17" t="s">
        <v>116</v>
      </c>
      <c r="Z132" s="17" t="s">
        <v>116</v>
      </c>
      <c r="AC132" s="17" t="s">
        <v>116</v>
      </c>
      <c r="AD132" s="17" t="s">
        <v>561</v>
      </c>
      <c r="AE132" s="17" t="s">
        <v>118</v>
      </c>
      <c r="AF132" s="17"/>
      <c r="AG132" s="17"/>
      <c r="AH132" s="17"/>
      <c r="AK132" s="17" t="s">
        <v>116</v>
      </c>
      <c r="AL132" s="17" t="s">
        <v>362</v>
      </c>
      <c r="AM132" s="19">
        <v>46082</v>
      </c>
      <c r="AN132" s="19">
        <v>46124</v>
      </c>
      <c r="AO132" s="17" t="s">
        <v>561</v>
      </c>
      <c r="AP132" s="17" t="s">
        <v>116</v>
      </c>
      <c r="AQ132" s="17"/>
      <c r="AR132" s="17" t="s">
        <v>561</v>
      </c>
      <c r="AS132" s="17"/>
      <c r="AV132" s="64" t="s">
        <v>727</v>
      </c>
    </row>
    <row r="133" spans="1:48" ht="13.2" x14ac:dyDescent="0.25">
      <c r="A133" s="53" t="str">
        <f>HYPERLINK("https://docs.google.com/forms/d/e/1FAIpQLSd37AKX0Ca1Yeje6eC6NuliFZj5Spn7I7mXRsa9kBsXMqB-Ag/viewform?edit2=2_ABaOnuff1NqAKnZeZFWYAZ37X-J5lZZRuI-4HxjIyakngMffc9MgN7mqhOsy4yZwbSwlM5A", "Jonathan Boegler - EQ 1st Counselor")</f>
        <v>Jonathan Boegler - EQ 1st Counselor</v>
      </c>
      <c r="B133" s="57">
        <v>46104.412703229165</v>
      </c>
      <c r="C133" s="17" t="s">
        <v>357</v>
      </c>
      <c r="D133" s="17" t="s">
        <v>64</v>
      </c>
      <c r="E133" s="17" t="s">
        <v>728</v>
      </c>
      <c r="F133" s="17" t="s">
        <v>396</v>
      </c>
      <c r="G133" s="17" t="s">
        <v>5</v>
      </c>
      <c r="H133" s="26" t="s">
        <v>729</v>
      </c>
      <c r="I133" s="17" t="s">
        <v>114</v>
      </c>
      <c r="J133" s="17" t="s">
        <v>730</v>
      </c>
      <c r="K133" s="17"/>
      <c r="L133" s="19">
        <v>46076</v>
      </c>
      <c r="M133" s="19">
        <v>46076</v>
      </c>
      <c r="N133" s="19">
        <v>46077</v>
      </c>
      <c r="O133" s="17" t="s">
        <v>116</v>
      </c>
      <c r="P133" s="17" t="s">
        <v>116</v>
      </c>
      <c r="Q133" s="17" t="s">
        <v>116</v>
      </c>
      <c r="R133" s="17" t="s">
        <v>116</v>
      </c>
      <c r="S133" s="17" t="s">
        <v>116</v>
      </c>
      <c r="T133" s="17"/>
      <c r="U133" s="17" t="s">
        <v>116</v>
      </c>
      <c r="V133" s="17"/>
      <c r="W133" s="17" t="s">
        <v>116</v>
      </c>
      <c r="X133" s="17"/>
      <c r="Y133" s="17" t="s">
        <v>116</v>
      </c>
      <c r="Z133" s="17" t="s">
        <v>116</v>
      </c>
      <c r="AC133" s="17" t="s">
        <v>116</v>
      </c>
      <c r="AD133" s="17" t="s">
        <v>677</v>
      </c>
      <c r="AE133" s="17" t="s">
        <v>118</v>
      </c>
      <c r="AF133" s="17" t="s">
        <v>395</v>
      </c>
      <c r="AG133" s="17" t="s">
        <v>5</v>
      </c>
      <c r="AH133" s="17" t="s">
        <v>116</v>
      </c>
      <c r="AK133" s="17" t="s">
        <v>116</v>
      </c>
      <c r="AL133" s="17" t="s">
        <v>388</v>
      </c>
      <c r="AM133" s="19">
        <v>46103</v>
      </c>
      <c r="AN133" s="19">
        <v>46103</v>
      </c>
      <c r="AO133" s="17" t="s">
        <v>677</v>
      </c>
      <c r="AP133" s="17" t="s">
        <v>116</v>
      </c>
      <c r="AQ133" s="17" t="s">
        <v>116</v>
      </c>
      <c r="AR133" s="17" t="s">
        <v>677</v>
      </c>
      <c r="AS133" s="17"/>
      <c r="AV133" s="64" t="s">
        <v>731</v>
      </c>
    </row>
    <row r="134" spans="1:48" ht="26.4" x14ac:dyDescent="0.25">
      <c r="A134" s="53" t="str">
        <f>HYPERLINK("https://docs.google.com/forms/d/e/1FAIpQLSd37AKX0Ca1Yeje6eC6NuliFZj5Spn7I7mXRsa9kBsXMqB-Ag/viewform?edit2=2_ABaOnueza0QWbrwz8T7sWbuoj8RQ0uTYVPMjIOquJLrwomLqVasBXKQ7q4oPdU42q5sebnY", "Skyler Roper - Branch President")</f>
        <v>Skyler Roper - Branch President</v>
      </c>
      <c r="B134" s="57">
        <v>46159.395554247691</v>
      </c>
      <c r="C134" s="17" t="s">
        <v>357</v>
      </c>
      <c r="D134" s="17" t="s">
        <v>64</v>
      </c>
      <c r="E134" s="17" t="s">
        <v>314</v>
      </c>
      <c r="F134" s="17" t="s">
        <v>184</v>
      </c>
      <c r="G134" s="17" t="s">
        <v>8</v>
      </c>
      <c r="H134" s="26" t="s">
        <v>279</v>
      </c>
      <c r="I134" s="17" t="s">
        <v>116</v>
      </c>
      <c r="J134" s="17" t="s">
        <v>287</v>
      </c>
      <c r="K134" s="17"/>
      <c r="L134" s="19">
        <v>46096</v>
      </c>
      <c r="M134" s="19">
        <v>46096</v>
      </c>
      <c r="N134" s="19">
        <v>46110</v>
      </c>
      <c r="O134" s="17" t="s">
        <v>116</v>
      </c>
      <c r="P134" s="17" t="s">
        <v>116</v>
      </c>
      <c r="Q134" s="17" t="s">
        <v>116</v>
      </c>
      <c r="R134" s="17"/>
      <c r="S134" s="17" t="s">
        <v>116</v>
      </c>
      <c r="T134" s="17" t="s">
        <v>116</v>
      </c>
      <c r="U134" s="17" t="s">
        <v>116</v>
      </c>
      <c r="V134" s="17"/>
      <c r="W134" s="17" t="s">
        <v>116</v>
      </c>
      <c r="X134" s="17" t="s">
        <v>116</v>
      </c>
      <c r="Y134" s="17" t="s">
        <v>116</v>
      </c>
      <c r="Z134" s="17" t="s">
        <v>116</v>
      </c>
      <c r="AC134" s="17" t="s">
        <v>116</v>
      </c>
      <c r="AD134" s="17" t="s">
        <v>159</v>
      </c>
      <c r="AE134" s="17" t="s">
        <v>118</v>
      </c>
      <c r="AF134" s="17" t="s">
        <v>732</v>
      </c>
      <c r="AG134" s="17" t="s">
        <v>8</v>
      </c>
      <c r="AH134" s="17" t="s">
        <v>116</v>
      </c>
      <c r="AK134" s="17" t="s">
        <v>116</v>
      </c>
      <c r="AL134" s="17" t="s">
        <v>388</v>
      </c>
      <c r="AM134" s="19">
        <v>46124</v>
      </c>
      <c r="AN134" s="19">
        <v>46124</v>
      </c>
      <c r="AO134" s="17" t="s">
        <v>159</v>
      </c>
      <c r="AP134" s="17" t="s">
        <v>116</v>
      </c>
      <c r="AQ134" s="17" t="s">
        <v>116</v>
      </c>
      <c r="AR134" s="17" t="s">
        <v>117</v>
      </c>
      <c r="AS134" s="17"/>
      <c r="AV134" s="64" t="s">
        <v>733</v>
      </c>
    </row>
    <row r="135" spans="1:48" ht="26.4" x14ac:dyDescent="0.25">
      <c r="A135" s="53" t="str">
        <f>HYPERLINK("https://docs.google.com/forms/d/e/1FAIpQLSd37AKX0Ca1Yeje6eC6NuliFZj5Spn7I7mXRsa9kBsXMqB-Ag/viewform?edit2=2_ABaOnucXYh7TXzTa8Eiqh6G2iI9SDkB9z7HxXc-muPtZY1lxw5j5SfdnONWyGViUYdQGjOE", "Del Sterling - Branch Presidency 1st Counselor")</f>
        <v>Del Sterling - Branch Presidency 1st Counselor</v>
      </c>
      <c r="B135" s="57">
        <v>46124.549940150464</v>
      </c>
      <c r="C135" s="17" t="s">
        <v>357</v>
      </c>
      <c r="D135" s="17" t="s">
        <v>64</v>
      </c>
      <c r="E135" s="17" t="s">
        <v>734</v>
      </c>
      <c r="F135" s="17" t="s">
        <v>185</v>
      </c>
      <c r="G135" s="17" t="s">
        <v>8</v>
      </c>
      <c r="H135" s="26" t="s">
        <v>386</v>
      </c>
      <c r="I135" s="17" t="s">
        <v>116</v>
      </c>
      <c r="J135" s="17" t="s">
        <v>735</v>
      </c>
      <c r="K135" s="17"/>
      <c r="L135" s="19">
        <v>46111</v>
      </c>
      <c r="M135" s="19">
        <v>46110</v>
      </c>
      <c r="N135" s="19">
        <v>46113</v>
      </c>
      <c r="O135" s="17" t="s">
        <v>116</v>
      </c>
      <c r="P135" s="17" t="s">
        <v>116</v>
      </c>
      <c r="Q135" s="17" t="s">
        <v>116</v>
      </c>
      <c r="R135" s="17"/>
      <c r="S135" s="17" t="s">
        <v>116</v>
      </c>
      <c r="T135" s="17"/>
      <c r="U135" s="17" t="s">
        <v>116</v>
      </c>
      <c r="V135" s="17"/>
      <c r="W135" s="17" t="s">
        <v>116</v>
      </c>
      <c r="X135" s="17" t="s">
        <v>116</v>
      </c>
      <c r="Y135" s="17" t="s">
        <v>116</v>
      </c>
      <c r="Z135" s="17" t="s">
        <v>116</v>
      </c>
      <c r="AC135" s="17" t="s">
        <v>116</v>
      </c>
      <c r="AD135" s="17" t="s">
        <v>117</v>
      </c>
      <c r="AE135" s="17" t="s">
        <v>118</v>
      </c>
      <c r="AF135" s="17" t="s">
        <v>736</v>
      </c>
      <c r="AG135" s="17" t="s">
        <v>8</v>
      </c>
      <c r="AH135" s="17" t="s">
        <v>116</v>
      </c>
      <c r="AK135" s="17" t="s">
        <v>116</v>
      </c>
      <c r="AL135" s="17" t="s">
        <v>388</v>
      </c>
      <c r="AM135" s="19">
        <v>46124</v>
      </c>
      <c r="AN135" s="19">
        <v>46124</v>
      </c>
      <c r="AO135" s="17" t="s">
        <v>117</v>
      </c>
      <c r="AP135" s="17" t="s">
        <v>116</v>
      </c>
      <c r="AQ135" s="17" t="s">
        <v>116</v>
      </c>
      <c r="AR135" s="17" t="s">
        <v>117</v>
      </c>
      <c r="AS135" s="17"/>
      <c r="AV135" s="64" t="s">
        <v>737</v>
      </c>
    </row>
    <row r="136" spans="1:48" ht="26.4" x14ac:dyDescent="0.25">
      <c r="A136" s="53" t="str">
        <f>HYPERLINK("https://docs.google.com/forms/d/e/1FAIpQLSd37AKX0Ca1Yeje6eC6NuliFZj5Spn7I7mXRsa9kBsXMqB-Ag/viewform?edit2=2_ABaOnuf6drCWA-IZBlNqDAotDEssKORUs-S1i6ryHOYbNmm5r74FiPSdK2RgyzyGz8V24y8", "Mark Witbeck - Branch Presidency 2nd Counselor")</f>
        <v>Mark Witbeck - Branch Presidency 2nd Counselor</v>
      </c>
      <c r="B136" s="57">
        <v>46124.551317418984</v>
      </c>
      <c r="C136" s="17" t="s">
        <v>357</v>
      </c>
      <c r="D136" s="17" t="s">
        <v>64</v>
      </c>
      <c r="E136" s="17" t="s">
        <v>645</v>
      </c>
      <c r="F136" s="17" t="s">
        <v>279</v>
      </c>
      <c r="G136" s="17" t="s">
        <v>8</v>
      </c>
      <c r="H136" s="26" t="s">
        <v>396</v>
      </c>
      <c r="I136" s="17" t="s">
        <v>116</v>
      </c>
      <c r="J136" s="17" t="s">
        <v>738</v>
      </c>
      <c r="K136" s="17"/>
      <c r="L136" s="19">
        <v>46111</v>
      </c>
      <c r="M136" s="19">
        <v>46110</v>
      </c>
      <c r="N136" s="19">
        <v>46113</v>
      </c>
      <c r="O136" s="17" t="s">
        <v>116</v>
      </c>
      <c r="P136" s="17" t="s">
        <v>116</v>
      </c>
      <c r="Q136" s="17" t="s">
        <v>116</v>
      </c>
      <c r="R136" s="17"/>
      <c r="S136" s="17" t="s">
        <v>116</v>
      </c>
      <c r="T136" s="17"/>
      <c r="U136" s="17" t="s">
        <v>116</v>
      </c>
      <c r="V136" s="17"/>
      <c r="W136" s="17" t="s">
        <v>116</v>
      </c>
      <c r="X136" s="17" t="s">
        <v>116</v>
      </c>
      <c r="Y136" s="17" t="s">
        <v>116</v>
      </c>
      <c r="Z136" s="17" t="s">
        <v>116</v>
      </c>
      <c r="AC136" s="17" t="s">
        <v>116</v>
      </c>
      <c r="AD136" s="17" t="s">
        <v>117</v>
      </c>
      <c r="AE136" s="17" t="s">
        <v>118</v>
      </c>
      <c r="AF136" s="17" t="s">
        <v>314</v>
      </c>
      <c r="AG136" s="17" t="s">
        <v>8</v>
      </c>
      <c r="AH136" s="17" t="s">
        <v>116</v>
      </c>
      <c r="AK136" s="17" t="s">
        <v>116</v>
      </c>
      <c r="AL136" s="17" t="s">
        <v>388</v>
      </c>
      <c r="AM136" s="19">
        <v>46124</v>
      </c>
      <c r="AN136" s="19">
        <v>46124</v>
      </c>
      <c r="AO136" s="17" t="s">
        <v>159</v>
      </c>
      <c r="AP136" s="17" t="s">
        <v>116</v>
      </c>
      <c r="AQ136" s="17" t="s">
        <v>116</v>
      </c>
      <c r="AR136" s="17" t="s">
        <v>117</v>
      </c>
      <c r="AS136" s="17"/>
      <c r="AV136" s="64" t="s">
        <v>739</v>
      </c>
    </row>
    <row r="137" spans="1:48" ht="26.4" x14ac:dyDescent="0.25">
      <c r="A137" s="53" t="str">
        <f>HYPERLINK("https://docs.google.com/forms/d/e/1FAIpQLSd37AKX0Ca1Yeje6eC6NuliFZj5Spn7I7mXRsa9kBsXMqB-Ag/viewform?edit2=2_ABaOnufG4qkFQOtlvqNs92E6J7QIRFpabq77LhYs1EKoIUylzebWNv8mFo_PoidwofkyZ0Y", "Giacinto Lucci Sr. - EQ 1st Counselor")</f>
        <v>Giacinto Lucci Sr. - EQ 1st Counselor</v>
      </c>
      <c r="B137" s="57">
        <v>46158.742712824074</v>
      </c>
      <c r="C137" s="17" t="s">
        <v>357</v>
      </c>
      <c r="D137" s="17" t="s">
        <v>64</v>
      </c>
      <c r="E137" s="17" t="s">
        <v>740</v>
      </c>
      <c r="F137" s="17" t="s">
        <v>396</v>
      </c>
      <c r="G137" s="17" t="s">
        <v>2</v>
      </c>
      <c r="H137" s="26" t="s">
        <v>741</v>
      </c>
      <c r="I137" s="17" t="s">
        <v>244</v>
      </c>
      <c r="J137" s="17" t="s">
        <v>705</v>
      </c>
      <c r="K137" s="17"/>
      <c r="L137" s="19">
        <v>46124</v>
      </c>
      <c r="M137" s="19">
        <v>46125</v>
      </c>
      <c r="N137" s="19">
        <v>46127</v>
      </c>
      <c r="O137" s="17"/>
      <c r="P137" s="17" t="s">
        <v>116</v>
      </c>
      <c r="Q137" s="17" t="s">
        <v>116</v>
      </c>
      <c r="R137" s="17"/>
      <c r="S137" s="17" t="s">
        <v>116</v>
      </c>
      <c r="T137" s="17" t="s">
        <v>116</v>
      </c>
      <c r="U137" s="17" t="s">
        <v>116</v>
      </c>
      <c r="V137" s="17"/>
      <c r="W137" s="17" t="s">
        <v>116</v>
      </c>
      <c r="X137" s="17" t="s">
        <v>116</v>
      </c>
      <c r="Y137" s="17" t="s">
        <v>116</v>
      </c>
      <c r="Z137" s="17" t="s">
        <v>116</v>
      </c>
      <c r="AC137" s="17" t="s">
        <v>116</v>
      </c>
      <c r="AD137" s="17" t="s">
        <v>707</v>
      </c>
      <c r="AE137" s="17" t="s">
        <v>118</v>
      </c>
      <c r="AF137" s="17" t="s">
        <v>742</v>
      </c>
      <c r="AG137" s="17" t="s">
        <v>2</v>
      </c>
      <c r="AH137" s="17" t="s">
        <v>116</v>
      </c>
      <c r="AK137" s="17" t="s">
        <v>116</v>
      </c>
      <c r="AL137" s="17" t="s">
        <v>388</v>
      </c>
      <c r="AM137" s="19">
        <v>46145</v>
      </c>
      <c r="AN137" s="19">
        <v>46152</v>
      </c>
      <c r="AO137" s="17"/>
      <c r="AP137" s="17" t="s">
        <v>116</v>
      </c>
      <c r="AQ137" s="17" t="s">
        <v>116</v>
      </c>
      <c r="AR137" s="17" t="s">
        <v>707</v>
      </c>
      <c r="AS137" s="17"/>
      <c r="AV137" s="64" t="s">
        <v>743</v>
      </c>
    </row>
    <row r="138" spans="1:48" ht="26.4" x14ac:dyDescent="0.25">
      <c r="A138" s="53" t="str">
        <f>HYPERLINK("https://docs.google.com/forms/d/e/1FAIpQLSd37AKX0Ca1Yeje6eC6NuliFZj5Spn7I7mXRsa9kBsXMqB-Ag/viewform?edit2=2_ABaOnueYWLUCkhOyJAhdd6sl35WX-SzQl1fVfL0acBK39C3PrSGDfh5FKCpV-EWK10pwrqQ", "David Polhamus - EQ 2nd Counselor")</f>
        <v>David Polhamus - EQ 2nd Counselor</v>
      </c>
      <c r="B138" s="57">
        <v>46145.668832916665</v>
      </c>
      <c r="C138" s="17" t="s">
        <v>357</v>
      </c>
      <c r="D138" s="17" t="s">
        <v>64</v>
      </c>
      <c r="E138" s="17" t="s">
        <v>744</v>
      </c>
      <c r="F138" s="17" t="s">
        <v>386</v>
      </c>
      <c r="G138" s="17" t="s">
        <v>2</v>
      </c>
      <c r="H138" s="26" t="s">
        <v>745</v>
      </c>
      <c r="I138" s="17" t="s">
        <v>244</v>
      </c>
      <c r="J138" s="17" t="s">
        <v>705</v>
      </c>
      <c r="K138" s="17"/>
      <c r="L138" s="19">
        <v>46124</v>
      </c>
      <c r="M138" s="19">
        <v>46125</v>
      </c>
      <c r="N138" s="19">
        <v>46127</v>
      </c>
      <c r="O138" s="17" t="s">
        <v>116</v>
      </c>
      <c r="P138" s="17" t="s">
        <v>116</v>
      </c>
      <c r="Q138" s="17" t="s">
        <v>116</v>
      </c>
      <c r="R138" s="17"/>
      <c r="S138" s="17" t="s">
        <v>116</v>
      </c>
      <c r="T138" s="17" t="s">
        <v>116</v>
      </c>
      <c r="U138" s="17" t="s">
        <v>116</v>
      </c>
      <c r="V138" s="17"/>
      <c r="W138" s="17" t="s">
        <v>116</v>
      </c>
      <c r="X138" s="17" t="s">
        <v>116</v>
      </c>
      <c r="Y138" s="17" t="s">
        <v>116</v>
      </c>
      <c r="Z138" s="17" t="s">
        <v>116</v>
      </c>
      <c r="AC138" s="17" t="s">
        <v>116</v>
      </c>
      <c r="AD138" s="17" t="s">
        <v>707</v>
      </c>
      <c r="AE138" s="17" t="s">
        <v>118</v>
      </c>
      <c r="AF138" s="17" t="s">
        <v>746</v>
      </c>
      <c r="AG138" s="17" t="s">
        <v>2</v>
      </c>
      <c r="AH138" s="17" t="s">
        <v>116</v>
      </c>
      <c r="AK138" s="17" t="s">
        <v>116</v>
      </c>
      <c r="AL138" s="17" t="s">
        <v>388</v>
      </c>
      <c r="AM138" s="19">
        <v>46145</v>
      </c>
      <c r="AN138" s="19">
        <v>46145</v>
      </c>
      <c r="AO138" s="17" t="s">
        <v>707</v>
      </c>
      <c r="AP138" s="17" t="s">
        <v>116</v>
      </c>
      <c r="AQ138" s="17" t="s">
        <v>116</v>
      </c>
      <c r="AR138" s="17" t="s">
        <v>707</v>
      </c>
      <c r="AS138" s="17"/>
      <c r="AV138" s="64" t="s">
        <v>747</v>
      </c>
    </row>
    <row r="139" spans="1:48" ht="26.4" x14ac:dyDescent="0.25">
      <c r="A139" s="53" t="str">
        <f>HYPERLINK("https://docs.google.com/forms/d/e/1FAIpQLSd37AKX0Ca1Yeje6eC6NuliFZj5Spn7I7mXRsa9kBsXMqB-Ag/viewform?edit2=2_ABaOnucA31zacn3JFu1qCuYTqRLZNhaLtSeyINIUJtzNgoY7EQeqtKu9wLz4rw9WsHG_BPs", "Christina Cochrane - Stake Young Women Assistant Camp Director")</f>
        <v>Christina Cochrane - Stake Young Women Assistant Camp Director</v>
      </c>
      <c r="B139" s="57">
        <v>46150.551130023145</v>
      </c>
      <c r="C139" s="17" t="s">
        <v>357</v>
      </c>
      <c r="D139" s="17" t="s">
        <v>12</v>
      </c>
      <c r="E139" s="17" t="s">
        <v>748</v>
      </c>
      <c r="F139" s="17" t="s">
        <v>308</v>
      </c>
      <c r="G139" s="17" t="s">
        <v>7</v>
      </c>
      <c r="H139" s="26" t="s">
        <v>131</v>
      </c>
      <c r="I139" s="17" t="s">
        <v>114</v>
      </c>
      <c r="J139" s="17" t="s">
        <v>749</v>
      </c>
      <c r="K139" s="17"/>
      <c r="L139" s="19">
        <v>46124</v>
      </c>
      <c r="M139" s="19">
        <v>46124</v>
      </c>
      <c r="N139" s="19">
        <v>46127</v>
      </c>
      <c r="O139" s="17" t="s">
        <v>116</v>
      </c>
      <c r="P139" s="17" t="s">
        <v>116</v>
      </c>
      <c r="Q139" s="17" t="s">
        <v>116</v>
      </c>
      <c r="R139" s="17"/>
      <c r="S139" s="17" t="s">
        <v>116</v>
      </c>
      <c r="T139" s="17" t="s">
        <v>116</v>
      </c>
      <c r="U139" s="17" t="s">
        <v>116</v>
      </c>
      <c r="V139" s="17"/>
      <c r="W139" s="17" t="s">
        <v>116</v>
      </c>
      <c r="X139" s="17" t="s">
        <v>116</v>
      </c>
      <c r="Y139" s="17" t="s">
        <v>116</v>
      </c>
      <c r="Z139" s="17" t="s">
        <v>116</v>
      </c>
      <c r="AC139" s="17" t="s">
        <v>116</v>
      </c>
      <c r="AD139" s="17" t="s">
        <v>561</v>
      </c>
      <c r="AE139" s="17" t="s">
        <v>118</v>
      </c>
      <c r="AF139" s="17" t="s">
        <v>307</v>
      </c>
      <c r="AG139" s="17" t="s">
        <v>9</v>
      </c>
      <c r="AH139" s="17" t="s">
        <v>116</v>
      </c>
      <c r="AK139" s="17" t="s">
        <v>116</v>
      </c>
      <c r="AL139" s="17" t="s">
        <v>362</v>
      </c>
      <c r="AM139" s="19">
        <v>46131</v>
      </c>
      <c r="AN139" s="19">
        <v>46138</v>
      </c>
      <c r="AO139" s="17" t="s">
        <v>509</v>
      </c>
      <c r="AP139" s="17" t="s">
        <v>116</v>
      </c>
      <c r="AQ139" s="17" t="s">
        <v>116</v>
      </c>
      <c r="AR139" s="17" t="s">
        <v>561</v>
      </c>
      <c r="AS139" s="17"/>
      <c r="AU139" s="17" t="s">
        <v>750</v>
      </c>
      <c r="AV139" s="64" t="s">
        <v>751</v>
      </c>
    </row>
    <row r="140" spans="1:48" ht="26.4" x14ac:dyDescent="0.25">
      <c r="A140" s="53" t="str">
        <f>HYPERLINK("https://docs.google.com/forms/d/e/1FAIpQLSd37AKX0Ca1Yeje6eC6NuliFZj5Spn7I7mXRsa9kBsXMqB-Ag/viewform?edit2=2_ABaOnucRe9f_0GBTCwiHzMMmuvvc9b4qJ4soH6HsG-cy5Ec9DICJs5nC7loZPIoO4xbzc_M", "Jonathan Fowler - Bishopric 1st Counselor")</f>
        <v>Jonathan Fowler - Bishopric 1st Counselor</v>
      </c>
      <c r="B140" s="57">
        <v>46154.630903437501</v>
      </c>
      <c r="C140" s="17" t="s">
        <v>357</v>
      </c>
      <c r="D140" s="17" t="s">
        <v>240</v>
      </c>
      <c r="E140" s="17" t="s">
        <v>752</v>
      </c>
      <c r="F140" s="17" t="s">
        <v>458</v>
      </c>
      <c r="G140" s="17" t="s">
        <v>6</v>
      </c>
      <c r="H140" s="26" t="s">
        <v>136</v>
      </c>
      <c r="I140" s="17" t="s">
        <v>116</v>
      </c>
      <c r="J140" s="17" t="s">
        <v>753</v>
      </c>
      <c r="K140" s="17"/>
      <c r="L140" s="19">
        <v>46124</v>
      </c>
      <c r="M140" s="19">
        <v>46123</v>
      </c>
      <c r="N140" s="19">
        <v>46127</v>
      </c>
      <c r="O140" s="17" t="s">
        <v>116</v>
      </c>
      <c r="P140" s="17" t="s">
        <v>116</v>
      </c>
      <c r="Q140" s="17" t="s">
        <v>116</v>
      </c>
      <c r="R140" s="17"/>
      <c r="S140" s="17" t="s">
        <v>116</v>
      </c>
      <c r="T140" s="17" t="s">
        <v>116</v>
      </c>
      <c r="U140" s="17" t="s">
        <v>116</v>
      </c>
      <c r="V140" s="17"/>
      <c r="W140" s="17" t="s">
        <v>116</v>
      </c>
      <c r="X140" s="17" t="s">
        <v>116</v>
      </c>
      <c r="Y140" s="17" t="s">
        <v>116</v>
      </c>
      <c r="Z140" s="17" t="s">
        <v>116</v>
      </c>
      <c r="AC140" s="17" t="s">
        <v>116</v>
      </c>
      <c r="AD140" s="17" t="s">
        <v>117</v>
      </c>
      <c r="AE140" s="17" t="s">
        <v>754</v>
      </c>
      <c r="AF140" s="17" t="s">
        <v>755</v>
      </c>
      <c r="AG140" s="17" t="s">
        <v>6</v>
      </c>
      <c r="AH140" s="17" t="s">
        <v>116</v>
      </c>
      <c r="AK140" s="17"/>
      <c r="AL140" s="17"/>
      <c r="AM140" s="19"/>
      <c r="AN140" s="19"/>
      <c r="AO140" s="17"/>
      <c r="AP140" s="17"/>
      <c r="AQ140" s="17"/>
      <c r="AR140" s="17"/>
      <c r="AS140" s="17"/>
      <c r="AV140" s="64" t="s">
        <v>756</v>
      </c>
    </row>
    <row r="141" spans="1:48" ht="13.2" x14ac:dyDescent="0.25">
      <c r="A141" s="53" t="str">
        <f>HYPERLINK("https://docs.google.com/forms/d/e/1FAIpQLSd37AKX0Ca1Yeje6eC6NuliFZj5Spn7I7mXRsa9kBsXMqB-Ag/viewform?edit2=2_ABaOnudH55SYZfYSmbkIYwQkkht9AvvLykPnN9qHu--msSdQL8xr-twF84PLxu7NEweRgsA", "Taylor Smith - Bishopric 2nd Counselor")</f>
        <v>Taylor Smith - Bishopric 2nd Counselor</v>
      </c>
      <c r="B141" s="57">
        <v>46138.547648009262</v>
      </c>
      <c r="C141" s="17" t="s">
        <v>357</v>
      </c>
      <c r="D141" s="17" t="s">
        <v>240</v>
      </c>
      <c r="E141" s="17" t="s">
        <v>248</v>
      </c>
      <c r="F141" s="17" t="s">
        <v>463</v>
      </c>
      <c r="G141" s="17" t="s">
        <v>6</v>
      </c>
      <c r="H141" s="26" t="s">
        <v>220</v>
      </c>
      <c r="I141" s="17" t="s">
        <v>116</v>
      </c>
      <c r="J141" s="17" t="s">
        <v>753</v>
      </c>
      <c r="K141" s="17"/>
      <c r="L141" s="19">
        <v>46124</v>
      </c>
      <c r="M141" s="19">
        <v>46123</v>
      </c>
      <c r="N141" s="19">
        <v>46127</v>
      </c>
      <c r="O141" s="17" t="s">
        <v>116</v>
      </c>
      <c r="P141" s="17" t="s">
        <v>116</v>
      </c>
      <c r="Q141" s="17" t="s">
        <v>116</v>
      </c>
      <c r="R141" s="17"/>
      <c r="S141" s="17" t="s">
        <v>116</v>
      </c>
      <c r="T141" s="17" t="s">
        <v>116</v>
      </c>
      <c r="U141" s="17" t="s">
        <v>116</v>
      </c>
      <c r="V141" s="17"/>
      <c r="W141" s="17" t="s">
        <v>116</v>
      </c>
      <c r="X141" s="17" t="s">
        <v>116</v>
      </c>
      <c r="Y141" s="17" t="s">
        <v>116</v>
      </c>
      <c r="Z141" s="17" t="s">
        <v>116</v>
      </c>
      <c r="AC141" s="17" t="s">
        <v>116</v>
      </c>
      <c r="AD141" s="17" t="s">
        <v>117</v>
      </c>
      <c r="AE141" s="17" t="s">
        <v>240</v>
      </c>
      <c r="AF141" s="17" t="s">
        <v>616</v>
      </c>
      <c r="AG141" s="17" t="s">
        <v>6</v>
      </c>
      <c r="AH141" s="17"/>
      <c r="AK141" s="17"/>
      <c r="AL141" s="17"/>
      <c r="AM141" s="19"/>
      <c r="AN141" s="19"/>
      <c r="AO141" s="17"/>
      <c r="AP141" s="17"/>
      <c r="AQ141" s="17"/>
      <c r="AR141" s="17"/>
      <c r="AS141" s="17"/>
      <c r="AV141" s="64" t="s">
        <v>757</v>
      </c>
    </row>
    <row r="142" spans="1:48" ht="13.2" x14ac:dyDescent="0.25">
      <c r="A142" s="65" t="str">
        <f>HYPERLINK("https://docs.google.com/forms/d/e/1FAIpQLSd37AKX0Ca1Yeje6eC6NuliFZj5Spn7I7mXRsa9kBsXMqB-Ag/viewform?edit2=2_ABaOnucU6DOq6qcvz42zkHjhZlqUckdI_P7WQvTHT6kRvXPS0nedw-Lqwshw-TPP60rFl40", "Tristan Packard - Bishopric 2nd Counselor")</f>
        <v>Tristan Packard - Bishopric 2nd Counselor</v>
      </c>
      <c r="B142" s="57">
        <v>46159.551975196759</v>
      </c>
      <c r="C142" s="17" t="s">
        <v>357</v>
      </c>
      <c r="D142" s="17" t="s">
        <v>758</v>
      </c>
      <c r="E142" s="17" t="s">
        <v>759</v>
      </c>
      <c r="F142" s="17" t="s">
        <v>463</v>
      </c>
      <c r="G142" s="17" t="s">
        <v>6</v>
      </c>
      <c r="H142" s="17" t="s">
        <v>136</v>
      </c>
      <c r="I142" s="17" t="s">
        <v>116</v>
      </c>
      <c r="J142" s="17" t="s">
        <v>753</v>
      </c>
      <c r="L142" s="19">
        <v>46150</v>
      </c>
      <c r="M142" s="19">
        <v>46149</v>
      </c>
      <c r="N142" s="19">
        <v>46151</v>
      </c>
      <c r="O142" s="17" t="s">
        <v>116</v>
      </c>
      <c r="P142" s="17" t="s">
        <v>116</v>
      </c>
      <c r="Q142" s="17" t="s">
        <v>116</v>
      </c>
      <c r="S142" s="17" t="s">
        <v>116</v>
      </c>
      <c r="U142" s="17" t="s">
        <v>116</v>
      </c>
      <c r="V142" s="17" t="s">
        <v>116</v>
      </c>
      <c r="W142" s="17" t="s">
        <v>116</v>
      </c>
      <c r="X142" s="17" t="s">
        <v>116</v>
      </c>
      <c r="Y142" s="17" t="s">
        <v>116</v>
      </c>
      <c r="Z142" s="17" t="s">
        <v>116</v>
      </c>
      <c r="AC142" s="17" t="s">
        <v>116</v>
      </c>
      <c r="AD142" s="17" t="s">
        <v>117</v>
      </c>
      <c r="AE142" s="17" t="s">
        <v>118</v>
      </c>
      <c r="AF142" s="17" t="s">
        <v>616</v>
      </c>
      <c r="AG142" s="17" t="s">
        <v>6</v>
      </c>
      <c r="AH142" s="17" t="s">
        <v>116</v>
      </c>
      <c r="AK142" s="17" t="s">
        <v>116</v>
      </c>
      <c r="AL142" s="17" t="s">
        <v>388</v>
      </c>
      <c r="AM142" s="19">
        <v>46159</v>
      </c>
      <c r="AR142" s="17" t="s">
        <v>117</v>
      </c>
      <c r="AV142" s="64" t="s">
        <v>760</v>
      </c>
    </row>
    <row r="143" spans="1:48" ht="13.2" x14ac:dyDescent="0.25">
      <c r="A143" s="65" t="str">
        <f>HYPERLINK("https://docs.google.com/forms/d/e/1FAIpQLSd37AKX0Ca1Yeje6eC6NuliFZj5Spn7I7mXRsa9kBsXMqB-Ag/viewform?edit2=2_ABaOnuf2j7989Basd7RqeWk5ShbfC9vglbQAYME_8G0y9KgxN5a2Sxu33yjZSF-7UYqZu8U", "Tanner Hickman - Bishop")</f>
        <v>Tanner Hickman - Bishop</v>
      </c>
      <c r="B143" s="57">
        <v>46159.550637708337</v>
      </c>
      <c r="C143" s="17" t="s">
        <v>357</v>
      </c>
      <c r="D143" s="17" t="s">
        <v>64</v>
      </c>
      <c r="E143" s="17" t="s">
        <v>755</v>
      </c>
      <c r="F143" s="17" t="s">
        <v>761</v>
      </c>
      <c r="G143" s="17" t="s">
        <v>6</v>
      </c>
      <c r="H143" s="17" t="s">
        <v>458</v>
      </c>
      <c r="I143" s="17" t="s">
        <v>116</v>
      </c>
      <c r="J143" s="17" t="s">
        <v>287</v>
      </c>
      <c r="L143" s="19">
        <v>46075</v>
      </c>
      <c r="M143" s="19"/>
      <c r="N143" s="19"/>
      <c r="O143" s="17"/>
      <c r="P143" s="17"/>
      <c r="Q143" s="17"/>
      <c r="S143" s="17"/>
      <c r="U143" s="17"/>
      <c r="V143" s="17"/>
      <c r="W143" s="17"/>
      <c r="X143" s="17"/>
      <c r="Y143" s="17"/>
      <c r="Z143" s="17"/>
      <c r="AC143" s="17" t="s">
        <v>116</v>
      </c>
      <c r="AD143" s="17" t="s">
        <v>159</v>
      </c>
      <c r="AE143" s="17" t="s">
        <v>118</v>
      </c>
      <c r="AF143" s="17" t="s">
        <v>762</v>
      </c>
      <c r="AG143" s="17" t="s">
        <v>6</v>
      </c>
      <c r="AH143" s="17" t="s">
        <v>116</v>
      </c>
      <c r="AK143" s="17" t="s">
        <v>116</v>
      </c>
      <c r="AL143" s="17" t="s">
        <v>388</v>
      </c>
      <c r="AM143" s="19">
        <v>46159</v>
      </c>
      <c r="AN143" s="19">
        <v>46159</v>
      </c>
      <c r="AO143" s="17" t="s">
        <v>159</v>
      </c>
      <c r="AP143" s="17" t="s">
        <v>116</v>
      </c>
      <c r="AQ143" s="17" t="s">
        <v>116</v>
      </c>
      <c r="AR143" s="17" t="s">
        <v>117</v>
      </c>
      <c r="AV143" s="64" t="s">
        <v>763</v>
      </c>
    </row>
    <row r="144" spans="1:48" ht="13.2" x14ac:dyDescent="0.25">
      <c r="A144" s="65" t="str">
        <f>HYPERLINK("https://docs.google.com/forms/d/e/1FAIpQLSd37AKX0Ca1Yeje6eC6NuliFZj5Spn7I7mXRsa9kBsXMqB-Ag/viewform?edit2=2_ABaOnuerF-9S-0PUnAo-xLIpSHuJa6TuFg8a5-HK4pKoELYuVYouRoOvSYDtqHqjDqv1WPE", "Gavin Johnson - Bishopric 1st Counselor")</f>
        <v>Gavin Johnson - Bishopric 1st Counselor</v>
      </c>
      <c r="B144" s="57">
        <v>46159.551720844909</v>
      </c>
      <c r="C144" s="17" t="s">
        <v>357</v>
      </c>
      <c r="D144" s="17" t="s">
        <v>758</v>
      </c>
      <c r="E144" s="17" t="s">
        <v>345</v>
      </c>
      <c r="F144" s="17" t="s">
        <v>458</v>
      </c>
      <c r="G144" s="17" t="s">
        <v>6</v>
      </c>
      <c r="H144" s="17" t="s">
        <v>304</v>
      </c>
      <c r="I144" s="17" t="s">
        <v>116</v>
      </c>
      <c r="J144" s="17" t="s">
        <v>753</v>
      </c>
      <c r="L144" s="19">
        <v>46156</v>
      </c>
      <c r="M144" s="19">
        <v>46156</v>
      </c>
      <c r="N144" s="19">
        <v>46156</v>
      </c>
      <c r="O144" s="17" t="s">
        <v>116</v>
      </c>
      <c r="P144" s="17" t="s">
        <v>116</v>
      </c>
      <c r="Q144" s="17" t="s">
        <v>116</v>
      </c>
      <c r="S144" s="17"/>
      <c r="T144" s="17" t="s">
        <v>116</v>
      </c>
      <c r="U144" s="17" t="s">
        <v>116</v>
      </c>
      <c r="V144" s="17" t="s">
        <v>116</v>
      </c>
      <c r="W144" s="17" t="s">
        <v>116</v>
      </c>
      <c r="X144" s="17" t="s">
        <v>116</v>
      </c>
      <c r="Y144" s="17" t="s">
        <v>116</v>
      </c>
      <c r="Z144" s="17" t="s">
        <v>116</v>
      </c>
      <c r="AC144" s="17" t="s">
        <v>116</v>
      </c>
      <c r="AD144" s="17" t="s">
        <v>117</v>
      </c>
      <c r="AE144" s="17" t="s">
        <v>118</v>
      </c>
      <c r="AF144" s="17" t="s">
        <v>755</v>
      </c>
      <c r="AG144" s="17" t="s">
        <v>6</v>
      </c>
      <c r="AH144" s="17" t="s">
        <v>116</v>
      </c>
      <c r="AK144" s="17" t="s">
        <v>116</v>
      </c>
      <c r="AL144" s="17" t="s">
        <v>388</v>
      </c>
      <c r="AM144" s="19">
        <v>46159</v>
      </c>
      <c r="AQ144" s="17" t="s">
        <v>116</v>
      </c>
      <c r="AR144" s="17" t="s">
        <v>117</v>
      </c>
      <c r="AV144" s="64" t="s">
        <v>764</v>
      </c>
    </row>
    <row r="145" spans="1:48" ht="13.2" x14ac:dyDescent="0.25">
      <c r="A145" s="65" t="str">
        <f>HYPERLINK("https://docs.google.com/forms/d/e/1FAIpQLSd37AKX0Ca1Yeje6eC6NuliFZj5Spn7I7mXRsa9kBsXMqB-Ag/viewform?edit2=2_ABaOnue8mI5AYqilJnQ-23IHeU09ipqfAONkBPAhQ3a3okU2s71v_L1uHn7A2GfefVIT5vE", "Sawyer Barney - Executive Secretary")</f>
        <v>Sawyer Barney - Executive Secretary</v>
      </c>
      <c r="B145" s="57">
        <v>46159.552598136579</v>
      </c>
      <c r="C145" s="17" t="s">
        <v>357</v>
      </c>
      <c r="D145" s="17" t="s">
        <v>64</v>
      </c>
      <c r="E145" s="17" t="s">
        <v>765</v>
      </c>
      <c r="F145" s="17" t="s">
        <v>304</v>
      </c>
      <c r="G145" s="17" t="s">
        <v>6</v>
      </c>
      <c r="H145" s="17" t="s">
        <v>136</v>
      </c>
      <c r="I145" s="17" t="s">
        <v>116</v>
      </c>
      <c r="J145" s="17" t="s">
        <v>753</v>
      </c>
      <c r="L145" s="19">
        <v>46156</v>
      </c>
      <c r="M145" s="19">
        <v>46156</v>
      </c>
      <c r="N145" s="19">
        <v>46156</v>
      </c>
      <c r="O145" s="17" t="s">
        <v>116</v>
      </c>
      <c r="P145" s="17" t="s">
        <v>116</v>
      </c>
      <c r="Q145" s="17" t="s">
        <v>116</v>
      </c>
      <c r="S145" s="17"/>
      <c r="T145" s="17" t="s">
        <v>116</v>
      </c>
      <c r="U145" s="17" t="s">
        <v>116</v>
      </c>
      <c r="V145" s="17" t="s">
        <v>116</v>
      </c>
      <c r="W145" s="17" t="s">
        <v>116</v>
      </c>
      <c r="X145" s="17" t="s">
        <v>116</v>
      </c>
      <c r="Y145" s="17" t="s">
        <v>116</v>
      </c>
      <c r="Z145" s="17" t="s">
        <v>116</v>
      </c>
      <c r="AC145" s="17" t="s">
        <v>116</v>
      </c>
      <c r="AD145" s="17" t="s">
        <v>117</v>
      </c>
      <c r="AE145" s="17" t="s">
        <v>118</v>
      </c>
      <c r="AF145" s="17" t="s">
        <v>345</v>
      </c>
      <c r="AG145" s="17" t="s">
        <v>6</v>
      </c>
      <c r="AH145" s="17" t="s">
        <v>116</v>
      </c>
      <c r="AK145" s="17" t="s">
        <v>116</v>
      </c>
      <c r="AL145" s="17" t="s">
        <v>388</v>
      </c>
      <c r="AM145" s="19">
        <v>46159</v>
      </c>
      <c r="AN145" s="19">
        <v>46159</v>
      </c>
      <c r="AO145" s="17" t="s">
        <v>117</v>
      </c>
      <c r="AP145" s="17" t="s">
        <v>116</v>
      </c>
      <c r="AQ145" s="17" t="s">
        <v>116</v>
      </c>
      <c r="AR145" s="17" t="s">
        <v>659</v>
      </c>
      <c r="AV145" s="64" t="s">
        <v>766</v>
      </c>
    </row>
  </sheetData>
  <autoFilter ref="A2:AV145" xr:uid="{00000000-0009-0000-0000-000003000000}"/>
  <mergeCells count="6">
    <mergeCell ref="AQ1:AU1"/>
    <mergeCell ref="F1:G1"/>
    <mergeCell ref="O1:Z1"/>
    <mergeCell ref="AC1:AE1"/>
    <mergeCell ref="AF1:AJ1"/>
    <mergeCell ref="AK1:AP1"/>
  </mergeCells>
  <conditionalFormatting sqref="D2:D145">
    <cfRule type="expression" dxfId="32" priority="5" stopIfTrue="1">
      <formula>$AU2="Yes"</formula>
    </cfRule>
    <cfRule type="cellIs" dxfId="31" priority="6" stopIfTrue="1" operator="equal">
      <formula>"Approval"</formula>
    </cfRule>
    <cfRule type="cellIs" dxfId="30" priority="7" stopIfTrue="1" operator="equal">
      <formula>"Call / Release"</formula>
    </cfRule>
    <cfRule type="cellIs" dxfId="29" priority="8" stopIfTrue="1" operator="equal">
      <formula>"Sustain"</formula>
    </cfRule>
    <cfRule type="cellIs" dxfId="28" priority="9" stopIfTrue="1" operator="equal">
      <formula>"Set Apart"</formula>
    </cfRule>
    <cfRule type="cellIs" dxfId="27" priority="10" stopIfTrue="1" operator="equal">
      <formula>"Training"</formula>
    </cfRule>
    <cfRule type="cellIs" dxfId="26" priority="11" stopIfTrue="1" operator="equal">
      <formula>"Complete"</formula>
    </cfRule>
    <cfRule type="cellIs" dxfId="25" priority="14" stopIfTrue="1" operator="equal">
      <formula>"Cancelled"</formula>
    </cfRule>
    <cfRule type="cellIs" dxfId="24" priority="15" stopIfTrue="1" operator="equal">
      <formula>"Declined"</formula>
    </cfRule>
  </conditionalFormatting>
  <conditionalFormatting sqref="F3:F15">
    <cfRule type="notContainsBlanks" dxfId="23" priority="12" stopIfTrue="1">
      <formula>LEN(TRIM(F3))&gt;0</formula>
    </cfRule>
  </conditionalFormatting>
  <conditionalFormatting sqref="H3:I15">
    <cfRule type="expression" dxfId="22" priority="13" stopIfTrue="1">
      <formula>IF($I3="Yes",TRUE,FALSE)</formula>
    </cfRule>
  </conditionalFormatting>
  <conditionalFormatting sqref="O1:Z5 Z73">
    <cfRule type="cellIs" dxfId="21" priority="1" stopIfTrue="1" operator="equal">
      <formula>0</formula>
    </cfRule>
  </conditionalFormatting>
  <conditionalFormatting sqref="AA3:AA87">
    <cfRule type="expression" dxfId="20" priority="3" stopIfTrue="1">
      <formula>IF(AND(AA3&lt;7,N3=""),TRUE,FALSE)</formula>
    </cfRule>
    <cfRule type="expression" dxfId="19" priority="4" stopIfTrue="1">
      <formula>IF(OR(AA3&gt;=7,N3&lt;&gt;""),TRUE,FALSE)</formula>
    </cfRule>
  </conditionalFormatting>
  <conditionalFormatting sqref="AB3:AB87">
    <cfRule type="cellIs" dxfId="18" priority="2" stopIfTrue="1" operator="greaterThan">
      <formula>0</formula>
    </cfRule>
  </conditionalFormatting>
  <hyperlinks>
    <hyperlink ref="D1" r:id="rId1" xr:uid="{00000000-0004-0000-0300-000000000000}"/>
    <hyperlink ref="F1" r:id="rId2" location="gid=346688937" xr:uid="{00000000-0004-0000-0300-000001000000}"/>
    <hyperlink ref="A3" r:id="rId3" xr:uid="{00000000-0004-0000-0300-000002000000}"/>
    <hyperlink ref="A4" r:id="rId4" xr:uid="{00000000-0004-0000-0300-000003000000}"/>
    <hyperlink ref="A5" r:id="rId5" xr:uid="{00000000-0004-0000-0300-000004000000}"/>
    <hyperlink ref="A6" r:id="rId6" xr:uid="{00000000-0004-0000-0300-000005000000}"/>
    <hyperlink ref="A7" r:id="rId7" xr:uid="{00000000-0004-0000-0300-000006000000}"/>
    <hyperlink ref="A8" r:id="rId8" xr:uid="{00000000-0004-0000-0300-000007000000}"/>
    <hyperlink ref="A9" r:id="rId9" xr:uid="{00000000-0004-0000-0300-000008000000}"/>
    <hyperlink ref="A10" r:id="rId10" xr:uid="{00000000-0004-0000-0300-000009000000}"/>
    <hyperlink ref="A11" r:id="rId11" xr:uid="{00000000-0004-0000-0300-00000A000000}"/>
    <hyperlink ref="A12" r:id="rId12" xr:uid="{00000000-0004-0000-0300-00000B000000}"/>
    <hyperlink ref="A13" r:id="rId13" xr:uid="{00000000-0004-0000-0300-00000C000000}"/>
    <hyperlink ref="A14" r:id="rId14" xr:uid="{00000000-0004-0000-0300-00000D000000}"/>
    <hyperlink ref="A15" r:id="rId15" xr:uid="{00000000-0004-0000-0300-00000E000000}"/>
    <hyperlink ref="A16" r:id="rId16" xr:uid="{00000000-0004-0000-0300-00000F000000}"/>
    <hyperlink ref="A17" r:id="rId17" xr:uid="{00000000-0004-0000-0300-000010000000}"/>
    <hyperlink ref="A18" r:id="rId18" xr:uid="{00000000-0004-0000-0300-000011000000}"/>
    <hyperlink ref="A19" r:id="rId19" xr:uid="{00000000-0004-0000-0300-000012000000}"/>
    <hyperlink ref="A20" r:id="rId20" xr:uid="{00000000-0004-0000-0300-000013000000}"/>
    <hyperlink ref="A21" r:id="rId21" xr:uid="{00000000-0004-0000-0300-000014000000}"/>
    <hyperlink ref="A22" r:id="rId22" xr:uid="{00000000-0004-0000-0300-000015000000}"/>
    <hyperlink ref="A23" r:id="rId23" xr:uid="{00000000-0004-0000-0300-000016000000}"/>
    <hyperlink ref="A24" r:id="rId24" xr:uid="{00000000-0004-0000-0300-000017000000}"/>
    <hyperlink ref="A25" r:id="rId25" xr:uid="{00000000-0004-0000-0300-000018000000}"/>
    <hyperlink ref="A26" r:id="rId26" xr:uid="{00000000-0004-0000-0300-000019000000}"/>
    <hyperlink ref="A27" r:id="rId27" xr:uid="{00000000-0004-0000-0300-00001A000000}"/>
    <hyperlink ref="A28" r:id="rId28" xr:uid="{00000000-0004-0000-0300-00001B000000}"/>
    <hyperlink ref="A29" r:id="rId29" xr:uid="{00000000-0004-0000-0300-00001C000000}"/>
    <hyperlink ref="A30" r:id="rId30" xr:uid="{00000000-0004-0000-0300-00001D000000}"/>
    <hyperlink ref="A31" r:id="rId31" xr:uid="{00000000-0004-0000-0300-00001E000000}"/>
    <hyperlink ref="A32" r:id="rId32" xr:uid="{00000000-0004-0000-0300-00001F000000}"/>
    <hyperlink ref="A33" r:id="rId33" xr:uid="{00000000-0004-0000-0300-000020000000}"/>
    <hyperlink ref="A34" r:id="rId34" xr:uid="{00000000-0004-0000-0300-000021000000}"/>
    <hyperlink ref="A35" r:id="rId35" xr:uid="{00000000-0004-0000-0300-000022000000}"/>
    <hyperlink ref="A36" r:id="rId36" xr:uid="{00000000-0004-0000-0300-000023000000}"/>
    <hyperlink ref="A37" r:id="rId37" xr:uid="{00000000-0004-0000-0300-000024000000}"/>
    <hyperlink ref="A38" r:id="rId38" xr:uid="{00000000-0004-0000-0300-000025000000}"/>
    <hyperlink ref="A39" r:id="rId39" xr:uid="{00000000-0004-0000-0300-000026000000}"/>
    <hyperlink ref="A40" r:id="rId40" xr:uid="{00000000-0004-0000-0300-000027000000}"/>
    <hyperlink ref="A41" r:id="rId41" xr:uid="{00000000-0004-0000-0300-000028000000}"/>
    <hyperlink ref="A42" r:id="rId42" xr:uid="{00000000-0004-0000-0300-000029000000}"/>
    <hyperlink ref="A43" r:id="rId43" xr:uid="{00000000-0004-0000-0300-00002A000000}"/>
    <hyperlink ref="A44" r:id="rId44" xr:uid="{00000000-0004-0000-0300-00002B000000}"/>
    <hyperlink ref="A45" r:id="rId45" xr:uid="{00000000-0004-0000-0300-00002C000000}"/>
    <hyperlink ref="A46" r:id="rId46" xr:uid="{00000000-0004-0000-0300-00002D000000}"/>
    <hyperlink ref="A47" r:id="rId47" xr:uid="{00000000-0004-0000-0300-00002E000000}"/>
    <hyperlink ref="A48" r:id="rId48" xr:uid="{00000000-0004-0000-0300-00002F000000}"/>
    <hyperlink ref="A49" r:id="rId49" xr:uid="{00000000-0004-0000-0300-000030000000}"/>
    <hyperlink ref="A50" r:id="rId50" xr:uid="{00000000-0004-0000-0300-000031000000}"/>
    <hyperlink ref="A51" r:id="rId51" xr:uid="{00000000-0004-0000-0300-000032000000}"/>
    <hyperlink ref="A52" r:id="rId52" xr:uid="{00000000-0004-0000-0300-000033000000}"/>
    <hyperlink ref="A53" r:id="rId53" xr:uid="{00000000-0004-0000-0300-000034000000}"/>
    <hyperlink ref="A54" r:id="rId54" xr:uid="{00000000-0004-0000-0300-000035000000}"/>
    <hyperlink ref="A55" r:id="rId55" xr:uid="{00000000-0004-0000-0300-000036000000}"/>
    <hyperlink ref="A56" r:id="rId56" xr:uid="{00000000-0004-0000-0300-000037000000}"/>
    <hyperlink ref="A57" r:id="rId57" xr:uid="{00000000-0004-0000-0300-000038000000}"/>
    <hyperlink ref="A58" r:id="rId58" xr:uid="{00000000-0004-0000-0300-000039000000}"/>
    <hyperlink ref="A59" r:id="rId59" xr:uid="{00000000-0004-0000-0300-00003A000000}"/>
    <hyperlink ref="A60" r:id="rId60" xr:uid="{00000000-0004-0000-0300-00003B000000}"/>
    <hyperlink ref="A61" r:id="rId61" xr:uid="{00000000-0004-0000-0300-00003C000000}"/>
    <hyperlink ref="A62" r:id="rId62" xr:uid="{00000000-0004-0000-0300-00003D000000}"/>
    <hyperlink ref="A63" r:id="rId63" xr:uid="{00000000-0004-0000-0300-00003E000000}"/>
    <hyperlink ref="A64" r:id="rId64" xr:uid="{00000000-0004-0000-0300-00003F000000}"/>
    <hyperlink ref="A65" r:id="rId65" xr:uid="{00000000-0004-0000-0300-000040000000}"/>
    <hyperlink ref="A66" r:id="rId66" xr:uid="{00000000-0004-0000-0300-000041000000}"/>
    <hyperlink ref="A67" r:id="rId67" xr:uid="{00000000-0004-0000-0300-000042000000}"/>
    <hyperlink ref="A68" r:id="rId68" xr:uid="{00000000-0004-0000-0300-000043000000}"/>
    <hyperlink ref="A69" r:id="rId69" xr:uid="{00000000-0004-0000-0300-000044000000}"/>
    <hyperlink ref="A70" r:id="rId70" xr:uid="{00000000-0004-0000-0300-000045000000}"/>
    <hyperlink ref="A71" r:id="rId71" xr:uid="{00000000-0004-0000-0300-000046000000}"/>
    <hyperlink ref="A72" r:id="rId72" xr:uid="{00000000-0004-0000-0300-000047000000}"/>
    <hyperlink ref="A73" r:id="rId73" xr:uid="{00000000-0004-0000-0300-000048000000}"/>
    <hyperlink ref="A74" r:id="rId74" xr:uid="{00000000-0004-0000-0300-000049000000}"/>
    <hyperlink ref="A75" r:id="rId75" xr:uid="{00000000-0004-0000-0300-00004A000000}"/>
    <hyperlink ref="A76" r:id="rId76" xr:uid="{00000000-0004-0000-0300-00004B000000}"/>
    <hyperlink ref="A77" r:id="rId77" xr:uid="{00000000-0004-0000-0300-00004C000000}"/>
    <hyperlink ref="A78" r:id="rId78" xr:uid="{00000000-0004-0000-0300-00004D000000}"/>
    <hyperlink ref="A79" r:id="rId79" xr:uid="{00000000-0004-0000-0300-00004E000000}"/>
    <hyperlink ref="A80" r:id="rId80" xr:uid="{00000000-0004-0000-0300-00004F000000}"/>
    <hyperlink ref="A81" r:id="rId81" xr:uid="{00000000-0004-0000-0300-000050000000}"/>
    <hyperlink ref="A82" r:id="rId82" xr:uid="{00000000-0004-0000-0300-000051000000}"/>
    <hyperlink ref="A83" r:id="rId83" xr:uid="{00000000-0004-0000-0300-000052000000}"/>
    <hyperlink ref="A84" r:id="rId84" xr:uid="{00000000-0004-0000-0300-000053000000}"/>
    <hyperlink ref="A85" r:id="rId85" xr:uid="{00000000-0004-0000-0300-000054000000}"/>
    <hyperlink ref="A86" r:id="rId86" xr:uid="{00000000-0004-0000-0300-000055000000}"/>
    <hyperlink ref="A87" r:id="rId87" xr:uid="{00000000-0004-0000-0300-000056000000}"/>
    <hyperlink ref="A88" r:id="rId88" xr:uid="{00000000-0004-0000-0300-000057000000}"/>
    <hyperlink ref="A89" r:id="rId89" xr:uid="{00000000-0004-0000-0300-000058000000}"/>
    <hyperlink ref="A90" r:id="rId90" xr:uid="{00000000-0004-0000-0300-000059000000}"/>
    <hyperlink ref="A91" r:id="rId91" xr:uid="{00000000-0004-0000-0300-00005A000000}"/>
    <hyperlink ref="A92" r:id="rId92" xr:uid="{00000000-0004-0000-0300-00005B000000}"/>
    <hyperlink ref="A93" r:id="rId93" xr:uid="{00000000-0004-0000-0300-00005C000000}"/>
    <hyperlink ref="A94" r:id="rId94" xr:uid="{00000000-0004-0000-0300-00005D000000}"/>
    <hyperlink ref="A95" r:id="rId95" xr:uid="{00000000-0004-0000-0300-00005E000000}"/>
    <hyperlink ref="A96" r:id="rId96" xr:uid="{00000000-0004-0000-0300-00005F000000}"/>
    <hyperlink ref="A97" r:id="rId97" xr:uid="{00000000-0004-0000-0300-000060000000}"/>
    <hyperlink ref="A98" r:id="rId98" xr:uid="{00000000-0004-0000-0300-000061000000}"/>
    <hyperlink ref="A99" r:id="rId99" xr:uid="{00000000-0004-0000-0300-000062000000}"/>
    <hyperlink ref="A100" r:id="rId100" xr:uid="{00000000-0004-0000-0300-000063000000}"/>
    <hyperlink ref="A101" r:id="rId101" xr:uid="{00000000-0004-0000-0300-000064000000}"/>
    <hyperlink ref="A102" r:id="rId102" xr:uid="{00000000-0004-0000-0300-000065000000}"/>
    <hyperlink ref="A103" r:id="rId103" xr:uid="{00000000-0004-0000-0300-000066000000}"/>
    <hyperlink ref="A104" r:id="rId104" xr:uid="{00000000-0004-0000-0300-000067000000}"/>
    <hyperlink ref="A105" r:id="rId105" xr:uid="{00000000-0004-0000-0300-000068000000}"/>
    <hyperlink ref="A106" r:id="rId106" xr:uid="{00000000-0004-0000-0300-000069000000}"/>
    <hyperlink ref="A107" r:id="rId107" xr:uid="{00000000-0004-0000-0300-00006A000000}"/>
    <hyperlink ref="A108" r:id="rId108" xr:uid="{00000000-0004-0000-0300-00006B000000}"/>
    <hyperlink ref="A109" r:id="rId109" xr:uid="{00000000-0004-0000-0300-00006C000000}"/>
    <hyperlink ref="A110" r:id="rId110" xr:uid="{00000000-0004-0000-0300-00006D000000}"/>
    <hyperlink ref="AV110" r:id="rId111" xr:uid="{00000000-0004-0000-0300-00006E000000}"/>
    <hyperlink ref="A111" r:id="rId112" xr:uid="{00000000-0004-0000-0300-00006F000000}"/>
    <hyperlink ref="AV111" r:id="rId113" xr:uid="{00000000-0004-0000-0300-000070000000}"/>
    <hyperlink ref="A112" r:id="rId114" xr:uid="{00000000-0004-0000-0300-000071000000}"/>
    <hyperlink ref="AV112" r:id="rId115" xr:uid="{00000000-0004-0000-0300-000072000000}"/>
    <hyperlink ref="AV113" r:id="rId116" xr:uid="{00000000-0004-0000-0300-000073000000}"/>
    <hyperlink ref="AV114" r:id="rId117" xr:uid="{00000000-0004-0000-0300-000074000000}"/>
    <hyperlink ref="AV115" r:id="rId118" xr:uid="{00000000-0004-0000-0300-000075000000}"/>
    <hyperlink ref="AV116" r:id="rId119" xr:uid="{00000000-0004-0000-0300-000076000000}"/>
    <hyperlink ref="AV117" r:id="rId120" xr:uid="{00000000-0004-0000-0300-000077000000}"/>
    <hyperlink ref="AV118" r:id="rId121" xr:uid="{00000000-0004-0000-0300-000078000000}"/>
    <hyperlink ref="AV119" r:id="rId122" xr:uid="{00000000-0004-0000-0300-000079000000}"/>
    <hyperlink ref="A120" r:id="rId123" xr:uid="{00000000-0004-0000-0300-00007A000000}"/>
    <hyperlink ref="AV120" r:id="rId124" xr:uid="{00000000-0004-0000-0300-00007B000000}"/>
    <hyperlink ref="A121" r:id="rId125" xr:uid="{00000000-0004-0000-0300-00007C000000}"/>
    <hyperlink ref="AV121" r:id="rId126" xr:uid="{00000000-0004-0000-0300-00007D000000}"/>
    <hyperlink ref="AV122" r:id="rId127" xr:uid="{00000000-0004-0000-0300-00007E000000}"/>
    <hyperlink ref="AV123" r:id="rId128" xr:uid="{00000000-0004-0000-0300-00007F000000}"/>
    <hyperlink ref="A124" r:id="rId129" xr:uid="{00000000-0004-0000-0300-000080000000}"/>
    <hyperlink ref="AV124" r:id="rId130" xr:uid="{00000000-0004-0000-0300-000081000000}"/>
    <hyperlink ref="AV125" r:id="rId131" xr:uid="{00000000-0004-0000-0300-000082000000}"/>
    <hyperlink ref="AV126" r:id="rId132" xr:uid="{00000000-0004-0000-0300-000083000000}"/>
    <hyperlink ref="AV127" r:id="rId133" xr:uid="{00000000-0004-0000-0300-000084000000}"/>
    <hyperlink ref="AV128" r:id="rId134" xr:uid="{00000000-0004-0000-0300-000085000000}"/>
    <hyperlink ref="AV129" r:id="rId135" xr:uid="{00000000-0004-0000-0300-000086000000}"/>
    <hyperlink ref="AV130" r:id="rId136" xr:uid="{00000000-0004-0000-0300-000087000000}"/>
    <hyperlink ref="AV131" r:id="rId137" xr:uid="{00000000-0004-0000-0300-000088000000}"/>
    <hyperlink ref="AV132" r:id="rId138" xr:uid="{00000000-0004-0000-0300-000089000000}"/>
    <hyperlink ref="AV133" r:id="rId139" xr:uid="{00000000-0004-0000-0300-00008A000000}"/>
    <hyperlink ref="AV134" r:id="rId140" xr:uid="{00000000-0004-0000-0300-00008B000000}"/>
    <hyperlink ref="AV135" r:id="rId141" xr:uid="{00000000-0004-0000-0300-00008C000000}"/>
    <hyperlink ref="AV136" r:id="rId142" xr:uid="{00000000-0004-0000-0300-00008D000000}"/>
    <hyperlink ref="AV137" r:id="rId143" xr:uid="{00000000-0004-0000-0300-00008E000000}"/>
    <hyperlink ref="AV138" r:id="rId144" xr:uid="{00000000-0004-0000-0300-00008F000000}"/>
    <hyperlink ref="AV139" r:id="rId145" xr:uid="{00000000-0004-0000-0300-000090000000}"/>
    <hyperlink ref="AV140" r:id="rId146" xr:uid="{00000000-0004-0000-0300-000091000000}"/>
    <hyperlink ref="AV141" r:id="rId147" xr:uid="{00000000-0004-0000-0300-000092000000}"/>
    <hyperlink ref="AV142" r:id="rId148" xr:uid="{00000000-0004-0000-0300-000093000000}"/>
    <hyperlink ref="AV143" r:id="rId149" xr:uid="{00000000-0004-0000-0300-000094000000}"/>
    <hyperlink ref="AV144" r:id="rId150" xr:uid="{00000000-0004-0000-0300-000095000000}"/>
    <hyperlink ref="AV145" r:id="rId151" xr:uid="{00000000-0004-0000-0300-000096000000}"/>
  </hyperlinks>
  <pageMargins left="0.7" right="0.7" top="0.75" bottom="0.75" header="0.3" footer="0.3"/>
  <drawing r:id="rId152"/>
  <legacyDrawing r:id="rId15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9CB9C"/>
    <outlinePr summaryBelow="0" summaryRight="0"/>
  </sheetPr>
  <dimension ref="A1:AZ28"/>
  <sheetViews>
    <sheetView workbookViewId="0">
      <pane xSplit="7" topLeftCell="AS1" activePane="topRight" state="frozen"/>
      <selection pane="topRight" activeCell="AR2" sqref="AR2:AZ2"/>
    </sheetView>
  </sheetViews>
  <sheetFormatPr defaultColWidth="12.6640625" defaultRowHeight="15.75" customHeight="1" x14ac:dyDescent="0.25"/>
  <cols>
    <col min="1" max="1" width="24.33203125" customWidth="1"/>
    <col min="2" max="2" width="18.88671875" customWidth="1"/>
    <col min="3" max="3" width="22.77734375" hidden="1" customWidth="1"/>
    <col min="4" max="4" width="18.77734375" customWidth="1"/>
    <col min="5" max="5" width="18.88671875" customWidth="1"/>
    <col min="6" max="6" width="13.33203125" customWidth="1"/>
    <col min="7" max="7" width="16.33203125" customWidth="1"/>
    <col min="8" max="8" width="13.88671875" customWidth="1"/>
    <col min="9" max="9" width="26.77734375" customWidth="1"/>
    <col min="10" max="10" width="13.21875" customWidth="1"/>
    <col min="11" max="11" width="12" customWidth="1"/>
    <col min="12" max="12" width="16.88671875" customWidth="1"/>
    <col min="13" max="13" width="11.77734375" customWidth="1"/>
    <col min="14" max="26" width="3.88671875" customWidth="1"/>
    <col min="27" max="27" width="13.33203125" customWidth="1"/>
    <col min="28" max="28" width="14.44140625" customWidth="1"/>
    <col min="29" max="29" width="14.77734375" customWidth="1"/>
    <col min="30" max="30" width="14" customWidth="1"/>
    <col min="31" max="31" width="14.21875" customWidth="1"/>
    <col min="32" max="32" width="15.88671875" customWidth="1"/>
    <col min="33" max="33" width="21.109375" customWidth="1"/>
    <col min="34" max="34" width="18.88671875" customWidth="1"/>
    <col min="35" max="35" width="11.88671875" customWidth="1"/>
    <col min="36" max="36" width="11.77734375" customWidth="1"/>
    <col min="37" max="37" width="17.33203125" customWidth="1"/>
    <col min="38" max="38" width="11.77734375" customWidth="1"/>
    <col min="39" max="39" width="12.109375" customWidth="1"/>
    <col min="40" max="40" width="11.33203125" customWidth="1"/>
    <col min="41" max="41" width="12.77734375" customWidth="1"/>
    <col min="42" max="43" width="18.88671875" customWidth="1"/>
  </cols>
  <sheetData>
    <row r="1" spans="1:52" ht="42" customHeight="1" x14ac:dyDescent="0.25">
      <c r="A1" s="66" t="s">
        <v>32</v>
      </c>
      <c r="B1" s="67"/>
      <c r="D1" s="68" t="s">
        <v>40</v>
      </c>
      <c r="G1" s="68" t="s">
        <v>60</v>
      </c>
      <c r="H1" s="67"/>
      <c r="I1" s="69"/>
      <c r="J1" s="70"/>
      <c r="K1" s="71"/>
      <c r="L1" s="71"/>
      <c r="M1" s="70"/>
      <c r="N1" s="72"/>
      <c r="O1" s="72"/>
      <c r="P1" s="72"/>
      <c r="Q1" s="72"/>
      <c r="R1" s="72"/>
      <c r="S1" s="72"/>
      <c r="T1" s="72"/>
      <c r="U1" s="72"/>
      <c r="V1" s="72"/>
      <c r="W1" s="72"/>
      <c r="X1" s="72"/>
      <c r="Y1" s="72"/>
      <c r="Z1" s="72"/>
      <c r="AA1" s="71"/>
      <c r="AB1" s="70"/>
      <c r="AC1" s="70"/>
      <c r="AD1" s="71"/>
      <c r="AE1" s="71"/>
      <c r="AF1" s="70"/>
      <c r="AG1" s="70"/>
      <c r="AH1" s="70"/>
      <c r="AI1" s="70"/>
      <c r="AJ1" s="70"/>
      <c r="AK1" s="70"/>
      <c r="AL1" s="71"/>
      <c r="AM1" s="70"/>
      <c r="AN1" s="70"/>
      <c r="AO1" s="70"/>
      <c r="AP1" s="70"/>
      <c r="AQ1" s="70"/>
      <c r="AR1" t="s">
        <v>926</v>
      </c>
    </row>
    <row r="2" spans="1:52" ht="107.25" customHeight="1" x14ac:dyDescent="0.3">
      <c r="A2" s="73" t="s">
        <v>65</v>
      </c>
      <c r="B2" s="74" t="s">
        <v>66</v>
      </c>
      <c r="C2" s="74" t="s">
        <v>67</v>
      </c>
      <c r="D2" s="74" t="s">
        <v>68</v>
      </c>
      <c r="E2" s="75" t="s">
        <v>69</v>
      </c>
      <c r="F2" s="74" t="s">
        <v>767</v>
      </c>
      <c r="G2" s="74" t="s">
        <v>0</v>
      </c>
      <c r="H2" s="76" t="s">
        <v>768</v>
      </c>
      <c r="I2" s="74" t="s">
        <v>73</v>
      </c>
      <c r="J2" s="77" t="s">
        <v>769</v>
      </c>
      <c r="K2" s="77" t="s">
        <v>770</v>
      </c>
      <c r="L2" s="77" t="s">
        <v>74</v>
      </c>
      <c r="M2" s="78" t="s">
        <v>771</v>
      </c>
      <c r="N2" s="79" t="s">
        <v>77</v>
      </c>
      <c r="O2" s="79" t="s">
        <v>78</v>
      </c>
      <c r="P2" s="79" t="s">
        <v>84</v>
      </c>
      <c r="Q2" s="79" t="s">
        <v>81</v>
      </c>
      <c r="R2" s="79" t="s">
        <v>79</v>
      </c>
      <c r="S2" s="79" t="s">
        <v>80</v>
      </c>
      <c r="T2" s="79" t="s">
        <v>82</v>
      </c>
      <c r="U2" s="79" t="s">
        <v>83</v>
      </c>
      <c r="V2" s="80" t="s">
        <v>772</v>
      </c>
      <c r="W2" s="79" t="s">
        <v>85</v>
      </c>
      <c r="X2" s="79" t="s">
        <v>86</v>
      </c>
      <c r="Y2" s="79" t="s">
        <v>87</v>
      </c>
      <c r="Z2" s="79" t="s">
        <v>88</v>
      </c>
      <c r="AA2" s="78" t="s">
        <v>76</v>
      </c>
      <c r="AB2" s="81" t="s">
        <v>773</v>
      </c>
      <c r="AC2" s="81" t="s">
        <v>774</v>
      </c>
      <c r="AD2" s="81" t="s">
        <v>775</v>
      </c>
      <c r="AE2" s="81" t="s">
        <v>776</v>
      </c>
      <c r="AF2" s="81" t="s">
        <v>777</v>
      </c>
      <c r="AG2" s="81" t="s">
        <v>778</v>
      </c>
      <c r="AH2" s="81" t="s">
        <v>779</v>
      </c>
      <c r="AI2" s="82" t="s">
        <v>780</v>
      </c>
      <c r="AJ2" s="82" t="s">
        <v>103</v>
      </c>
      <c r="AK2" s="82" t="s">
        <v>781</v>
      </c>
      <c r="AL2" s="82" t="s">
        <v>782</v>
      </c>
      <c r="AM2" s="82" t="s">
        <v>783</v>
      </c>
      <c r="AN2" s="82" t="s">
        <v>784</v>
      </c>
      <c r="AO2" s="82" t="s">
        <v>785</v>
      </c>
      <c r="AP2" s="83" t="s">
        <v>786</v>
      </c>
      <c r="AQ2" s="83" t="s">
        <v>109</v>
      </c>
      <c r="AR2" s="124" t="s">
        <v>2</v>
      </c>
      <c r="AS2" s="124" t="s">
        <v>4</v>
      </c>
      <c r="AT2" s="124" t="s">
        <v>5</v>
      </c>
      <c r="AU2" s="124" t="s">
        <v>6</v>
      </c>
      <c r="AV2" s="124" t="s">
        <v>8</v>
      </c>
      <c r="AW2" s="124" t="s">
        <v>7</v>
      </c>
      <c r="AX2" s="124" t="s">
        <v>9</v>
      </c>
      <c r="AY2" s="124" t="s">
        <v>10</v>
      </c>
      <c r="AZ2" s="124" t="s">
        <v>3</v>
      </c>
    </row>
    <row r="3" spans="1:52" ht="26.4" x14ac:dyDescent="0.25">
      <c r="A3" s="84" t="s">
        <v>787</v>
      </c>
      <c r="B3" s="85">
        <v>45473.656846226848</v>
      </c>
      <c r="C3" s="86" t="s">
        <v>111</v>
      </c>
      <c r="D3" s="86" t="s">
        <v>12</v>
      </c>
      <c r="E3" s="86" t="s">
        <v>788</v>
      </c>
      <c r="F3" s="86" t="s">
        <v>789</v>
      </c>
      <c r="G3" s="86" t="s">
        <v>9</v>
      </c>
      <c r="H3" s="29">
        <v>45443</v>
      </c>
      <c r="I3" s="86" t="s">
        <v>790</v>
      </c>
      <c r="J3" s="86" t="s">
        <v>12</v>
      </c>
      <c r="K3" s="29">
        <v>45452</v>
      </c>
      <c r="L3" s="29">
        <v>45452</v>
      </c>
      <c r="M3" s="86" t="s">
        <v>116</v>
      </c>
      <c r="N3" s="86" t="s">
        <v>116</v>
      </c>
      <c r="O3" s="86" t="s">
        <v>116</v>
      </c>
      <c r="P3" s="86"/>
      <c r="Q3" s="86" t="s">
        <v>116</v>
      </c>
      <c r="R3" s="86" t="s">
        <v>116</v>
      </c>
      <c r="S3" s="86" t="s">
        <v>116</v>
      </c>
      <c r="T3" s="86" t="s">
        <v>116</v>
      </c>
      <c r="U3" s="86" t="s">
        <v>116</v>
      </c>
      <c r="V3" s="86" t="s">
        <v>116</v>
      </c>
      <c r="W3" s="86" t="s">
        <v>116</v>
      </c>
      <c r="X3" s="86" t="s">
        <v>116</v>
      </c>
      <c r="Y3" s="86" t="s">
        <v>116</v>
      </c>
      <c r="Z3" s="86"/>
      <c r="AA3" s="29"/>
      <c r="AB3" s="86" t="s">
        <v>114</v>
      </c>
      <c r="AC3" s="86" t="s">
        <v>117</v>
      </c>
      <c r="AD3" s="29">
        <v>45459</v>
      </c>
      <c r="AE3" s="29">
        <v>45459</v>
      </c>
      <c r="AF3" s="86" t="s">
        <v>245</v>
      </c>
      <c r="AG3" s="86"/>
      <c r="AH3" s="86"/>
      <c r="AI3" s="86" t="s">
        <v>116</v>
      </c>
      <c r="AJ3" s="86" t="s">
        <v>116</v>
      </c>
      <c r="AK3" s="86"/>
      <c r="AL3" s="29"/>
      <c r="AM3" s="86" t="s">
        <v>116</v>
      </c>
      <c r="AN3" s="86" t="s">
        <v>116</v>
      </c>
      <c r="AO3" s="86" t="s">
        <v>116</v>
      </c>
      <c r="AP3" s="86"/>
      <c r="AQ3" s="87" t="e">
        <f t="shared" ref="AQ3:AQ18" ca="1" si="0">geturl(A3)</f>
        <v>#NAME?</v>
      </c>
    </row>
    <row r="4" spans="1:52" ht="13.2" x14ac:dyDescent="0.25">
      <c r="A4" s="88" t="s">
        <v>791</v>
      </c>
      <c r="B4" s="89">
        <v>45473.659049652779</v>
      </c>
      <c r="C4" s="90" t="s">
        <v>111</v>
      </c>
      <c r="D4" s="90" t="s">
        <v>12</v>
      </c>
      <c r="E4" s="90" t="s">
        <v>122</v>
      </c>
      <c r="F4" s="90" t="s">
        <v>792</v>
      </c>
      <c r="G4" s="90" t="s">
        <v>4</v>
      </c>
      <c r="H4" s="91">
        <v>45449</v>
      </c>
      <c r="I4" s="86"/>
      <c r="J4" s="90" t="s">
        <v>12</v>
      </c>
      <c r="K4" s="91">
        <v>45449</v>
      </c>
      <c r="L4" s="91">
        <v>45449</v>
      </c>
      <c r="M4" s="90" t="s">
        <v>116</v>
      </c>
      <c r="N4" s="90"/>
      <c r="O4" s="90" t="s">
        <v>116</v>
      </c>
      <c r="P4" s="90" t="s">
        <v>116</v>
      </c>
      <c r="Q4" s="90" t="s">
        <v>116</v>
      </c>
      <c r="R4" s="90" t="s">
        <v>116</v>
      </c>
      <c r="S4" s="90"/>
      <c r="T4" s="90" t="s">
        <v>116</v>
      </c>
      <c r="U4" s="90"/>
      <c r="V4" s="90" t="s">
        <v>116</v>
      </c>
      <c r="W4" s="90" t="s">
        <v>116</v>
      </c>
      <c r="X4" s="90" t="s">
        <v>116</v>
      </c>
      <c r="Y4" s="90"/>
      <c r="Z4" s="90"/>
      <c r="AA4" s="91">
        <v>45449</v>
      </c>
      <c r="AB4" s="90" t="s">
        <v>116</v>
      </c>
      <c r="AC4" s="90" t="s">
        <v>126</v>
      </c>
      <c r="AD4" s="91">
        <v>45466</v>
      </c>
      <c r="AE4" s="91">
        <v>45468</v>
      </c>
      <c r="AF4" s="90" t="s">
        <v>793</v>
      </c>
      <c r="AG4" s="90" t="s">
        <v>793</v>
      </c>
      <c r="AH4" s="90"/>
      <c r="AI4" s="90" t="s">
        <v>116</v>
      </c>
      <c r="AJ4" s="90" t="s">
        <v>116</v>
      </c>
      <c r="AK4" s="90" t="s">
        <v>149</v>
      </c>
      <c r="AL4" s="91">
        <v>45472</v>
      </c>
      <c r="AM4" s="90" t="s">
        <v>116</v>
      </c>
      <c r="AN4" s="90" t="s">
        <v>116</v>
      </c>
      <c r="AO4" s="90" t="s">
        <v>116</v>
      </c>
      <c r="AP4" s="90"/>
      <c r="AQ4" s="87" t="e">
        <f t="shared" ca="1" si="0"/>
        <v>#NAME?</v>
      </c>
    </row>
    <row r="5" spans="1:52" ht="13.2" x14ac:dyDescent="0.25">
      <c r="A5" s="59" t="s">
        <v>794</v>
      </c>
      <c r="B5" s="89">
        <v>45473.659701631943</v>
      </c>
      <c r="C5" s="17" t="s">
        <v>141</v>
      </c>
      <c r="D5" s="17" t="s">
        <v>12</v>
      </c>
      <c r="E5" s="17" t="s">
        <v>795</v>
      </c>
      <c r="F5" s="17" t="s">
        <v>789</v>
      </c>
      <c r="G5" s="17" t="s">
        <v>5</v>
      </c>
      <c r="H5" s="91">
        <v>45452</v>
      </c>
      <c r="I5" s="26"/>
      <c r="J5" s="17" t="s">
        <v>12</v>
      </c>
      <c r="K5" s="91">
        <v>45452</v>
      </c>
      <c r="L5" s="91">
        <v>45457</v>
      </c>
      <c r="M5" s="17" t="s">
        <v>116</v>
      </c>
      <c r="Z5" s="17"/>
      <c r="AA5" s="91">
        <v>45460</v>
      </c>
      <c r="AB5" s="17" t="s">
        <v>116</v>
      </c>
      <c r="AC5" s="17" t="s">
        <v>223</v>
      </c>
      <c r="AD5" s="91">
        <v>45466</v>
      </c>
      <c r="AE5" s="91">
        <v>45466</v>
      </c>
      <c r="AF5" s="17" t="s">
        <v>796</v>
      </c>
      <c r="AI5" s="17" t="s">
        <v>116</v>
      </c>
      <c r="AJ5" s="17" t="s">
        <v>116</v>
      </c>
      <c r="AK5" s="17" t="s">
        <v>149</v>
      </c>
      <c r="AL5" s="91">
        <v>45468</v>
      </c>
      <c r="AM5" s="17" t="s">
        <v>116</v>
      </c>
      <c r="AN5" s="17" t="s">
        <v>116</v>
      </c>
      <c r="AO5" s="17" t="s">
        <v>116</v>
      </c>
      <c r="AP5" s="17"/>
      <c r="AQ5" s="87" t="e">
        <f t="shared" ca="1" si="0"/>
        <v>#NAME?</v>
      </c>
    </row>
    <row r="6" spans="1:52" ht="13.2" x14ac:dyDescent="0.25">
      <c r="A6" s="59" t="s">
        <v>797</v>
      </c>
      <c r="B6" s="57">
        <v>45522.963059664355</v>
      </c>
      <c r="C6" s="17" t="s">
        <v>111</v>
      </c>
      <c r="D6" s="17" t="s">
        <v>12</v>
      </c>
      <c r="E6" s="17" t="s">
        <v>290</v>
      </c>
      <c r="F6" s="17" t="s">
        <v>789</v>
      </c>
      <c r="G6" s="17" t="s">
        <v>5</v>
      </c>
      <c r="H6" s="19">
        <v>45494</v>
      </c>
      <c r="I6" s="26"/>
      <c r="J6" s="17" t="s">
        <v>12</v>
      </c>
      <c r="K6" s="19">
        <v>45498</v>
      </c>
      <c r="L6" s="19">
        <v>45505</v>
      </c>
      <c r="M6" s="17" t="s">
        <v>116</v>
      </c>
      <c r="O6" s="17" t="s">
        <v>116</v>
      </c>
      <c r="P6" s="17" t="s">
        <v>116</v>
      </c>
      <c r="Q6" s="17" t="s">
        <v>116</v>
      </c>
      <c r="R6" s="17" t="s">
        <v>116</v>
      </c>
      <c r="S6" s="17" t="s">
        <v>116</v>
      </c>
      <c r="X6" s="17" t="s">
        <v>116</v>
      </c>
      <c r="Z6" s="17"/>
      <c r="AA6" s="19">
        <v>45505</v>
      </c>
      <c r="AB6" s="17" t="s">
        <v>116</v>
      </c>
      <c r="AC6" s="17" t="s">
        <v>223</v>
      </c>
      <c r="AD6" s="19">
        <v>45508</v>
      </c>
      <c r="AE6" s="19">
        <v>45508</v>
      </c>
      <c r="AF6" s="17" t="s">
        <v>798</v>
      </c>
      <c r="AG6" s="17" t="s">
        <v>799</v>
      </c>
      <c r="AI6" s="17" t="s">
        <v>116</v>
      </c>
      <c r="AJ6" s="17" t="s">
        <v>116</v>
      </c>
      <c r="AK6" s="17" t="s">
        <v>149</v>
      </c>
      <c r="AL6" s="19">
        <v>45522</v>
      </c>
      <c r="AM6" s="17" t="s">
        <v>116</v>
      </c>
      <c r="AN6" s="17" t="s">
        <v>116</v>
      </c>
      <c r="AO6" s="17" t="s">
        <v>116</v>
      </c>
      <c r="AP6" s="17"/>
      <c r="AQ6" s="87" t="e">
        <f t="shared" ca="1" si="0"/>
        <v>#NAME?</v>
      </c>
    </row>
    <row r="7" spans="1:52" ht="13.2" x14ac:dyDescent="0.25">
      <c r="A7" s="59" t="s">
        <v>800</v>
      </c>
      <c r="B7" s="57">
        <v>45620.787612048611</v>
      </c>
      <c r="C7" s="17" t="s">
        <v>141</v>
      </c>
      <c r="D7" s="17" t="s">
        <v>12</v>
      </c>
      <c r="E7" s="17" t="s">
        <v>801</v>
      </c>
      <c r="F7" s="17" t="s">
        <v>789</v>
      </c>
      <c r="G7" s="17" t="s">
        <v>8</v>
      </c>
      <c r="H7" s="19">
        <v>45592</v>
      </c>
      <c r="I7" s="26"/>
      <c r="J7" s="17" t="s">
        <v>12</v>
      </c>
      <c r="K7" s="19">
        <v>45599</v>
      </c>
      <c r="L7" s="19">
        <v>45599</v>
      </c>
      <c r="M7" s="17" t="s">
        <v>116</v>
      </c>
      <c r="O7" s="17" t="s">
        <v>116</v>
      </c>
      <c r="Z7" s="17"/>
      <c r="AA7" s="19">
        <v>45603</v>
      </c>
      <c r="AB7" s="17" t="s">
        <v>116</v>
      </c>
      <c r="AC7" s="17" t="s">
        <v>802</v>
      </c>
      <c r="AD7" s="19">
        <v>45606</v>
      </c>
      <c r="AE7" s="19">
        <v>45606</v>
      </c>
      <c r="AF7" s="17" t="s">
        <v>803</v>
      </c>
      <c r="AI7" s="17" t="s">
        <v>116</v>
      </c>
      <c r="AJ7" s="17" t="s">
        <v>116</v>
      </c>
      <c r="AK7" s="17" t="s">
        <v>149</v>
      </c>
      <c r="AL7" s="19">
        <v>45606</v>
      </c>
      <c r="AM7" s="17" t="s">
        <v>116</v>
      </c>
      <c r="AN7" s="17" t="s">
        <v>804</v>
      </c>
      <c r="AO7" s="17" t="s">
        <v>804</v>
      </c>
      <c r="AP7" s="17"/>
      <c r="AQ7" s="87" t="e">
        <f t="shared" ca="1" si="0"/>
        <v>#NAME?</v>
      </c>
    </row>
    <row r="8" spans="1:52" ht="26.4" x14ac:dyDescent="0.25">
      <c r="A8" s="53" t="s">
        <v>805</v>
      </c>
      <c r="B8" s="56">
        <v>45666.769007118055</v>
      </c>
      <c r="C8" s="26" t="s">
        <v>141</v>
      </c>
      <c r="D8" s="26" t="s">
        <v>12</v>
      </c>
      <c r="E8" s="26" t="s">
        <v>806</v>
      </c>
      <c r="F8" s="26" t="s">
        <v>789</v>
      </c>
      <c r="G8" s="26" t="s">
        <v>5</v>
      </c>
      <c r="H8" s="55">
        <v>45613</v>
      </c>
      <c r="I8" s="26"/>
      <c r="J8" s="26" t="s">
        <v>12</v>
      </c>
      <c r="K8" s="55">
        <v>45620</v>
      </c>
      <c r="L8" s="55">
        <v>45620</v>
      </c>
      <c r="M8" s="26" t="s">
        <v>116</v>
      </c>
      <c r="N8" s="26" t="s">
        <v>116</v>
      </c>
      <c r="O8" s="26" t="s">
        <v>116</v>
      </c>
      <c r="P8" s="26" t="s">
        <v>116</v>
      </c>
      <c r="Q8" s="26" t="s">
        <v>116</v>
      </c>
      <c r="R8" s="26" t="s">
        <v>116</v>
      </c>
      <c r="S8" s="26" t="s">
        <v>116</v>
      </c>
      <c r="T8" s="26" t="s">
        <v>116</v>
      </c>
      <c r="U8" s="26" t="s">
        <v>116</v>
      </c>
      <c r="V8" s="26" t="s">
        <v>116</v>
      </c>
      <c r="W8" s="26" t="s">
        <v>116</v>
      </c>
      <c r="X8" s="26" t="s">
        <v>116</v>
      </c>
      <c r="Y8" s="26" t="s">
        <v>116</v>
      </c>
      <c r="Z8" s="26"/>
      <c r="AA8" s="55">
        <v>45625</v>
      </c>
      <c r="AB8" s="26" t="s">
        <v>116</v>
      </c>
      <c r="AC8" s="26"/>
      <c r="AD8" s="55">
        <v>45627</v>
      </c>
      <c r="AE8" s="55">
        <v>45627</v>
      </c>
      <c r="AF8" s="26" t="s">
        <v>807</v>
      </c>
      <c r="AG8" s="26" t="s">
        <v>808</v>
      </c>
      <c r="AH8" s="26"/>
      <c r="AI8" s="26" t="s">
        <v>116</v>
      </c>
      <c r="AJ8" s="26" t="s">
        <v>116</v>
      </c>
      <c r="AK8" s="26" t="s">
        <v>149</v>
      </c>
      <c r="AL8" s="55">
        <v>45627</v>
      </c>
      <c r="AM8" s="26" t="s">
        <v>116</v>
      </c>
      <c r="AN8" s="26" t="s">
        <v>116</v>
      </c>
      <c r="AO8" s="26" t="s">
        <v>116</v>
      </c>
      <c r="AP8" s="26"/>
      <c r="AQ8" s="87" t="e">
        <f t="shared" ca="1" si="0"/>
        <v>#NAME?</v>
      </c>
    </row>
    <row r="9" spans="1:52" ht="13.2" x14ac:dyDescent="0.25">
      <c r="A9" s="59" t="s">
        <v>809</v>
      </c>
      <c r="B9" s="57">
        <v>45770.861502881948</v>
      </c>
      <c r="C9" s="17" t="s">
        <v>141</v>
      </c>
      <c r="D9" s="17" t="s">
        <v>12</v>
      </c>
      <c r="E9" s="17" t="s">
        <v>364</v>
      </c>
      <c r="F9" s="17" t="s">
        <v>792</v>
      </c>
      <c r="G9" s="17" t="s">
        <v>7</v>
      </c>
      <c r="H9" s="19">
        <v>45753</v>
      </c>
      <c r="I9" s="26"/>
      <c r="J9" s="17" t="s">
        <v>12</v>
      </c>
      <c r="K9" s="19">
        <v>45757</v>
      </c>
      <c r="L9" s="19">
        <v>45760</v>
      </c>
      <c r="M9" s="17" t="s">
        <v>116</v>
      </c>
      <c r="N9" s="17" t="s">
        <v>116</v>
      </c>
      <c r="O9" s="17" t="s">
        <v>116</v>
      </c>
      <c r="P9" s="17" t="s">
        <v>116</v>
      </c>
      <c r="Q9" s="17" t="s">
        <v>116</v>
      </c>
      <c r="R9" s="17" t="s">
        <v>116</v>
      </c>
      <c r="S9" s="17" t="s">
        <v>116</v>
      </c>
      <c r="U9" s="17" t="s">
        <v>116</v>
      </c>
      <c r="W9" s="17" t="s">
        <v>116</v>
      </c>
      <c r="X9" s="17" t="s">
        <v>116</v>
      </c>
      <c r="Z9" s="17"/>
      <c r="AA9" s="19">
        <v>45760</v>
      </c>
      <c r="AB9" s="17" t="s">
        <v>116</v>
      </c>
      <c r="AD9" s="19">
        <v>45760</v>
      </c>
      <c r="AE9" s="19">
        <v>45762</v>
      </c>
      <c r="AF9" s="17" t="s">
        <v>810</v>
      </c>
      <c r="AI9" s="17" t="s">
        <v>116</v>
      </c>
      <c r="AJ9" s="17" t="s">
        <v>116</v>
      </c>
      <c r="AK9" s="17" t="s">
        <v>149</v>
      </c>
      <c r="AL9" s="19">
        <v>45762</v>
      </c>
      <c r="AM9" s="17" t="s">
        <v>116</v>
      </c>
      <c r="AN9" s="17" t="s">
        <v>116</v>
      </c>
      <c r="AO9" s="17" t="s">
        <v>116</v>
      </c>
      <c r="AP9" s="17"/>
      <c r="AQ9" s="87" t="e">
        <f t="shared" ca="1" si="0"/>
        <v>#NAME?</v>
      </c>
    </row>
    <row r="10" spans="1:52" ht="13.2" x14ac:dyDescent="0.25">
      <c r="A10" s="59" t="s">
        <v>811</v>
      </c>
      <c r="B10" s="57">
        <v>45917.4125331713</v>
      </c>
      <c r="C10" s="17" t="s">
        <v>357</v>
      </c>
      <c r="D10" s="17" t="s">
        <v>12</v>
      </c>
      <c r="E10" s="17" t="s">
        <v>242</v>
      </c>
      <c r="F10" s="17" t="s">
        <v>792</v>
      </c>
      <c r="G10" s="17" t="s">
        <v>9</v>
      </c>
      <c r="H10" s="19">
        <v>45802</v>
      </c>
      <c r="I10" s="26"/>
      <c r="J10" s="17" t="s">
        <v>12</v>
      </c>
      <c r="K10" s="19">
        <v>45812</v>
      </c>
      <c r="L10" s="19">
        <v>45809</v>
      </c>
      <c r="M10" s="17" t="s">
        <v>116</v>
      </c>
      <c r="N10" s="17" t="s">
        <v>116</v>
      </c>
      <c r="O10" s="17" t="s">
        <v>116</v>
      </c>
      <c r="Q10" s="17" t="s">
        <v>116</v>
      </c>
      <c r="R10" s="17" t="s">
        <v>116</v>
      </c>
      <c r="S10" s="17" t="s">
        <v>116</v>
      </c>
      <c r="U10" s="17" t="s">
        <v>116</v>
      </c>
      <c r="X10" s="17" t="s">
        <v>116</v>
      </c>
      <c r="Z10" s="17" t="s">
        <v>116</v>
      </c>
      <c r="AA10" s="19">
        <v>45814</v>
      </c>
      <c r="AB10" s="17" t="s">
        <v>116</v>
      </c>
      <c r="AC10" s="17" t="s">
        <v>117</v>
      </c>
      <c r="AD10" s="19">
        <v>45823</v>
      </c>
      <c r="AE10" s="19">
        <v>45907</v>
      </c>
      <c r="AF10" s="17" t="s">
        <v>812</v>
      </c>
      <c r="AI10" s="17" t="s">
        <v>116</v>
      </c>
      <c r="AJ10" s="17" t="s">
        <v>116</v>
      </c>
      <c r="AK10" s="17" t="s">
        <v>422</v>
      </c>
      <c r="AL10" s="19">
        <v>45907</v>
      </c>
      <c r="AM10" s="17" t="s">
        <v>116</v>
      </c>
      <c r="AN10" s="17" t="s">
        <v>116</v>
      </c>
      <c r="AO10" s="17" t="s">
        <v>116</v>
      </c>
      <c r="AP10" s="17" t="s">
        <v>116</v>
      </c>
      <c r="AQ10" s="87" t="e">
        <f t="shared" ca="1" si="0"/>
        <v>#NAME?</v>
      </c>
    </row>
    <row r="11" spans="1:52" ht="13.2" x14ac:dyDescent="0.25">
      <c r="A11" s="59" t="s">
        <v>813</v>
      </c>
      <c r="B11" s="57">
        <v>45922.412576504634</v>
      </c>
      <c r="C11" s="17" t="s">
        <v>357</v>
      </c>
      <c r="D11" s="17" t="s">
        <v>12</v>
      </c>
      <c r="E11" s="17" t="s">
        <v>183</v>
      </c>
      <c r="F11" s="17" t="s">
        <v>792</v>
      </c>
      <c r="G11" s="17" t="s">
        <v>9</v>
      </c>
      <c r="H11" s="19">
        <v>45809</v>
      </c>
      <c r="I11" s="26"/>
      <c r="J11" s="17" t="s">
        <v>12</v>
      </c>
      <c r="K11" s="19">
        <v>45809</v>
      </c>
      <c r="L11" s="19">
        <v>45809</v>
      </c>
      <c r="M11" s="17" t="s">
        <v>116</v>
      </c>
      <c r="N11" s="17" t="s">
        <v>116</v>
      </c>
      <c r="O11" s="17" t="s">
        <v>116</v>
      </c>
      <c r="P11" s="17" t="s">
        <v>116</v>
      </c>
      <c r="Q11" s="17" t="s">
        <v>116</v>
      </c>
      <c r="R11" s="17" t="s">
        <v>116</v>
      </c>
      <c r="S11" s="17" t="s">
        <v>116</v>
      </c>
      <c r="X11" s="17" t="s">
        <v>116</v>
      </c>
      <c r="AA11" s="19">
        <v>45811</v>
      </c>
      <c r="AB11" s="17" t="s">
        <v>116</v>
      </c>
      <c r="AC11" s="17" t="s">
        <v>117</v>
      </c>
      <c r="AD11" s="19">
        <v>45823</v>
      </c>
      <c r="AE11" s="19">
        <v>45914</v>
      </c>
      <c r="AF11" s="17" t="s">
        <v>814</v>
      </c>
      <c r="AI11" s="17" t="s">
        <v>116</v>
      </c>
      <c r="AJ11" s="17" t="s">
        <v>116</v>
      </c>
      <c r="AK11" s="17" t="s">
        <v>422</v>
      </c>
      <c r="AL11" s="19">
        <v>45914</v>
      </c>
      <c r="AM11" s="17" t="s">
        <v>116</v>
      </c>
      <c r="AN11" s="17" t="s">
        <v>116</v>
      </c>
      <c r="AO11" s="17" t="s">
        <v>116</v>
      </c>
      <c r="AP11" s="17" t="s">
        <v>116</v>
      </c>
      <c r="AQ11" s="87" t="e">
        <f t="shared" ca="1" si="0"/>
        <v>#NAME?</v>
      </c>
    </row>
    <row r="12" spans="1:52" ht="13.2" x14ac:dyDescent="0.25">
      <c r="A12" s="59" t="s">
        <v>815</v>
      </c>
      <c r="B12" s="57">
        <v>45917.4117437963</v>
      </c>
      <c r="C12" s="17" t="s">
        <v>357</v>
      </c>
      <c r="D12" s="17" t="s">
        <v>12</v>
      </c>
      <c r="E12" s="17" t="s">
        <v>278</v>
      </c>
      <c r="F12" s="17" t="s">
        <v>792</v>
      </c>
      <c r="G12" s="17" t="s">
        <v>9</v>
      </c>
      <c r="H12" s="19">
        <v>45802</v>
      </c>
      <c r="I12" s="26"/>
      <c r="J12" s="17" t="s">
        <v>12</v>
      </c>
      <c r="K12" s="19">
        <v>45813</v>
      </c>
      <c r="L12" s="19">
        <v>45809</v>
      </c>
      <c r="M12" s="17" t="s">
        <v>116</v>
      </c>
      <c r="N12" s="17" t="s">
        <v>116</v>
      </c>
      <c r="O12" s="17" t="s">
        <v>116</v>
      </c>
      <c r="P12" s="17" t="s">
        <v>116</v>
      </c>
      <c r="Q12" s="17" t="s">
        <v>116</v>
      </c>
      <c r="R12" s="17" t="s">
        <v>116</v>
      </c>
      <c r="S12" s="17" t="s">
        <v>116</v>
      </c>
      <c r="T12" s="17" t="s">
        <v>116</v>
      </c>
      <c r="U12" s="17" t="s">
        <v>116</v>
      </c>
      <c r="X12" s="17" t="s">
        <v>116</v>
      </c>
      <c r="Z12" s="17" t="s">
        <v>116</v>
      </c>
      <c r="AA12" s="19">
        <v>45816</v>
      </c>
      <c r="AB12" s="17" t="s">
        <v>116</v>
      </c>
      <c r="AC12" s="17" t="s">
        <v>117</v>
      </c>
      <c r="AD12" s="19">
        <v>45823</v>
      </c>
      <c r="AE12" s="19">
        <v>45907</v>
      </c>
      <c r="AF12" s="17" t="s">
        <v>132</v>
      </c>
      <c r="AI12" s="17" t="s">
        <v>116</v>
      </c>
      <c r="AJ12" s="17" t="s">
        <v>116</v>
      </c>
      <c r="AK12" s="17" t="s">
        <v>422</v>
      </c>
      <c r="AL12" s="19">
        <v>45907</v>
      </c>
      <c r="AM12" s="17" t="s">
        <v>116</v>
      </c>
      <c r="AN12" s="17" t="s">
        <v>116</v>
      </c>
      <c r="AO12" s="17" t="s">
        <v>116</v>
      </c>
      <c r="AP12" s="17" t="s">
        <v>116</v>
      </c>
      <c r="AQ12" s="87" t="e">
        <f t="shared" ca="1" si="0"/>
        <v>#NAME?</v>
      </c>
    </row>
    <row r="13" spans="1:52" ht="105.6" x14ac:dyDescent="0.25">
      <c r="A13" s="59" t="s">
        <v>816</v>
      </c>
      <c r="B13" s="57">
        <v>45898.755142789349</v>
      </c>
      <c r="C13" s="17" t="s">
        <v>357</v>
      </c>
      <c r="D13" s="17" t="s">
        <v>12</v>
      </c>
      <c r="E13" s="17" t="s">
        <v>714</v>
      </c>
      <c r="F13" s="17" t="s">
        <v>789</v>
      </c>
      <c r="G13" s="17" t="s">
        <v>7</v>
      </c>
      <c r="H13" s="19">
        <v>45851</v>
      </c>
      <c r="I13" s="26" t="s">
        <v>817</v>
      </c>
      <c r="J13" s="17" t="s">
        <v>12</v>
      </c>
      <c r="K13" s="19">
        <v>45879</v>
      </c>
      <c r="L13" s="19">
        <v>45881</v>
      </c>
      <c r="M13" s="17" t="s">
        <v>116</v>
      </c>
      <c r="N13" s="17" t="s">
        <v>116</v>
      </c>
      <c r="O13" s="17" t="s">
        <v>116</v>
      </c>
      <c r="P13" s="17" t="s">
        <v>116</v>
      </c>
      <c r="Q13" s="17" t="s">
        <v>116</v>
      </c>
      <c r="R13" s="17" t="s">
        <v>116</v>
      </c>
      <c r="S13" s="17" t="s">
        <v>116</v>
      </c>
      <c r="W13" s="17" t="s">
        <v>116</v>
      </c>
      <c r="Y13" s="17" t="s">
        <v>116</v>
      </c>
      <c r="Z13" s="17" t="s">
        <v>116</v>
      </c>
      <c r="AA13" s="19">
        <v>45884</v>
      </c>
      <c r="AB13" s="17" t="s">
        <v>116</v>
      </c>
      <c r="AC13" s="17" t="s">
        <v>509</v>
      </c>
      <c r="AD13" s="19">
        <v>45886</v>
      </c>
      <c r="AE13" s="19">
        <v>45886</v>
      </c>
      <c r="AF13" s="17" t="s">
        <v>818</v>
      </c>
      <c r="AG13" s="17" t="s">
        <v>819</v>
      </c>
      <c r="AI13" s="17" t="s">
        <v>116</v>
      </c>
      <c r="AJ13" s="17" t="s">
        <v>116</v>
      </c>
      <c r="AK13" s="17" t="s">
        <v>422</v>
      </c>
      <c r="AL13" s="19">
        <v>45886</v>
      </c>
      <c r="AM13" s="17" t="s">
        <v>116</v>
      </c>
      <c r="AN13" s="17" t="s">
        <v>116</v>
      </c>
      <c r="AO13" s="17" t="s">
        <v>116</v>
      </c>
      <c r="AP13" s="17" t="s">
        <v>116</v>
      </c>
      <c r="AQ13" s="87" t="e">
        <f t="shared" ca="1" si="0"/>
        <v>#NAME?</v>
      </c>
    </row>
    <row r="14" spans="1:52" ht="26.4" x14ac:dyDescent="0.25">
      <c r="A14" s="59" t="s">
        <v>820</v>
      </c>
      <c r="B14" s="57">
        <v>45907.603969363423</v>
      </c>
      <c r="C14" s="17" t="s">
        <v>357</v>
      </c>
      <c r="D14" s="17" t="s">
        <v>12</v>
      </c>
      <c r="E14" s="17" t="s">
        <v>168</v>
      </c>
      <c r="F14" s="17" t="s">
        <v>792</v>
      </c>
      <c r="G14" s="17" t="s">
        <v>10</v>
      </c>
      <c r="H14" s="19">
        <v>45893</v>
      </c>
      <c r="I14" s="26" t="s">
        <v>821</v>
      </c>
      <c r="J14" s="17" t="s">
        <v>12</v>
      </c>
      <c r="K14" s="19">
        <v>45893</v>
      </c>
      <c r="L14" s="19">
        <v>45893</v>
      </c>
      <c r="M14" s="17" t="s">
        <v>116</v>
      </c>
      <c r="N14" s="17" t="s">
        <v>116</v>
      </c>
      <c r="P14" s="17" t="s">
        <v>116</v>
      </c>
      <c r="Q14" s="17" t="s">
        <v>116</v>
      </c>
      <c r="R14" s="17" t="s">
        <v>116</v>
      </c>
      <c r="T14" s="17" t="s">
        <v>116</v>
      </c>
      <c r="U14" s="17" t="s">
        <v>116</v>
      </c>
      <c r="X14" s="17" t="s">
        <v>116</v>
      </c>
      <c r="Y14" s="17" t="s">
        <v>116</v>
      </c>
      <c r="Z14" s="17" t="s">
        <v>116</v>
      </c>
      <c r="AA14" s="19">
        <v>45894</v>
      </c>
      <c r="AB14" s="17" t="s">
        <v>116</v>
      </c>
      <c r="AC14" s="17" t="s">
        <v>167</v>
      </c>
      <c r="AD14" s="19">
        <v>45900</v>
      </c>
      <c r="AE14" s="19">
        <v>45900</v>
      </c>
      <c r="AF14" s="17" t="s">
        <v>166</v>
      </c>
      <c r="AI14" s="17" t="s">
        <v>116</v>
      </c>
      <c r="AJ14" s="17" t="s">
        <v>116</v>
      </c>
      <c r="AK14" s="17" t="s">
        <v>422</v>
      </c>
      <c r="AL14" s="19">
        <v>45900</v>
      </c>
      <c r="AM14" s="17" t="s">
        <v>116</v>
      </c>
      <c r="AN14" s="17" t="s">
        <v>116</v>
      </c>
      <c r="AO14" s="17" t="s">
        <v>116</v>
      </c>
      <c r="AP14" s="17" t="s">
        <v>116</v>
      </c>
      <c r="AQ14" s="87" t="e">
        <f t="shared" ca="1" si="0"/>
        <v>#NAME?</v>
      </c>
    </row>
    <row r="15" spans="1:52" ht="13.2" x14ac:dyDescent="0.25">
      <c r="A15" s="59" t="s">
        <v>822</v>
      </c>
      <c r="B15" s="57">
        <v>45932.876524305553</v>
      </c>
      <c r="C15" s="17" t="s">
        <v>357</v>
      </c>
      <c r="D15" s="17" t="s">
        <v>12</v>
      </c>
      <c r="E15" s="17" t="s">
        <v>823</v>
      </c>
      <c r="F15" s="17" t="s">
        <v>789</v>
      </c>
      <c r="G15" s="17" t="s">
        <v>4</v>
      </c>
      <c r="H15" s="19">
        <v>45900</v>
      </c>
      <c r="I15" s="26"/>
      <c r="J15" s="17" t="s">
        <v>12</v>
      </c>
      <c r="K15" s="19">
        <v>45907</v>
      </c>
      <c r="L15" s="19">
        <v>45907</v>
      </c>
      <c r="M15" s="17" t="s">
        <v>116</v>
      </c>
      <c r="N15" s="17" t="s">
        <v>116</v>
      </c>
      <c r="O15" s="17" t="s">
        <v>116</v>
      </c>
      <c r="P15" s="17" t="s">
        <v>116</v>
      </c>
      <c r="Q15" s="17" t="s">
        <v>116</v>
      </c>
      <c r="S15" s="17" t="s">
        <v>116</v>
      </c>
      <c r="T15" s="17" t="s">
        <v>116</v>
      </c>
      <c r="X15" s="17" t="s">
        <v>116</v>
      </c>
      <c r="Y15" s="17" t="s">
        <v>116</v>
      </c>
      <c r="Z15" s="17" t="s">
        <v>116</v>
      </c>
      <c r="AA15" s="19">
        <v>45912</v>
      </c>
      <c r="AB15" s="17" t="s">
        <v>116</v>
      </c>
      <c r="AC15" s="17" t="s">
        <v>561</v>
      </c>
      <c r="AD15" s="19">
        <v>45914</v>
      </c>
      <c r="AE15" s="19">
        <v>45931</v>
      </c>
      <c r="AF15" s="17" t="s">
        <v>824</v>
      </c>
      <c r="AI15" s="17" t="s">
        <v>116</v>
      </c>
      <c r="AJ15" s="17" t="s">
        <v>116</v>
      </c>
      <c r="AK15" s="17" t="s">
        <v>422</v>
      </c>
      <c r="AL15" s="19">
        <v>45932</v>
      </c>
      <c r="AM15" s="17" t="s">
        <v>116</v>
      </c>
      <c r="AN15" s="17" t="s">
        <v>116</v>
      </c>
      <c r="AO15" s="17" t="s">
        <v>116</v>
      </c>
      <c r="AP15" s="17" t="s">
        <v>116</v>
      </c>
      <c r="AQ15" s="87" t="e">
        <f t="shared" ca="1" si="0"/>
        <v>#NAME?</v>
      </c>
    </row>
    <row r="16" spans="1:52" ht="13.2" x14ac:dyDescent="0.25">
      <c r="A16" s="59" t="s">
        <v>825</v>
      </c>
      <c r="B16" s="57">
        <v>45932.874694849539</v>
      </c>
      <c r="C16" s="17" t="s">
        <v>357</v>
      </c>
      <c r="D16" s="17" t="s">
        <v>12</v>
      </c>
      <c r="E16" s="17" t="s">
        <v>695</v>
      </c>
      <c r="F16" s="17" t="s">
        <v>789</v>
      </c>
      <c r="G16" s="17" t="s">
        <v>7</v>
      </c>
      <c r="H16" s="19">
        <v>45900</v>
      </c>
      <c r="I16" s="26"/>
      <c r="J16" s="17" t="s">
        <v>12</v>
      </c>
      <c r="K16" s="19">
        <v>45907</v>
      </c>
      <c r="L16" s="19">
        <v>45907</v>
      </c>
      <c r="M16" s="17" t="s">
        <v>116</v>
      </c>
      <c r="N16" s="17" t="s">
        <v>116</v>
      </c>
      <c r="O16" s="17" t="s">
        <v>116</v>
      </c>
      <c r="P16" s="17" t="s">
        <v>116</v>
      </c>
      <c r="Q16" s="17" t="s">
        <v>116</v>
      </c>
      <c r="S16" s="17" t="s">
        <v>116</v>
      </c>
      <c r="T16" s="17" t="s">
        <v>116</v>
      </c>
      <c r="X16" s="17" t="s">
        <v>116</v>
      </c>
      <c r="Y16" s="17" t="s">
        <v>116</v>
      </c>
      <c r="Z16" s="17" t="s">
        <v>116</v>
      </c>
      <c r="AA16" s="19">
        <v>45912</v>
      </c>
      <c r="AB16" s="17" t="s">
        <v>116</v>
      </c>
      <c r="AC16" s="17" t="s">
        <v>509</v>
      </c>
      <c r="AD16" s="19">
        <v>45914</v>
      </c>
      <c r="AE16" s="19">
        <v>45928</v>
      </c>
      <c r="AF16" s="17" t="s">
        <v>364</v>
      </c>
      <c r="AI16" s="17" t="s">
        <v>116</v>
      </c>
      <c r="AJ16" s="17" t="s">
        <v>116</v>
      </c>
      <c r="AK16" s="17" t="s">
        <v>422</v>
      </c>
      <c r="AL16" s="19">
        <v>45928</v>
      </c>
      <c r="AM16" s="17" t="s">
        <v>116</v>
      </c>
      <c r="AN16" s="17" t="s">
        <v>116</v>
      </c>
      <c r="AO16" s="17" t="s">
        <v>116</v>
      </c>
      <c r="AP16" s="17" t="s">
        <v>116</v>
      </c>
      <c r="AQ16" s="87" t="e">
        <f t="shared" ca="1" si="0"/>
        <v>#NAME?</v>
      </c>
    </row>
    <row r="17" spans="1:43" ht="13.2" x14ac:dyDescent="0.25">
      <c r="A17" s="59" t="s">
        <v>826</v>
      </c>
      <c r="B17" s="57">
        <v>46110.606774236112</v>
      </c>
      <c r="C17" s="17" t="s">
        <v>357</v>
      </c>
      <c r="D17" s="17" t="s">
        <v>12</v>
      </c>
      <c r="E17" s="17" t="s">
        <v>827</v>
      </c>
      <c r="F17" s="17" t="s">
        <v>789</v>
      </c>
      <c r="G17" s="17" t="s">
        <v>10</v>
      </c>
      <c r="H17" s="19">
        <v>45907</v>
      </c>
      <c r="I17" s="26"/>
      <c r="J17" s="17" t="s">
        <v>12</v>
      </c>
      <c r="K17" s="19">
        <v>45921</v>
      </c>
      <c r="L17" s="19">
        <v>45921</v>
      </c>
      <c r="M17" s="17" t="s">
        <v>116</v>
      </c>
      <c r="N17" s="17" t="s">
        <v>116</v>
      </c>
      <c r="O17" s="17" t="s">
        <v>116</v>
      </c>
      <c r="P17" s="17" t="s">
        <v>116</v>
      </c>
      <c r="Q17" s="17" t="s">
        <v>116</v>
      </c>
      <c r="T17" s="17" t="s">
        <v>116</v>
      </c>
      <c r="W17" s="17" t="s">
        <v>116</v>
      </c>
      <c r="X17" s="17" t="s">
        <v>116</v>
      </c>
      <c r="Y17" s="17" t="s">
        <v>116</v>
      </c>
      <c r="Z17" s="17" t="s">
        <v>116</v>
      </c>
      <c r="AA17" s="19">
        <v>45922</v>
      </c>
      <c r="AB17" s="17" t="s">
        <v>116</v>
      </c>
      <c r="AC17" s="17" t="s">
        <v>167</v>
      </c>
      <c r="AD17" s="19">
        <v>45928</v>
      </c>
      <c r="AE17" s="19">
        <v>45935</v>
      </c>
      <c r="AF17" s="17" t="s">
        <v>189</v>
      </c>
      <c r="AI17" s="17" t="s">
        <v>116</v>
      </c>
      <c r="AJ17" s="17" t="s">
        <v>116</v>
      </c>
      <c r="AK17" s="17" t="s">
        <v>422</v>
      </c>
      <c r="AL17" s="19">
        <v>45941</v>
      </c>
      <c r="AM17" s="17" t="s">
        <v>116</v>
      </c>
      <c r="AN17" s="17" t="s">
        <v>804</v>
      </c>
      <c r="AO17" s="17" t="s">
        <v>116</v>
      </c>
      <c r="AP17" s="17" t="s">
        <v>116</v>
      </c>
      <c r="AQ17" s="87" t="e">
        <f t="shared" ca="1" si="0"/>
        <v>#NAME?</v>
      </c>
    </row>
    <row r="18" spans="1:43" ht="13.2" x14ac:dyDescent="0.25">
      <c r="A18" s="59" t="s">
        <v>828</v>
      </c>
      <c r="B18" s="57">
        <v>46110.606950208334</v>
      </c>
      <c r="C18" s="17" t="s">
        <v>357</v>
      </c>
      <c r="D18" s="17" t="s">
        <v>12</v>
      </c>
      <c r="E18" s="17" t="s">
        <v>829</v>
      </c>
      <c r="F18" s="17" t="s">
        <v>789</v>
      </c>
      <c r="G18" s="17" t="s">
        <v>3</v>
      </c>
      <c r="H18" s="19">
        <v>45935</v>
      </c>
      <c r="I18" s="26"/>
      <c r="J18" s="17" t="s">
        <v>12</v>
      </c>
      <c r="K18" s="19">
        <v>45942</v>
      </c>
      <c r="L18" s="19">
        <v>45946</v>
      </c>
      <c r="M18" s="17" t="s">
        <v>116</v>
      </c>
      <c r="AA18" s="19">
        <v>45946</v>
      </c>
      <c r="AB18" s="17" t="s">
        <v>116</v>
      </c>
      <c r="AC18" s="17" t="s">
        <v>592</v>
      </c>
      <c r="AD18" s="19">
        <v>45970</v>
      </c>
      <c r="AE18" s="19">
        <v>45970</v>
      </c>
      <c r="AF18" s="17" t="s">
        <v>591</v>
      </c>
      <c r="AI18" s="17" t="s">
        <v>116</v>
      </c>
      <c r="AJ18" s="17" t="s">
        <v>116</v>
      </c>
      <c r="AK18" s="17" t="s">
        <v>422</v>
      </c>
      <c r="AL18" s="19">
        <v>45970</v>
      </c>
      <c r="AM18" s="17" t="s">
        <v>116</v>
      </c>
      <c r="AN18" s="17" t="s">
        <v>116</v>
      </c>
      <c r="AO18" s="17" t="s">
        <v>116</v>
      </c>
      <c r="AP18" s="17" t="s">
        <v>116</v>
      </c>
      <c r="AQ18" s="87" t="e">
        <f t="shared" ca="1" si="0"/>
        <v>#NAME?</v>
      </c>
    </row>
    <row r="19" spans="1:43" ht="13.2" x14ac:dyDescent="0.25">
      <c r="A19" s="59" t="s">
        <v>830</v>
      </c>
      <c r="B19" s="57">
        <v>46110.607143877314</v>
      </c>
      <c r="C19" s="17" t="s">
        <v>357</v>
      </c>
      <c r="D19" s="17" t="s">
        <v>12</v>
      </c>
      <c r="E19" s="17" t="s">
        <v>744</v>
      </c>
      <c r="F19" s="17" t="s">
        <v>789</v>
      </c>
      <c r="G19" s="17" t="s">
        <v>2</v>
      </c>
      <c r="H19" s="19">
        <v>45947</v>
      </c>
      <c r="I19" s="26"/>
      <c r="J19" s="17" t="s">
        <v>12</v>
      </c>
      <c r="K19" s="19">
        <v>45949</v>
      </c>
      <c r="L19" s="19">
        <v>45949</v>
      </c>
      <c r="M19" s="17" t="s">
        <v>116</v>
      </c>
      <c r="N19" s="17" t="s">
        <v>116</v>
      </c>
      <c r="O19" s="17" t="s">
        <v>116</v>
      </c>
      <c r="Q19" s="17" t="s">
        <v>116</v>
      </c>
      <c r="R19" s="17" t="s">
        <v>116</v>
      </c>
      <c r="T19" s="17" t="s">
        <v>116</v>
      </c>
      <c r="U19" s="17" t="s">
        <v>116</v>
      </c>
      <c r="W19" s="17" t="s">
        <v>116</v>
      </c>
      <c r="X19" s="17" t="s">
        <v>116</v>
      </c>
      <c r="Y19" s="17" t="s">
        <v>116</v>
      </c>
      <c r="Z19" s="17" t="s">
        <v>116</v>
      </c>
      <c r="AA19" s="19">
        <v>45950</v>
      </c>
      <c r="AB19" s="17" t="s">
        <v>116</v>
      </c>
      <c r="AC19" s="17" t="s">
        <v>707</v>
      </c>
      <c r="AD19" s="19">
        <v>45956</v>
      </c>
      <c r="AE19" s="19">
        <v>45956</v>
      </c>
      <c r="AF19" s="17" t="s">
        <v>630</v>
      </c>
      <c r="AI19" s="17" t="s">
        <v>116</v>
      </c>
      <c r="AJ19" s="17" t="s">
        <v>116</v>
      </c>
      <c r="AK19" s="17" t="s">
        <v>422</v>
      </c>
      <c r="AL19" s="19">
        <v>45956</v>
      </c>
      <c r="AM19" s="17" t="s">
        <v>116</v>
      </c>
      <c r="AN19" s="17" t="s">
        <v>116</v>
      </c>
      <c r="AO19" s="17" t="s">
        <v>116</v>
      </c>
      <c r="AP19" s="17" t="s">
        <v>116</v>
      </c>
      <c r="AQ19" s="87" t="s">
        <v>831</v>
      </c>
    </row>
    <row r="20" spans="1:43" ht="13.2" x14ac:dyDescent="0.25">
      <c r="A20" s="65" t="str">
        <f>HYPERLINK("https://docs.google.com/forms/d/e/1FAIpQLScKfK1Xq_AfFRyZkOlyT2n4Ugr8FdePyUxPct4kYLgKJ3YlMQ/viewform?edit2=2_ABaOnucoVVW69SVQ3gNVqXcMOXeDIKpQsj0faJz8KwXftEjdhci2kGRFvnbK77xCKE72FXU", "Sean Potter - Elder")</f>
        <v>Sean Potter - Elder</v>
      </c>
      <c r="B20" s="57">
        <v>46110.604446956015</v>
      </c>
      <c r="C20" s="17" t="s">
        <v>357</v>
      </c>
      <c r="D20" s="17" t="s">
        <v>12</v>
      </c>
      <c r="E20" s="17" t="s">
        <v>832</v>
      </c>
      <c r="F20" s="17" t="s">
        <v>789</v>
      </c>
      <c r="G20" s="17" t="s">
        <v>4</v>
      </c>
      <c r="H20" s="19">
        <v>46033</v>
      </c>
      <c r="I20" s="26"/>
      <c r="J20" s="17" t="s">
        <v>12</v>
      </c>
      <c r="K20" s="19">
        <v>46035</v>
      </c>
      <c r="L20" s="19">
        <v>46037</v>
      </c>
      <c r="M20" s="17" t="s">
        <v>116</v>
      </c>
      <c r="N20" s="17" t="s">
        <v>116</v>
      </c>
      <c r="O20" s="17" t="s">
        <v>116</v>
      </c>
      <c r="Q20" s="17" t="s">
        <v>116</v>
      </c>
      <c r="R20" s="17" t="s">
        <v>116</v>
      </c>
      <c r="T20" s="17" t="s">
        <v>116</v>
      </c>
      <c r="U20" s="17" t="s">
        <v>116</v>
      </c>
      <c r="W20" s="17" t="s">
        <v>116</v>
      </c>
      <c r="X20" s="17" t="s">
        <v>116</v>
      </c>
      <c r="Y20" s="17" t="s">
        <v>116</v>
      </c>
      <c r="Z20" s="17" t="s">
        <v>116</v>
      </c>
      <c r="AA20" s="19">
        <v>46037</v>
      </c>
      <c r="AB20" s="17" t="s">
        <v>116</v>
      </c>
      <c r="AC20" s="17" t="s">
        <v>561</v>
      </c>
      <c r="AD20" s="19">
        <v>46040</v>
      </c>
      <c r="AE20" s="19">
        <v>46075</v>
      </c>
      <c r="AF20" s="17" t="s">
        <v>833</v>
      </c>
      <c r="AI20" s="17" t="s">
        <v>116</v>
      </c>
      <c r="AJ20" s="17" t="s">
        <v>116</v>
      </c>
      <c r="AK20" s="17" t="s">
        <v>422</v>
      </c>
      <c r="AL20" s="19">
        <v>46075</v>
      </c>
      <c r="AM20" s="17" t="s">
        <v>116</v>
      </c>
      <c r="AN20" s="17" t="s">
        <v>116</v>
      </c>
      <c r="AO20" s="17" t="s">
        <v>116</v>
      </c>
      <c r="AP20" s="17" t="s">
        <v>116</v>
      </c>
      <c r="AQ20" s="64" t="s">
        <v>834</v>
      </c>
    </row>
    <row r="21" spans="1:43" ht="13.2" x14ac:dyDescent="0.25">
      <c r="A21" s="65" t="str">
        <f>HYPERLINK("https://docs.google.com/forms/d/e/1FAIpQLScKfK1Xq_AfFRyZkOlyT2n4Ugr8FdePyUxPct4kYLgKJ3YlMQ/viewform?edit2=2_ABaOnueaQXOBWtLHbkKogiRYZwa9VzkGBCpJmWiZkzVO4au5iwOSPC1mbMUGgNtfFagtNIs", "Travis Stanton - Elder")</f>
        <v>Travis Stanton - Elder</v>
      </c>
      <c r="B21" s="57">
        <v>46068.649975451393</v>
      </c>
      <c r="C21" s="17" t="s">
        <v>357</v>
      </c>
      <c r="D21" s="17" t="s">
        <v>12</v>
      </c>
      <c r="E21" s="17" t="s">
        <v>835</v>
      </c>
      <c r="F21" s="17" t="s">
        <v>789</v>
      </c>
      <c r="G21" s="17" t="s">
        <v>4</v>
      </c>
      <c r="H21" s="19">
        <v>46033</v>
      </c>
      <c r="I21" s="26"/>
      <c r="J21" s="17" t="s">
        <v>12</v>
      </c>
      <c r="K21" s="19">
        <v>46035</v>
      </c>
      <c r="L21" s="19">
        <v>46037</v>
      </c>
      <c r="M21" s="17" t="s">
        <v>116</v>
      </c>
      <c r="N21" s="17" t="s">
        <v>116</v>
      </c>
      <c r="O21" s="17" t="s">
        <v>116</v>
      </c>
      <c r="Q21" s="17" t="s">
        <v>116</v>
      </c>
      <c r="R21" s="17" t="s">
        <v>116</v>
      </c>
      <c r="T21" s="17" t="s">
        <v>116</v>
      </c>
      <c r="U21" s="17" t="s">
        <v>116</v>
      </c>
      <c r="W21" s="17" t="s">
        <v>116</v>
      </c>
      <c r="X21" s="17" t="s">
        <v>116</v>
      </c>
      <c r="Y21" s="17" t="s">
        <v>116</v>
      </c>
      <c r="Z21" s="17" t="s">
        <v>116</v>
      </c>
      <c r="AA21" s="19">
        <v>46037</v>
      </c>
      <c r="AB21" s="17" t="s">
        <v>116</v>
      </c>
      <c r="AC21" s="17" t="s">
        <v>561</v>
      </c>
      <c r="AD21" s="19">
        <v>46040</v>
      </c>
      <c r="AE21" s="19">
        <v>46040</v>
      </c>
      <c r="AG21" s="17" t="s">
        <v>836</v>
      </c>
      <c r="AI21" s="17" t="s">
        <v>116</v>
      </c>
      <c r="AJ21" s="17" t="s">
        <v>116</v>
      </c>
      <c r="AK21" s="17" t="s">
        <v>422</v>
      </c>
      <c r="AL21" s="19">
        <v>46046</v>
      </c>
      <c r="AM21" s="17" t="s">
        <v>116</v>
      </c>
      <c r="AN21" s="17" t="s">
        <v>116</v>
      </c>
      <c r="AO21" s="17" t="s">
        <v>116</v>
      </c>
      <c r="AP21" s="17" t="s">
        <v>116</v>
      </c>
      <c r="AQ21" s="64" t="s">
        <v>837</v>
      </c>
    </row>
    <row r="22" spans="1:43" ht="13.2" x14ac:dyDescent="0.25">
      <c r="A22" s="65" t="str">
        <f>HYPERLINK("https://docs.google.com/forms/d/e/1FAIpQLScKfK1Xq_AfFRyZkOlyT2n4Ugr8FdePyUxPct4kYLgKJ3YlMQ/viewform?edit2=2_ABaOnufLliA2CJi29kg7rYKT-h87l0w8X4u7qJ1sLy7FAlkOe3QXfjX1FkbVGDpHIm5JPxk", "Kenneth Vansconis - Elder")</f>
        <v>Kenneth Vansconis - Elder</v>
      </c>
      <c r="B22" s="57">
        <v>46110.605859699077</v>
      </c>
      <c r="C22" s="17" t="s">
        <v>357</v>
      </c>
      <c r="D22" s="17" t="s">
        <v>12</v>
      </c>
      <c r="E22" s="17" t="s">
        <v>838</v>
      </c>
      <c r="F22" s="17" t="s">
        <v>789</v>
      </c>
      <c r="G22" s="17" t="s">
        <v>8</v>
      </c>
      <c r="H22" s="19">
        <v>46063</v>
      </c>
      <c r="I22" s="26"/>
      <c r="J22" s="17" t="s">
        <v>12</v>
      </c>
      <c r="K22" s="19">
        <v>46068</v>
      </c>
      <c r="L22" s="19">
        <v>46068</v>
      </c>
      <c r="M22" s="17" t="s">
        <v>116</v>
      </c>
      <c r="N22" s="17" t="s">
        <v>116</v>
      </c>
      <c r="O22" s="17" t="s">
        <v>116</v>
      </c>
      <c r="P22" s="17" t="s">
        <v>116</v>
      </c>
      <c r="Q22" s="17"/>
      <c r="R22" s="17" t="s">
        <v>116</v>
      </c>
      <c r="S22" s="17" t="s">
        <v>116</v>
      </c>
      <c r="T22" s="17" t="s">
        <v>116</v>
      </c>
      <c r="U22" s="17" t="s">
        <v>116</v>
      </c>
      <c r="W22" s="17" t="s">
        <v>116</v>
      </c>
      <c r="X22" s="17" t="s">
        <v>116</v>
      </c>
      <c r="Y22" s="17" t="s">
        <v>116</v>
      </c>
      <c r="Z22" s="17" t="s">
        <v>116</v>
      </c>
      <c r="AA22" s="19">
        <v>46072</v>
      </c>
      <c r="AB22" s="17" t="s">
        <v>116</v>
      </c>
      <c r="AC22" s="17" t="s">
        <v>216</v>
      </c>
      <c r="AD22" s="19">
        <v>46075</v>
      </c>
      <c r="AE22" s="19">
        <v>46075</v>
      </c>
      <c r="AF22" s="17" t="s">
        <v>839</v>
      </c>
      <c r="AG22" s="17"/>
      <c r="AI22" s="17" t="s">
        <v>116</v>
      </c>
      <c r="AJ22" s="17" t="s">
        <v>116</v>
      </c>
      <c r="AK22" s="17" t="s">
        <v>422</v>
      </c>
      <c r="AL22" s="19">
        <v>46075</v>
      </c>
      <c r="AM22" s="17" t="s">
        <v>116</v>
      </c>
      <c r="AN22" s="17" t="s">
        <v>116</v>
      </c>
      <c r="AO22" s="17" t="s">
        <v>116</v>
      </c>
      <c r="AP22" s="17" t="s">
        <v>116</v>
      </c>
      <c r="AQ22" s="64" t="s">
        <v>840</v>
      </c>
    </row>
    <row r="23" spans="1:43" ht="13.2" x14ac:dyDescent="0.25">
      <c r="A23" s="65" t="str">
        <f>HYPERLINK("https://docs.google.com/forms/d/e/1FAIpQLScKfK1Xq_AfFRyZkOlyT2n4Ugr8FdePyUxPct4kYLgKJ3YlMQ/viewform?edit2=2_ABaOnufjK8xhuiFA2hyUBTaEq6LVGLdbtrDPBexyDuYH7Ij3F2jxWiXRsszKp7UkAhq6w2w", "Clayton Hoekwater - Elder")</f>
        <v>Clayton Hoekwater - Elder</v>
      </c>
      <c r="B23" s="57">
        <v>46126.443123078701</v>
      </c>
      <c r="C23" s="17" t="s">
        <v>357</v>
      </c>
      <c r="D23" s="17" t="s">
        <v>12</v>
      </c>
      <c r="E23" s="17" t="s">
        <v>841</v>
      </c>
      <c r="F23" s="17" t="s">
        <v>789</v>
      </c>
      <c r="G23" s="17" t="s">
        <v>3</v>
      </c>
      <c r="H23" s="19">
        <v>46124</v>
      </c>
      <c r="I23" s="26"/>
      <c r="J23" s="17" t="s">
        <v>804</v>
      </c>
      <c r="M23" s="17" t="s">
        <v>114</v>
      </c>
      <c r="AB23" s="17" t="s">
        <v>114</v>
      </c>
      <c r="AQ23" s="64" t="s">
        <v>842</v>
      </c>
    </row>
    <row r="24" spans="1:43" ht="18.75" customHeight="1" x14ac:dyDescent="0.25">
      <c r="A24" s="65" t="str">
        <f>HYPERLINK("https://docs.google.com/forms/d/e/1FAIpQLScKfK1Xq_AfFRyZkOlyT2n4Ugr8FdePyUxPct4kYLgKJ3YlMQ/viewform?edit2=2_ABaOnucvgZ8hcmHj8eo8Gttfaa2Xb_k25Mz2N0V6ThqYfwGsiep8vt9_VOKJTNSs6iScXCU", "Skyler Roper - High Priest")</f>
        <v>Skyler Roper - High Priest</v>
      </c>
      <c r="B24" s="57">
        <v>46138.871697662034</v>
      </c>
      <c r="C24" s="17" t="s">
        <v>111</v>
      </c>
      <c r="D24" s="17" t="s">
        <v>55</v>
      </c>
      <c r="E24" s="17" t="s">
        <v>314</v>
      </c>
      <c r="F24" s="17" t="s">
        <v>792</v>
      </c>
      <c r="G24" s="17" t="s">
        <v>8</v>
      </c>
      <c r="H24" s="19">
        <v>46124</v>
      </c>
      <c r="I24" s="26"/>
      <c r="J24" s="17" t="s">
        <v>12</v>
      </c>
      <c r="K24" s="19">
        <v>46131</v>
      </c>
      <c r="L24" s="19">
        <v>46128</v>
      </c>
      <c r="M24" s="17" t="s">
        <v>116</v>
      </c>
      <c r="N24" s="17" t="s">
        <v>116</v>
      </c>
      <c r="O24" s="17" t="s">
        <v>116</v>
      </c>
      <c r="P24" s="17" t="s">
        <v>116</v>
      </c>
      <c r="Q24" s="17" t="s">
        <v>116</v>
      </c>
      <c r="R24" s="17" t="s">
        <v>116</v>
      </c>
      <c r="U24" s="17" t="s">
        <v>116</v>
      </c>
      <c r="W24" s="17" t="s">
        <v>116</v>
      </c>
      <c r="X24" s="17" t="s">
        <v>116</v>
      </c>
      <c r="Y24" s="17" t="s">
        <v>116</v>
      </c>
      <c r="Z24" s="17" t="s">
        <v>116</v>
      </c>
      <c r="AA24" s="19">
        <v>46128</v>
      </c>
      <c r="AB24" s="17" t="s">
        <v>116</v>
      </c>
      <c r="AC24" s="17" t="s">
        <v>216</v>
      </c>
      <c r="AD24" s="19">
        <v>46138</v>
      </c>
      <c r="AE24" s="19">
        <v>46138</v>
      </c>
      <c r="AF24" s="17" t="s">
        <v>843</v>
      </c>
      <c r="AI24" s="17" t="s">
        <v>116</v>
      </c>
      <c r="AJ24" s="17" t="s">
        <v>116</v>
      </c>
      <c r="AK24" s="17" t="s">
        <v>422</v>
      </c>
      <c r="AL24" s="19">
        <v>46138</v>
      </c>
      <c r="AM24" s="17" t="s">
        <v>116</v>
      </c>
      <c r="AN24" s="17" t="s">
        <v>804</v>
      </c>
      <c r="AP24" s="17" t="s">
        <v>116</v>
      </c>
      <c r="AQ24" s="64" t="s">
        <v>844</v>
      </c>
    </row>
    <row r="25" spans="1:43" ht="13.2" x14ac:dyDescent="0.25">
      <c r="A25" s="65" t="str">
        <f>HYPERLINK("https://docs.google.com/forms/d/e/1FAIpQLScKfK1Xq_AfFRyZkOlyT2n4Ugr8FdePyUxPct4kYLgKJ3YlMQ/viewform?edit2=2_ABaOnucIF0bUlpImPx8G5Cbwlu76fG6A5FGJO9bhSnfweqQLIYVGJ5NGuH1wd-Vrzig1ARY", "Clayton Hoekwater - Elder")</f>
        <v>Clayton Hoekwater - Elder</v>
      </c>
      <c r="B25" s="57">
        <v>46157.394490243052</v>
      </c>
      <c r="C25" s="17" t="s">
        <v>357</v>
      </c>
      <c r="D25" s="17" t="s">
        <v>55</v>
      </c>
      <c r="E25" s="17" t="s">
        <v>841</v>
      </c>
      <c r="F25" s="17" t="s">
        <v>789</v>
      </c>
      <c r="G25" s="17" t="s">
        <v>3</v>
      </c>
      <c r="H25" s="19">
        <v>46124</v>
      </c>
      <c r="I25" s="26"/>
      <c r="J25" s="17" t="s">
        <v>12</v>
      </c>
      <c r="K25" s="19">
        <v>46131</v>
      </c>
      <c r="L25" s="19">
        <v>46135</v>
      </c>
      <c r="M25" s="17" t="s">
        <v>116</v>
      </c>
      <c r="N25" s="17" t="s">
        <v>116</v>
      </c>
      <c r="O25" s="17" t="s">
        <v>116</v>
      </c>
      <c r="P25" s="17" t="s">
        <v>116</v>
      </c>
      <c r="Q25" s="17" t="s">
        <v>116</v>
      </c>
      <c r="R25" s="17" t="s">
        <v>116</v>
      </c>
      <c r="T25" s="17" t="s">
        <v>116</v>
      </c>
      <c r="U25" s="17" t="s">
        <v>116</v>
      </c>
      <c r="W25" s="17" t="s">
        <v>116</v>
      </c>
      <c r="Y25" s="17" t="s">
        <v>116</v>
      </c>
      <c r="Z25" s="17" t="s">
        <v>116</v>
      </c>
      <c r="AA25" s="19">
        <v>46136</v>
      </c>
      <c r="AB25" s="17" t="s">
        <v>116</v>
      </c>
      <c r="AC25" s="17" t="s">
        <v>592</v>
      </c>
      <c r="AD25" s="19">
        <v>46145</v>
      </c>
      <c r="AE25" s="19">
        <v>46145</v>
      </c>
      <c r="AF25" s="17" t="s">
        <v>845</v>
      </c>
      <c r="AI25" s="17" t="s">
        <v>116</v>
      </c>
      <c r="AJ25" s="17" t="s">
        <v>116</v>
      </c>
      <c r="AK25" s="17" t="s">
        <v>422</v>
      </c>
      <c r="AL25" s="19">
        <v>46145</v>
      </c>
      <c r="AM25" s="17" t="s">
        <v>116</v>
      </c>
      <c r="AN25" s="17" t="s">
        <v>116</v>
      </c>
      <c r="AO25" s="17" t="s">
        <v>116</v>
      </c>
      <c r="AP25" s="17" t="s">
        <v>804</v>
      </c>
      <c r="AQ25" s="64" t="s">
        <v>846</v>
      </c>
    </row>
    <row r="26" spans="1:43" ht="13.2" x14ac:dyDescent="0.25">
      <c r="A26" s="65" t="str">
        <f>HYPERLINK("https://docs.google.com/forms/d/e/1FAIpQLScKfK1Xq_AfFRyZkOlyT2n4Ugr8FdePyUxPct4kYLgKJ3YlMQ/viewform?edit2=2_ABaOnufrbZEpQ1VYeN9BXUBQ6v1OzvXmTFVGlu68JTR1rShH00C-sT1ViaSxcZ8c5g36hTc", "Taylor Smith - High Priest")</f>
        <v>Taylor Smith - High Priest</v>
      </c>
      <c r="B26" s="57">
        <v>46138.546697233796</v>
      </c>
      <c r="C26" s="17" t="s">
        <v>357</v>
      </c>
      <c r="D26" s="17" t="s">
        <v>627</v>
      </c>
      <c r="E26" s="17" t="s">
        <v>248</v>
      </c>
      <c r="F26" s="17" t="s">
        <v>792</v>
      </c>
      <c r="G26" s="17" t="s">
        <v>6</v>
      </c>
      <c r="H26" s="19">
        <v>46124</v>
      </c>
      <c r="I26" s="26"/>
      <c r="J26" s="17" t="s">
        <v>804</v>
      </c>
      <c r="M26" s="17" t="s">
        <v>114</v>
      </c>
      <c r="AB26" s="17" t="s">
        <v>114</v>
      </c>
      <c r="AQ26" s="64" t="s">
        <v>847</v>
      </c>
    </row>
    <row r="27" spans="1:43" ht="13.2" x14ac:dyDescent="0.25">
      <c r="A27" s="65" t="str">
        <f>HYPERLINK("https://docs.google.com/forms/d/e/1FAIpQLScKfK1Xq_AfFRyZkOlyT2n4Ugr8FdePyUxPct4kYLgKJ3YlMQ/viewform?edit2=2_ABaOnucINqfbL2HNtyT2-rdXO1PHIOPKQtPP-hALfOhqsXkOd_XPh6FLRTCqadIMuXnaou0", "Tristan Packard - High Priest")</f>
        <v>Tristan Packard - High Priest</v>
      </c>
      <c r="B27" s="57">
        <v>46159.549657349533</v>
      </c>
      <c r="C27" s="17" t="s">
        <v>357</v>
      </c>
      <c r="D27" s="17" t="s">
        <v>848</v>
      </c>
      <c r="E27" s="17" t="s">
        <v>759</v>
      </c>
      <c r="F27" s="17" t="s">
        <v>792</v>
      </c>
      <c r="G27" s="17" t="s">
        <v>6</v>
      </c>
      <c r="H27" s="19">
        <v>46150</v>
      </c>
      <c r="I27" s="26"/>
      <c r="J27" s="17" t="s">
        <v>12</v>
      </c>
      <c r="K27" s="19">
        <v>46152</v>
      </c>
      <c r="L27" s="19">
        <v>46150</v>
      </c>
      <c r="M27" s="17" t="s">
        <v>116</v>
      </c>
      <c r="N27" s="17" t="s">
        <v>116</v>
      </c>
      <c r="O27" s="17" t="s">
        <v>116</v>
      </c>
      <c r="P27" s="17" t="s">
        <v>116</v>
      </c>
      <c r="Q27" s="17" t="s">
        <v>116</v>
      </c>
      <c r="R27" s="17" t="s">
        <v>116</v>
      </c>
      <c r="U27" s="17" t="s">
        <v>116</v>
      </c>
      <c r="W27" s="17" t="s">
        <v>116</v>
      </c>
      <c r="X27" s="17" t="s">
        <v>116</v>
      </c>
      <c r="Y27" s="17" t="s">
        <v>116</v>
      </c>
      <c r="Z27" s="17" t="s">
        <v>116</v>
      </c>
      <c r="AA27" s="19">
        <v>46151</v>
      </c>
      <c r="AB27" s="17" t="s">
        <v>116</v>
      </c>
      <c r="AC27" s="17" t="s">
        <v>117</v>
      </c>
      <c r="AD27" s="19">
        <v>46159</v>
      </c>
      <c r="AQ27" s="64" t="s">
        <v>849</v>
      </c>
    </row>
    <row r="28" spans="1:43" ht="26.4" x14ac:dyDescent="0.25">
      <c r="A28" s="65" t="str">
        <f>HYPERLINK("https://docs.google.com/forms/d/e/1FAIpQLScKfK1Xq_AfFRyZkOlyT2n4Ugr8FdePyUxPct4kYLgKJ3YlMQ/viewform?edit2=2_ABaOnucYlNz1YoXLPBAYyST6WlmELb1kBnM9BfkUaTxKov-rM8gB0ieRnkyVKFnayrBrwdE", "Gavin Johnson - High Priest")</f>
        <v>Gavin Johnson - High Priest</v>
      </c>
      <c r="B28" s="57">
        <v>46159.549884004635</v>
      </c>
      <c r="C28" s="17" t="s">
        <v>357</v>
      </c>
      <c r="D28" s="17" t="s">
        <v>848</v>
      </c>
      <c r="E28" s="17" t="s">
        <v>345</v>
      </c>
      <c r="F28" s="17" t="s">
        <v>792</v>
      </c>
      <c r="G28" s="17" t="s">
        <v>6</v>
      </c>
      <c r="H28" s="19">
        <v>46156</v>
      </c>
      <c r="I28" s="26" t="s">
        <v>850</v>
      </c>
      <c r="J28" s="17" t="s">
        <v>12</v>
      </c>
      <c r="K28" s="19">
        <v>46157</v>
      </c>
      <c r="L28" s="19">
        <v>46156</v>
      </c>
      <c r="M28" s="17" t="s">
        <v>116</v>
      </c>
      <c r="N28" s="17" t="s">
        <v>116</v>
      </c>
      <c r="O28" s="17" t="s">
        <v>116</v>
      </c>
      <c r="P28" s="17" t="s">
        <v>116</v>
      </c>
      <c r="Q28" s="17"/>
      <c r="R28" s="17" t="s">
        <v>116</v>
      </c>
      <c r="T28" s="17" t="s">
        <v>116</v>
      </c>
      <c r="U28" s="17" t="s">
        <v>116</v>
      </c>
      <c r="W28" s="17" t="s">
        <v>116</v>
      </c>
      <c r="X28" s="17" t="s">
        <v>116</v>
      </c>
      <c r="Y28" s="17" t="s">
        <v>116</v>
      </c>
      <c r="Z28" s="17" t="s">
        <v>116</v>
      </c>
      <c r="AA28" s="19">
        <v>46156</v>
      </c>
      <c r="AB28" s="17" t="s">
        <v>116</v>
      </c>
      <c r="AC28" s="17" t="s">
        <v>117</v>
      </c>
      <c r="AD28" s="19">
        <v>46159</v>
      </c>
      <c r="AQ28" s="64" t="s">
        <v>851</v>
      </c>
    </row>
  </sheetData>
  <autoFilter ref="A2:AQ28" xr:uid="{00000000-0009-0000-0000-000004000000}"/>
  <conditionalFormatting sqref="D2:D28">
    <cfRule type="cellIs" dxfId="17" priority="1" stopIfTrue="1" operator="equal">
      <formula>"Complete"</formula>
    </cfRule>
    <cfRule type="containsText" dxfId="16" priority="2" stopIfTrue="1" operator="containsText" text="Sustain">
      <formula>NOT(ISERROR(SEARCH(("Sustain"),(D2))))</formula>
    </cfRule>
    <cfRule type="cellIs" dxfId="15" priority="3" stopIfTrue="1" operator="equal">
      <formula>"Stake Interview"</formula>
    </cfRule>
  </conditionalFormatting>
  <hyperlinks>
    <hyperlink ref="D1" r:id="rId1" xr:uid="{00000000-0004-0000-0400-000000000000}"/>
    <hyperlink ref="G1" r:id="rId2" location="gid=346688937" xr:uid="{00000000-0004-0000-0400-000001000000}"/>
    <hyperlink ref="A3" r:id="rId3" xr:uid="{00000000-0004-0000-0400-000002000000}"/>
    <hyperlink ref="A4" r:id="rId4" xr:uid="{00000000-0004-0000-0400-000003000000}"/>
    <hyperlink ref="A5" r:id="rId5" xr:uid="{00000000-0004-0000-0400-000004000000}"/>
    <hyperlink ref="A6" r:id="rId6" xr:uid="{00000000-0004-0000-0400-000005000000}"/>
    <hyperlink ref="A7" r:id="rId7" xr:uid="{00000000-0004-0000-0400-000006000000}"/>
    <hyperlink ref="A8" r:id="rId8" xr:uid="{00000000-0004-0000-0400-000007000000}"/>
    <hyperlink ref="A9" r:id="rId9" xr:uid="{00000000-0004-0000-0400-000008000000}"/>
    <hyperlink ref="A10" r:id="rId10" xr:uid="{00000000-0004-0000-0400-000009000000}"/>
    <hyperlink ref="A11" r:id="rId11" xr:uid="{00000000-0004-0000-0400-00000A000000}"/>
    <hyperlink ref="A12" r:id="rId12" xr:uid="{00000000-0004-0000-0400-00000B000000}"/>
    <hyperlink ref="A13" r:id="rId13" xr:uid="{00000000-0004-0000-0400-00000C000000}"/>
    <hyperlink ref="A14" r:id="rId14" xr:uid="{00000000-0004-0000-0400-00000D000000}"/>
    <hyperlink ref="A15" r:id="rId15" xr:uid="{00000000-0004-0000-0400-00000E000000}"/>
    <hyperlink ref="A16" r:id="rId16" xr:uid="{00000000-0004-0000-0400-00000F000000}"/>
    <hyperlink ref="A17" r:id="rId17" xr:uid="{00000000-0004-0000-0400-000010000000}"/>
    <hyperlink ref="A18" r:id="rId18" xr:uid="{00000000-0004-0000-0400-000011000000}"/>
    <hyperlink ref="A19" r:id="rId19" xr:uid="{00000000-0004-0000-0400-000012000000}"/>
    <hyperlink ref="AQ19" r:id="rId20" xr:uid="{00000000-0004-0000-0400-000013000000}"/>
    <hyperlink ref="AQ20" r:id="rId21" xr:uid="{00000000-0004-0000-0400-000014000000}"/>
    <hyperlink ref="AQ21" r:id="rId22" xr:uid="{00000000-0004-0000-0400-000015000000}"/>
    <hyperlink ref="AQ22" r:id="rId23" xr:uid="{00000000-0004-0000-0400-000016000000}"/>
    <hyperlink ref="AQ23" r:id="rId24" xr:uid="{00000000-0004-0000-0400-000017000000}"/>
    <hyperlink ref="AQ24" r:id="rId25" xr:uid="{00000000-0004-0000-0400-000018000000}"/>
    <hyperlink ref="AQ25" r:id="rId26" xr:uid="{00000000-0004-0000-0400-000019000000}"/>
    <hyperlink ref="AQ26" r:id="rId27" xr:uid="{00000000-0004-0000-0400-00001A000000}"/>
    <hyperlink ref="AQ27" r:id="rId28" xr:uid="{00000000-0004-0000-0400-00001B000000}"/>
    <hyperlink ref="AQ28" r:id="rId29" xr:uid="{00000000-0004-0000-0400-00001C000000}"/>
  </hyperlinks>
  <pageMargins left="0.7" right="0.7" top="0.75" bottom="0.75" header="0.3" footer="0.3"/>
  <drawing r:id="rId30"/>
  <legacyDrawing r:id="rId3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C0000"/>
    <outlinePr summaryBelow="0" summaryRight="0"/>
  </sheetPr>
  <dimension ref="A1:Z18"/>
  <sheetViews>
    <sheetView tabSelected="1" topLeftCell="I1" workbookViewId="0">
      <pane ySplit="2" topLeftCell="A3" activePane="bottomLeft" state="frozen"/>
      <selection pane="bottomLeft" activeCell="S8" sqref="S8"/>
    </sheetView>
  </sheetViews>
  <sheetFormatPr defaultColWidth="12.6640625" defaultRowHeight="15.75" customHeight="1" x14ac:dyDescent="0.25"/>
  <cols>
    <col min="1" max="1" width="39.6640625" customWidth="1"/>
    <col min="2" max="2" width="18.88671875" customWidth="1"/>
    <col min="3" max="3" width="22.77734375" hidden="1" customWidth="1"/>
    <col min="4" max="4" width="18.88671875" customWidth="1"/>
    <col min="5" max="5" width="22.21875" customWidth="1"/>
    <col min="6" max="6" width="28.44140625" customWidth="1"/>
    <col min="7" max="17" width="18.88671875" customWidth="1"/>
  </cols>
  <sheetData>
    <row r="1" spans="1:26" ht="51.75" customHeight="1" x14ac:dyDescent="0.3">
      <c r="A1" s="92" t="s">
        <v>852</v>
      </c>
      <c r="B1" s="93"/>
      <c r="C1" s="93"/>
      <c r="D1" s="94" t="s">
        <v>853</v>
      </c>
      <c r="E1" s="95"/>
      <c r="F1" s="93"/>
      <c r="G1" s="68" t="s">
        <v>60</v>
      </c>
      <c r="H1" s="96"/>
      <c r="I1" s="32"/>
      <c r="J1" s="32"/>
      <c r="K1" s="32"/>
      <c r="L1" s="32"/>
      <c r="M1" s="32"/>
      <c r="N1" s="32"/>
      <c r="O1" s="32"/>
      <c r="P1" s="32"/>
      <c r="Q1" s="32"/>
      <c r="R1" t="s">
        <v>926</v>
      </c>
    </row>
    <row r="2" spans="1:26" ht="51.75" customHeight="1" x14ac:dyDescent="0.3">
      <c r="A2" s="32" t="s">
        <v>65</v>
      </c>
      <c r="B2" s="97" t="s">
        <v>66</v>
      </c>
      <c r="C2" s="97" t="s">
        <v>67</v>
      </c>
      <c r="D2" s="97" t="s">
        <v>68</v>
      </c>
      <c r="E2" s="98" t="s">
        <v>69</v>
      </c>
      <c r="F2" s="97" t="s">
        <v>854</v>
      </c>
      <c r="G2" s="97" t="s">
        <v>0</v>
      </c>
      <c r="H2" s="97" t="s">
        <v>855</v>
      </c>
      <c r="I2" s="97" t="s">
        <v>856</v>
      </c>
      <c r="J2" s="99" t="s">
        <v>857</v>
      </c>
      <c r="K2" s="99" t="s">
        <v>858</v>
      </c>
      <c r="L2" s="99" t="s">
        <v>96</v>
      </c>
      <c r="M2" s="100" t="s">
        <v>859</v>
      </c>
      <c r="N2" s="100" t="s">
        <v>860</v>
      </c>
      <c r="O2" s="100" t="s">
        <v>103</v>
      </c>
      <c r="P2" s="100" t="s">
        <v>861</v>
      </c>
      <c r="Q2" s="100" t="s">
        <v>109</v>
      </c>
      <c r="R2" s="124" t="s">
        <v>2</v>
      </c>
      <c r="S2" s="124" t="s">
        <v>4</v>
      </c>
      <c r="T2" s="124" t="s">
        <v>5</v>
      </c>
      <c r="U2" s="124" t="s">
        <v>6</v>
      </c>
      <c r="V2" s="124" t="s">
        <v>8</v>
      </c>
      <c r="W2" s="124" t="s">
        <v>7</v>
      </c>
      <c r="X2" s="124" t="s">
        <v>9</v>
      </c>
      <c r="Y2" s="124" t="s">
        <v>10</v>
      </c>
      <c r="Z2" s="124" t="s">
        <v>3</v>
      </c>
    </row>
    <row r="3" spans="1:26" ht="13.2" x14ac:dyDescent="0.25">
      <c r="A3" s="53" t="s">
        <v>862</v>
      </c>
      <c r="B3" s="56">
        <v>45540.852756111111</v>
      </c>
      <c r="C3" s="26" t="s">
        <v>111</v>
      </c>
      <c r="D3" s="26" t="s">
        <v>12</v>
      </c>
      <c r="E3" s="26" t="s">
        <v>863</v>
      </c>
      <c r="F3" s="26" t="s">
        <v>864</v>
      </c>
      <c r="G3" s="26" t="s">
        <v>9</v>
      </c>
      <c r="H3" s="26" t="s">
        <v>865</v>
      </c>
      <c r="I3" s="55">
        <v>45466</v>
      </c>
      <c r="J3" s="26" t="s">
        <v>179</v>
      </c>
      <c r="K3" s="55">
        <v>45491</v>
      </c>
      <c r="L3" s="26" t="s">
        <v>116</v>
      </c>
      <c r="M3" s="26" t="s">
        <v>116</v>
      </c>
      <c r="N3" s="26" t="s">
        <v>139</v>
      </c>
      <c r="O3" s="26" t="s">
        <v>116</v>
      </c>
      <c r="P3" s="26" t="s">
        <v>116</v>
      </c>
      <c r="Q3" s="101" t="e">
        <f t="shared" ref="Q3:Q18" ca="1" si="0">geturl(A3)</f>
        <v>#NAME?</v>
      </c>
    </row>
    <row r="4" spans="1:26" ht="13.2" x14ac:dyDescent="0.25">
      <c r="A4" s="53" t="s">
        <v>866</v>
      </c>
      <c r="B4" s="57">
        <v>45522.690822719909</v>
      </c>
      <c r="C4" s="17" t="s">
        <v>141</v>
      </c>
      <c r="D4" s="17" t="s">
        <v>12</v>
      </c>
      <c r="E4" s="17" t="s">
        <v>27</v>
      </c>
      <c r="F4" s="17" t="s">
        <v>867</v>
      </c>
      <c r="G4" s="17" t="s">
        <v>3</v>
      </c>
      <c r="H4" s="26" t="s">
        <v>868</v>
      </c>
      <c r="I4" s="19">
        <v>45480</v>
      </c>
      <c r="J4" s="17" t="s">
        <v>117</v>
      </c>
      <c r="K4" s="19">
        <v>45480</v>
      </c>
      <c r="L4" s="17" t="s">
        <v>116</v>
      </c>
      <c r="M4" s="17" t="s">
        <v>116</v>
      </c>
      <c r="N4" s="17" t="s">
        <v>116</v>
      </c>
      <c r="O4" s="17" t="s">
        <v>116</v>
      </c>
      <c r="P4" s="17" t="s">
        <v>116</v>
      </c>
      <c r="Q4" s="101" t="e">
        <f t="shared" ca="1" si="0"/>
        <v>#NAME?</v>
      </c>
    </row>
    <row r="5" spans="1:26" ht="26.4" x14ac:dyDescent="0.25">
      <c r="A5" s="53" t="s">
        <v>869</v>
      </c>
      <c r="B5" s="57">
        <v>45491.770117893517</v>
      </c>
      <c r="C5" s="17" t="s">
        <v>141</v>
      </c>
      <c r="D5" s="17" t="s">
        <v>12</v>
      </c>
      <c r="E5" s="17" t="s">
        <v>21</v>
      </c>
      <c r="F5" s="17" t="s">
        <v>870</v>
      </c>
      <c r="G5" s="17" t="s">
        <v>10</v>
      </c>
      <c r="H5" s="26" t="s">
        <v>871</v>
      </c>
      <c r="I5" s="19">
        <v>45491</v>
      </c>
      <c r="J5" s="17" t="s">
        <v>126</v>
      </c>
      <c r="K5" s="19">
        <v>45491</v>
      </c>
      <c r="M5" s="17" t="s">
        <v>114</v>
      </c>
      <c r="Q5" s="101" t="e">
        <f t="shared" ca="1" si="0"/>
        <v>#NAME?</v>
      </c>
    </row>
    <row r="6" spans="1:26" ht="13.2" x14ac:dyDescent="0.25">
      <c r="A6" s="53" t="s">
        <v>872</v>
      </c>
      <c r="B6" s="57">
        <v>45494.585411655091</v>
      </c>
      <c r="C6" s="17" t="s">
        <v>141</v>
      </c>
      <c r="D6" s="17" t="s">
        <v>12</v>
      </c>
      <c r="E6" s="17" t="s">
        <v>873</v>
      </c>
      <c r="F6" s="17" t="s">
        <v>135</v>
      </c>
      <c r="G6" s="17" t="s">
        <v>6</v>
      </c>
      <c r="H6" s="26" t="s">
        <v>874</v>
      </c>
      <c r="I6" s="19">
        <v>45494</v>
      </c>
      <c r="J6" s="17" t="s">
        <v>492</v>
      </c>
      <c r="M6" s="17" t="s">
        <v>114</v>
      </c>
      <c r="Q6" s="101" t="e">
        <f t="shared" ca="1" si="0"/>
        <v>#NAME?</v>
      </c>
    </row>
    <row r="7" spans="1:26" ht="13.2" x14ac:dyDescent="0.25">
      <c r="A7" s="59" t="s">
        <v>875</v>
      </c>
      <c r="B7" s="57">
        <v>45522.617022418985</v>
      </c>
      <c r="C7" s="17" t="s">
        <v>141</v>
      </c>
      <c r="D7" s="17" t="s">
        <v>12</v>
      </c>
      <c r="E7" s="17" t="s">
        <v>876</v>
      </c>
      <c r="F7" s="17" t="s">
        <v>877</v>
      </c>
      <c r="G7" s="17" t="s">
        <v>3</v>
      </c>
      <c r="H7" s="17" t="s">
        <v>878</v>
      </c>
      <c r="I7" s="19">
        <v>45508</v>
      </c>
      <c r="J7" s="17" t="s">
        <v>192</v>
      </c>
      <c r="K7" s="19">
        <v>45522</v>
      </c>
      <c r="M7" s="17" t="s">
        <v>116</v>
      </c>
      <c r="N7" s="17" t="s">
        <v>139</v>
      </c>
      <c r="O7" s="17" t="s">
        <v>116</v>
      </c>
      <c r="P7" s="17" t="s">
        <v>114</v>
      </c>
      <c r="Q7" s="101" t="e">
        <f t="shared" ca="1" si="0"/>
        <v>#NAME?</v>
      </c>
    </row>
    <row r="8" spans="1:26" ht="13.2" x14ac:dyDescent="0.25">
      <c r="A8" s="59" t="s">
        <v>879</v>
      </c>
      <c r="B8" s="57">
        <v>45550.743645462964</v>
      </c>
      <c r="C8" s="17" t="s">
        <v>141</v>
      </c>
      <c r="D8" s="17" t="s">
        <v>12</v>
      </c>
      <c r="E8" s="17" t="s">
        <v>16</v>
      </c>
      <c r="F8" s="17" t="s">
        <v>880</v>
      </c>
      <c r="G8" s="17" t="s">
        <v>3</v>
      </c>
      <c r="H8" s="17" t="s">
        <v>881</v>
      </c>
      <c r="I8" s="19">
        <v>45522</v>
      </c>
      <c r="J8" s="17" t="s">
        <v>126</v>
      </c>
      <c r="M8" s="17" t="s">
        <v>114</v>
      </c>
      <c r="Q8" s="101" t="e">
        <f t="shared" ca="1" si="0"/>
        <v>#NAME?</v>
      </c>
    </row>
    <row r="9" spans="1:26" ht="13.2" x14ac:dyDescent="0.25">
      <c r="A9" s="59" t="s">
        <v>882</v>
      </c>
      <c r="B9" s="57">
        <v>45550.744714513887</v>
      </c>
      <c r="C9" s="17" t="s">
        <v>141</v>
      </c>
      <c r="D9" s="17" t="s">
        <v>12</v>
      </c>
      <c r="E9" s="17" t="s">
        <v>883</v>
      </c>
      <c r="F9" s="17" t="s">
        <v>253</v>
      </c>
      <c r="G9" s="17" t="s">
        <v>9</v>
      </c>
      <c r="H9" s="17" t="s">
        <v>884</v>
      </c>
      <c r="I9" s="19">
        <v>45540</v>
      </c>
      <c r="J9" s="17" t="s">
        <v>117</v>
      </c>
      <c r="K9" s="19">
        <v>45540</v>
      </c>
      <c r="M9" s="17" t="s">
        <v>116</v>
      </c>
      <c r="N9" s="17" t="s">
        <v>116</v>
      </c>
      <c r="O9" s="17" t="s">
        <v>116</v>
      </c>
      <c r="P9" s="17" t="s">
        <v>116</v>
      </c>
      <c r="Q9" s="101" t="e">
        <f t="shared" ca="1" si="0"/>
        <v>#NAME?</v>
      </c>
    </row>
    <row r="10" spans="1:26" ht="13.2" x14ac:dyDescent="0.25">
      <c r="A10" s="59" t="s">
        <v>885</v>
      </c>
      <c r="B10" s="57">
        <v>45585.841506203702</v>
      </c>
      <c r="C10" s="17" t="s">
        <v>141</v>
      </c>
      <c r="D10" s="17" t="s">
        <v>12</v>
      </c>
      <c r="E10" s="17" t="s">
        <v>142</v>
      </c>
      <c r="F10" s="17" t="s">
        <v>886</v>
      </c>
      <c r="G10" s="17" t="s">
        <v>6</v>
      </c>
      <c r="H10" s="17" t="s">
        <v>887</v>
      </c>
      <c r="I10" s="19">
        <v>45578</v>
      </c>
      <c r="J10" s="17" t="s">
        <v>147</v>
      </c>
      <c r="M10" s="17" t="s">
        <v>116</v>
      </c>
      <c r="N10" s="17" t="s">
        <v>139</v>
      </c>
      <c r="O10" s="17" t="s">
        <v>116</v>
      </c>
      <c r="P10" s="17" t="s">
        <v>114</v>
      </c>
      <c r="Q10" s="101" t="e">
        <f t="shared" ca="1" si="0"/>
        <v>#NAME?</v>
      </c>
    </row>
    <row r="11" spans="1:26" ht="13.2" x14ac:dyDescent="0.25">
      <c r="A11" s="59" t="s">
        <v>888</v>
      </c>
      <c r="B11" s="57">
        <v>45634.547074560185</v>
      </c>
      <c r="C11" s="17" t="s">
        <v>141</v>
      </c>
      <c r="D11" s="17" t="s">
        <v>12</v>
      </c>
      <c r="E11" s="17" t="s">
        <v>311</v>
      </c>
      <c r="F11" s="17" t="s">
        <v>889</v>
      </c>
      <c r="G11" s="17" t="s">
        <v>4</v>
      </c>
      <c r="H11" s="17" t="s">
        <v>890</v>
      </c>
      <c r="I11" s="19">
        <v>45578</v>
      </c>
      <c r="J11" s="17" t="s">
        <v>126</v>
      </c>
      <c r="K11" s="19">
        <v>45585</v>
      </c>
      <c r="M11" s="17" t="s">
        <v>116</v>
      </c>
      <c r="N11" s="17" t="s">
        <v>116</v>
      </c>
      <c r="O11" s="17" t="s">
        <v>116</v>
      </c>
      <c r="P11" s="17" t="s">
        <v>116</v>
      </c>
      <c r="Q11" s="101" t="e">
        <f t="shared" ca="1" si="0"/>
        <v>#NAME?</v>
      </c>
    </row>
    <row r="12" spans="1:26" ht="13.2" x14ac:dyDescent="0.25">
      <c r="A12" s="59" t="s">
        <v>891</v>
      </c>
      <c r="B12" s="57">
        <v>45634.575452974532</v>
      </c>
      <c r="C12" s="17" t="s">
        <v>141</v>
      </c>
      <c r="D12" s="17" t="s">
        <v>12</v>
      </c>
      <c r="E12" s="17" t="s">
        <v>205</v>
      </c>
      <c r="F12" s="17" t="s">
        <v>22</v>
      </c>
      <c r="G12" s="17" t="s">
        <v>10</v>
      </c>
      <c r="H12" s="17" t="s">
        <v>892</v>
      </c>
      <c r="I12" s="19">
        <v>45586</v>
      </c>
      <c r="J12" s="17" t="s">
        <v>167</v>
      </c>
      <c r="K12" s="19">
        <v>45627</v>
      </c>
      <c r="M12" s="17" t="s">
        <v>116</v>
      </c>
      <c r="O12" s="17" t="s">
        <v>116</v>
      </c>
      <c r="P12" s="17" t="s">
        <v>116</v>
      </c>
      <c r="Q12" s="101" t="e">
        <f t="shared" ca="1" si="0"/>
        <v>#NAME?</v>
      </c>
    </row>
    <row r="13" spans="1:26" ht="13.2" x14ac:dyDescent="0.25">
      <c r="A13" s="59" t="s">
        <v>893</v>
      </c>
      <c r="B13" s="57">
        <v>45634.576635439815</v>
      </c>
      <c r="C13" s="17" t="s">
        <v>141</v>
      </c>
      <c r="D13" s="17" t="s">
        <v>12</v>
      </c>
      <c r="E13" s="17" t="s">
        <v>395</v>
      </c>
      <c r="F13" s="17" t="s">
        <v>894</v>
      </c>
      <c r="G13" s="17" t="s">
        <v>4</v>
      </c>
      <c r="H13" s="17" t="s">
        <v>895</v>
      </c>
      <c r="I13" s="19">
        <v>45620</v>
      </c>
      <c r="J13" s="17"/>
      <c r="K13" s="19">
        <v>45620</v>
      </c>
      <c r="L13" s="17" t="s">
        <v>116</v>
      </c>
      <c r="M13" s="17" t="s">
        <v>116</v>
      </c>
      <c r="O13" s="17" t="s">
        <v>116</v>
      </c>
      <c r="P13" s="17" t="s">
        <v>116</v>
      </c>
      <c r="Q13" s="101" t="e">
        <f t="shared" ca="1" si="0"/>
        <v>#NAME?</v>
      </c>
    </row>
    <row r="14" spans="1:26" ht="13.2" x14ac:dyDescent="0.25">
      <c r="A14" s="59" t="s">
        <v>896</v>
      </c>
      <c r="B14" s="57">
        <v>45722.816816527775</v>
      </c>
      <c r="C14" s="17" t="s">
        <v>141</v>
      </c>
      <c r="D14" s="17" t="s">
        <v>12</v>
      </c>
      <c r="E14" s="17" t="s">
        <v>453</v>
      </c>
      <c r="F14" s="17" t="s">
        <v>897</v>
      </c>
      <c r="G14" s="17" t="s">
        <v>5</v>
      </c>
      <c r="H14" s="17" t="s">
        <v>895</v>
      </c>
      <c r="I14" s="19">
        <v>45666</v>
      </c>
      <c r="J14" s="17" t="s">
        <v>159</v>
      </c>
      <c r="K14" s="19">
        <v>45666</v>
      </c>
      <c r="L14" s="17" t="s">
        <v>643</v>
      </c>
      <c r="M14" s="17" t="s">
        <v>116</v>
      </c>
      <c r="N14" s="17" t="s">
        <v>643</v>
      </c>
      <c r="O14" s="17" t="s">
        <v>116</v>
      </c>
      <c r="P14" s="17" t="s">
        <v>116</v>
      </c>
      <c r="Q14" s="101" t="e">
        <f t="shared" ca="1" si="0"/>
        <v>#NAME?</v>
      </c>
    </row>
    <row r="15" spans="1:26" ht="13.2" x14ac:dyDescent="0.25">
      <c r="A15" s="59" t="s">
        <v>898</v>
      </c>
      <c r="B15" s="57">
        <v>45736.996966446764</v>
      </c>
      <c r="C15" s="17" t="s">
        <v>141</v>
      </c>
      <c r="D15" s="17" t="s">
        <v>12</v>
      </c>
      <c r="E15" s="17" t="s">
        <v>899</v>
      </c>
      <c r="F15" s="17" t="s">
        <v>135</v>
      </c>
      <c r="G15" s="17" t="s">
        <v>6</v>
      </c>
      <c r="H15" s="17" t="s">
        <v>900</v>
      </c>
      <c r="I15" s="19">
        <v>45722</v>
      </c>
      <c r="K15" s="19">
        <v>45725</v>
      </c>
      <c r="M15" s="17" t="s">
        <v>116</v>
      </c>
      <c r="O15" s="17" t="s">
        <v>116</v>
      </c>
      <c r="P15" s="17" t="s">
        <v>116</v>
      </c>
      <c r="Q15" s="101" t="e">
        <f t="shared" ca="1" si="0"/>
        <v>#NAME?</v>
      </c>
    </row>
    <row r="16" spans="1:26" ht="13.2" x14ac:dyDescent="0.25">
      <c r="A16" s="59" t="s">
        <v>901</v>
      </c>
      <c r="B16" s="57">
        <v>45746.062682002317</v>
      </c>
      <c r="C16" s="17" t="s">
        <v>141</v>
      </c>
      <c r="D16" s="17" t="s">
        <v>12</v>
      </c>
      <c r="E16" s="17" t="s">
        <v>902</v>
      </c>
      <c r="F16" s="17" t="s">
        <v>903</v>
      </c>
      <c r="G16" s="17" t="s">
        <v>10</v>
      </c>
      <c r="H16" s="17" t="s">
        <v>904</v>
      </c>
      <c r="I16" s="19">
        <v>45736</v>
      </c>
      <c r="J16" s="17" t="s">
        <v>167</v>
      </c>
      <c r="K16" s="19">
        <v>45744</v>
      </c>
      <c r="L16" s="17" t="s">
        <v>139</v>
      </c>
      <c r="M16" s="17" t="s">
        <v>116</v>
      </c>
      <c r="N16" s="17" t="s">
        <v>139</v>
      </c>
      <c r="O16" s="17" t="s">
        <v>116</v>
      </c>
      <c r="P16" s="17" t="s">
        <v>116</v>
      </c>
      <c r="Q16" s="101" t="e">
        <f t="shared" ca="1" si="0"/>
        <v>#NAME?</v>
      </c>
    </row>
    <row r="17" spans="1:17" ht="13.2" x14ac:dyDescent="0.25">
      <c r="A17" s="59" t="s">
        <v>905</v>
      </c>
      <c r="B17" s="57">
        <v>45783.281428692135</v>
      </c>
      <c r="C17" s="17" t="s">
        <v>111</v>
      </c>
      <c r="D17" s="17" t="s">
        <v>12</v>
      </c>
      <c r="E17" s="17" t="s">
        <v>906</v>
      </c>
      <c r="F17" s="17" t="s">
        <v>907</v>
      </c>
      <c r="G17" s="17" t="s">
        <v>6</v>
      </c>
      <c r="H17" s="17" t="s">
        <v>908</v>
      </c>
      <c r="I17" s="19">
        <v>45778</v>
      </c>
      <c r="J17" s="17" t="s">
        <v>147</v>
      </c>
      <c r="L17" s="17" t="s">
        <v>139</v>
      </c>
      <c r="M17" s="17" t="s">
        <v>116</v>
      </c>
      <c r="N17" s="17" t="s">
        <v>139</v>
      </c>
      <c r="O17" s="17" t="s">
        <v>116</v>
      </c>
      <c r="P17" s="17" t="s">
        <v>116</v>
      </c>
      <c r="Q17" s="101" t="e">
        <f t="shared" ca="1" si="0"/>
        <v>#NAME?</v>
      </c>
    </row>
    <row r="18" spans="1:17" ht="13.2" x14ac:dyDescent="0.25">
      <c r="A18" s="59" t="s">
        <v>909</v>
      </c>
      <c r="B18" s="57">
        <v>45968.98615611111</v>
      </c>
      <c r="C18" s="17" t="s">
        <v>357</v>
      </c>
      <c r="D18" s="17" t="s">
        <v>12</v>
      </c>
      <c r="E18" s="17" t="s">
        <v>910</v>
      </c>
      <c r="F18" s="17" t="s">
        <v>579</v>
      </c>
      <c r="G18" s="17" t="s">
        <v>10</v>
      </c>
      <c r="H18" s="17" t="s">
        <v>911</v>
      </c>
      <c r="I18" s="19">
        <v>45904</v>
      </c>
      <c r="J18" s="17" t="s">
        <v>117</v>
      </c>
      <c r="K18" s="19">
        <v>45904</v>
      </c>
      <c r="M18" s="17" t="s">
        <v>116</v>
      </c>
      <c r="N18" s="17" t="s">
        <v>139</v>
      </c>
      <c r="O18" s="17" t="s">
        <v>116</v>
      </c>
      <c r="P18" s="17" t="s">
        <v>116</v>
      </c>
      <c r="Q18" s="101" t="e">
        <f t="shared" ca="1" si="0"/>
        <v>#NAME?</v>
      </c>
    </row>
  </sheetData>
  <autoFilter ref="D2:D18" xr:uid="{00000000-0009-0000-0000-000005000000}"/>
  <conditionalFormatting sqref="D2:D18">
    <cfRule type="cellIs" dxfId="14" priority="1" stopIfTrue="1" operator="equal">
      <formula>"Complete"</formula>
    </cfRule>
    <cfRule type="cellIs" dxfId="13" priority="2" stopIfTrue="1" operator="equal">
      <formula>"Pending Approval"</formula>
    </cfRule>
    <cfRule type="cellIs" dxfId="12" priority="3" stopIfTrue="1" operator="equal">
      <formula>"Assigned"</formula>
    </cfRule>
    <cfRule type="cellIs" dxfId="11" priority="4" stopIfTrue="1" operator="equal">
      <formula>"Update System + LCR"</formula>
    </cfRule>
  </conditionalFormatting>
  <hyperlinks>
    <hyperlink ref="D1" r:id="rId1" xr:uid="{00000000-0004-0000-0500-000000000000}"/>
    <hyperlink ref="G1" r:id="rId2" location="gid=346688937" xr:uid="{00000000-0004-0000-0500-000001000000}"/>
    <hyperlink ref="A3" r:id="rId3" xr:uid="{00000000-0004-0000-0500-000002000000}"/>
    <hyperlink ref="A4" r:id="rId4" xr:uid="{00000000-0004-0000-0500-000003000000}"/>
    <hyperlink ref="A5" r:id="rId5" xr:uid="{00000000-0004-0000-0500-000004000000}"/>
    <hyperlink ref="A6" r:id="rId6" xr:uid="{00000000-0004-0000-0500-000005000000}"/>
    <hyperlink ref="A7" r:id="rId7" xr:uid="{00000000-0004-0000-0500-000006000000}"/>
    <hyperlink ref="A8" r:id="rId8" xr:uid="{00000000-0004-0000-0500-000007000000}"/>
    <hyperlink ref="A9" r:id="rId9" xr:uid="{00000000-0004-0000-0500-000008000000}"/>
    <hyperlink ref="A10" r:id="rId10" xr:uid="{00000000-0004-0000-0500-000009000000}"/>
    <hyperlink ref="A11" r:id="rId11" xr:uid="{00000000-0004-0000-0500-00000A000000}"/>
    <hyperlink ref="A12" r:id="rId12" xr:uid="{00000000-0004-0000-0500-00000B000000}"/>
    <hyperlink ref="A13" r:id="rId13" xr:uid="{00000000-0004-0000-0500-00000C000000}"/>
    <hyperlink ref="A14" r:id="rId14" xr:uid="{00000000-0004-0000-0500-00000D000000}"/>
    <hyperlink ref="A15" r:id="rId15" xr:uid="{00000000-0004-0000-0500-00000E000000}"/>
    <hyperlink ref="A16" r:id="rId16" xr:uid="{00000000-0004-0000-0500-00000F000000}"/>
    <hyperlink ref="A17" r:id="rId17" xr:uid="{00000000-0004-0000-0500-000010000000}"/>
    <hyperlink ref="A18" r:id="rId18" xr:uid="{00000000-0004-0000-0500-000011000000}"/>
  </hyperlinks>
  <pageMargins left="0.7" right="0.7" top="0.75" bottom="0.75" header="0.3" footer="0.3"/>
  <drawing r:id="rId19"/>
  <legacyDrawing r:id="rId2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E69138"/>
    <outlinePr summaryBelow="0" summaryRight="0"/>
  </sheetPr>
  <dimension ref="A1:I674"/>
  <sheetViews>
    <sheetView workbookViewId="0"/>
  </sheetViews>
  <sheetFormatPr defaultColWidth="12.6640625" defaultRowHeight="15.75" customHeight="1" x14ac:dyDescent="0.25"/>
  <cols>
    <col min="1" max="1" width="20.44140625" customWidth="1"/>
    <col min="2" max="2" width="21.77734375" customWidth="1"/>
    <col min="3" max="3" width="38.109375" customWidth="1"/>
    <col min="4" max="4" width="12.6640625" customWidth="1"/>
    <col min="5" max="5" width="19.33203125" customWidth="1"/>
    <col min="6" max="7" width="21.77734375" customWidth="1"/>
    <col min="8" max="8" width="17.88671875" customWidth="1"/>
    <col min="9" max="9" width="65" customWidth="1"/>
  </cols>
  <sheetData>
    <row r="1" spans="1:9" ht="12.75" customHeight="1" x14ac:dyDescent="0.25">
      <c r="E1" s="19"/>
      <c r="F1" s="19"/>
      <c r="G1" s="19"/>
      <c r="H1" s="19"/>
      <c r="I1" s="19"/>
    </row>
    <row r="2" spans="1:9" ht="36" customHeight="1" x14ac:dyDescent="0.25">
      <c r="A2" s="102" t="s">
        <v>912</v>
      </c>
      <c r="B2" s="103"/>
      <c r="C2" s="123" t="s">
        <v>913</v>
      </c>
      <c r="D2" s="115"/>
      <c r="E2" s="115"/>
      <c r="F2" s="19"/>
      <c r="G2" s="19"/>
      <c r="H2" s="19"/>
      <c r="I2" s="19"/>
    </row>
    <row r="3" spans="1:9" ht="16.5" customHeight="1" x14ac:dyDescent="0.25">
      <c r="E3" s="19"/>
      <c r="F3" s="19"/>
      <c r="G3" s="19"/>
      <c r="H3" s="19"/>
      <c r="I3" s="19"/>
    </row>
    <row r="4" spans="1:9" ht="36" customHeight="1" x14ac:dyDescent="0.25">
      <c r="A4" s="104" t="str">
        <f ca="1">IFERROR(__xludf.DUMMYFUNCTION("QUERY({ 
  IFERROR(QUERY('Callings Releasings'!A2:AV674, ""select 'Callings', E, F, G, D, B, AD, AR, AV where E &lt;&gt; '' label 'Callings' 'Type', B 'Last Update'""), {"""","""","""","""","""","""","""","""",""""}); 
  IFERROR(QUERY(Ordinations!A3:AQ674, ""se"&amp;"lect 'Ordinations', E, F, G, D, B, AC, ' ', AQ where E &lt;&gt; '' label 'Ordinations' '', ' ' ''"", 0), {"""","""","""","""","""","""","""","""",""""}); 
  IFERROR(QUERY('Release Only'!A3:Q674, ""select 'Releasings', E, F, G, D, B, J, ' ', Q where E &lt;&gt; '' labe"&amp;"l 'Releasings' '', ' ' ''"", 0), {"""","""","""","""","""","""","""","""",""""}) 
}, ""where Col1 is not null and lower(Col2) contains '""&amp;LOWER(B2)&amp;""' order by Col6 desc"", 1)"),"Type")</f>
        <v>Type</v>
      </c>
      <c r="B4" s="105" t="str">
        <f ca="1">IFERROR(__xludf.DUMMYFUNCTION("""COMPUTED_VALUE"""),"Member Name")</f>
        <v>Member Name</v>
      </c>
      <c r="C4" s="105" t="str">
        <f ca="1">IFERROR(__xludf.DUMMYFUNCTION("""COMPUTED_VALUE"""),"Calling")</f>
        <v>Calling</v>
      </c>
      <c r="D4" s="105" t="str">
        <f ca="1">IFERROR(__xludf.DUMMYFUNCTION("""COMPUTED_VALUE"""),"Unit")</f>
        <v>Unit</v>
      </c>
      <c r="E4" s="106" t="str">
        <f ca="1">IFERROR(__xludf.DUMMYFUNCTION("""COMPUTED_VALUE"""),"Current Step")</f>
        <v>Current Step</v>
      </c>
      <c r="F4" s="107" t="str">
        <f ca="1">IFERROR(__xludf.DUMMYFUNCTION("""COMPUTED_VALUE"""),"Last Update")</f>
        <v>Last Update</v>
      </c>
      <c r="G4" s="108" t="str">
        <f ca="1">IFERROR(__xludf.DUMMYFUNCTION("""COMPUTED_VALUE"""),"Assigned to Extend Calling / Release")</f>
        <v>Assigned to Extend Calling / Release</v>
      </c>
      <c r="H4" s="108" t="str">
        <f ca="1">IFERROR(__xludf.DUMMYFUNCTION("""COMPUTED_VALUE"""),"Assigned Trainer")</f>
        <v>Assigned Trainer</v>
      </c>
      <c r="I4" s="109" t="str">
        <f ca="1">IFERROR(__xludf.DUMMYFUNCTION("""COMPUTED_VALUE"""),"Hyperlink")</f>
        <v>Hyperlink</v>
      </c>
    </row>
    <row r="5" spans="1:9" ht="13.2" x14ac:dyDescent="0.25">
      <c r="A5" s="17" t="str">
        <f ca="1">IFERROR(__xludf.DUMMYFUNCTION("""COMPUTED_VALUE"""),"Callings")</f>
        <v>Callings</v>
      </c>
      <c r="B5" s="18" t="str">
        <f ca="1">IFERROR(__xludf.DUMMYFUNCTION("""COMPUTED_VALUE"""),"Sawyer Barney")</f>
        <v>Sawyer Barney</v>
      </c>
      <c r="C5" s="17" t="str">
        <f ca="1">IFERROR(__xludf.DUMMYFUNCTION("""COMPUTED_VALUE"""),"Executive Secretary")</f>
        <v>Executive Secretary</v>
      </c>
      <c r="D5" s="17" t="str">
        <f ca="1">IFERROR(__xludf.DUMMYFUNCTION("""COMPUTED_VALUE"""),"Lansing")</f>
        <v>Lansing</v>
      </c>
      <c r="E5" s="19" t="str">
        <f ca="1">IFERROR(__xludf.DUMMYFUNCTION("""COMPUTED_VALUE"""),"Training")</f>
        <v>Training</v>
      </c>
      <c r="F5" s="20">
        <f ca="1">IFERROR(__xludf.DUMMYFUNCTION("""COMPUTED_VALUE"""),46159.5525981365)</f>
        <v>46159.552598136499</v>
      </c>
      <c r="G5" s="21" t="str">
        <f ca="1">IFERROR(__xludf.DUMMYFUNCTION("""COMPUTED_VALUE"""),"Earl")</f>
        <v>Earl</v>
      </c>
      <c r="H5" s="20" t="str">
        <f ca="1">IFERROR(__xludf.DUMMYFUNCTION("""COMPUTED_VALUE"""),"Hilgendorf")</f>
        <v>Hilgendorf</v>
      </c>
      <c r="I5" s="22" t="str">
        <f ca="1">IFERROR(__xludf.DUMMYFUNCTION("""COMPUTED_VALUE"""),"https://docs.google.com/forms/d/e/1FAIpQLSd37AKX0Ca1Yeje6eC6NuliFZj5Spn7I7mXRsa9kBsXMqB-Ag/viewform?edit2=2_ABaOnue8mI5AYqilJnQ-23IHeU09ipqfAONkBPAhQ3a3okU2s71v_L1uHn7A2GfefVIT5vE")</f>
        <v>https://docs.google.com/forms/d/e/1FAIpQLSd37AKX0Ca1Yeje6eC6NuliFZj5Spn7I7mXRsa9kBsXMqB-Ag/viewform?edit2=2_ABaOnue8mI5AYqilJnQ-23IHeU09ipqfAONkBPAhQ3a3okU2s71v_L1uHn7A2GfefVIT5vE</v>
      </c>
    </row>
    <row r="6" spans="1:9" ht="13.2" x14ac:dyDescent="0.25">
      <c r="A6" s="17" t="str">
        <f ca="1">IFERROR(__xludf.DUMMYFUNCTION("""COMPUTED_VALUE"""),"Callings")</f>
        <v>Callings</v>
      </c>
      <c r="B6" s="18" t="str">
        <f ca="1">IFERROR(__xludf.DUMMYFUNCTION("""COMPUTED_VALUE"""),"Tristan Packard")</f>
        <v>Tristan Packard</v>
      </c>
      <c r="C6" s="17" t="str">
        <f ca="1">IFERROR(__xludf.DUMMYFUNCTION("""COMPUTED_VALUE"""),"Bishopric 2nd Counselor")</f>
        <v>Bishopric 2nd Counselor</v>
      </c>
      <c r="D6" s="17" t="str">
        <f ca="1">IFERROR(__xludf.DUMMYFUNCTION("""COMPUTED_VALUE"""),"Lansing")</f>
        <v>Lansing</v>
      </c>
      <c r="E6" s="19" t="str">
        <f ca="1">IFERROR(__xludf.DUMMYFUNCTION("""COMPUTED_VALUE"""),"Set Apart")</f>
        <v>Set Apart</v>
      </c>
      <c r="F6" s="20">
        <f ca="1">IFERROR(__xludf.DUMMYFUNCTION("""COMPUTED_VALUE"""),46159.5519751967)</f>
        <v>46159.5519751967</v>
      </c>
      <c r="G6" s="21" t="str">
        <f ca="1">IFERROR(__xludf.DUMMYFUNCTION("""COMPUTED_VALUE"""),"Earl")</f>
        <v>Earl</v>
      </c>
      <c r="H6" s="20" t="str">
        <f ca="1">IFERROR(__xludf.DUMMYFUNCTION("""COMPUTED_VALUE"""),"Earl")</f>
        <v>Earl</v>
      </c>
      <c r="I6" s="22" t="str">
        <f ca="1">IFERROR(__xludf.DUMMYFUNCTION("""COMPUTED_VALUE"""),"https://docs.google.com/forms/d/e/1FAIpQLSd37AKX0Ca1Yeje6eC6NuliFZj5Spn7I7mXRsa9kBsXMqB-Ag/viewform?edit2=2_ABaOnucU6DOq6qcvz42zkHjhZlqUckdI_P7WQvTHT6kRvXPS0nedw-Lqwshw-TPP60rFl40")</f>
        <v>https://docs.google.com/forms/d/e/1FAIpQLSd37AKX0Ca1Yeje6eC6NuliFZj5Spn7I7mXRsa9kBsXMqB-Ag/viewform?edit2=2_ABaOnucU6DOq6qcvz42zkHjhZlqUckdI_P7WQvTHT6kRvXPS0nedw-Lqwshw-TPP60rFl40</v>
      </c>
    </row>
    <row r="7" spans="1:9" ht="13.2" x14ac:dyDescent="0.25">
      <c r="A7" s="17" t="str">
        <f ca="1">IFERROR(__xludf.DUMMYFUNCTION("""COMPUTED_VALUE"""),"Callings")</f>
        <v>Callings</v>
      </c>
      <c r="B7" s="18" t="str">
        <f ca="1">IFERROR(__xludf.DUMMYFUNCTION("""COMPUTED_VALUE"""),"Gavin Johnson")</f>
        <v>Gavin Johnson</v>
      </c>
      <c r="C7" s="17" t="str">
        <f ca="1">IFERROR(__xludf.DUMMYFUNCTION("""COMPUTED_VALUE"""),"Bishopric 1st Counselor")</f>
        <v>Bishopric 1st Counselor</v>
      </c>
      <c r="D7" s="17" t="str">
        <f ca="1">IFERROR(__xludf.DUMMYFUNCTION("""COMPUTED_VALUE"""),"Lansing")</f>
        <v>Lansing</v>
      </c>
      <c r="E7" s="19" t="str">
        <f ca="1">IFERROR(__xludf.DUMMYFUNCTION("""COMPUTED_VALUE"""),"Set Apart")</f>
        <v>Set Apart</v>
      </c>
      <c r="F7" s="20">
        <f ca="1">IFERROR(__xludf.DUMMYFUNCTION("""COMPUTED_VALUE"""),46159.5517208449)</f>
        <v>46159.551720844902</v>
      </c>
      <c r="G7" s="21" t="str">
        <f ca="1">IFERROR(__xludf.DUMMYFUNCTION("""COMPUTED_VALUE"""),"Earl")</f>
        <v>Earl</v>
      </c>
      <c r="H7" s="20" t="str">
        <f ca="1">IFERROR(__xludf.DUMMYFUNCTION("""COMPUTED_VALUE"""),"Earl")</f>
        <v>Earl</v>
      </c>
      <c r="I7" s="22" t="str">
        <f ca="1">IFERROR(__xludf.DUMMYFUNCTION("""COMPUTED_VALUE"""),"https://docs.google.com/forms/d/e/1FAIpQLSd37AKX0Ca1Yeje6eC6NuliFZj5Spn7I7mXRsa9kBsXMqB-Ag/viewform?edit2=2_ABaOnuerF-9S-0PUnAo-xLIpSHuJa6TuFg8a5-HK4pKoELYuVYouRoOvSYDtqHqjDqv1WPE")</f>
        <v>https://docs.google.com/forms/d/e/1FAIpQLSd37AKX0Ca1Yeje6eC6NuliFZj5Spn7I7mXRsa9kBsXMqB-Ag/viewform?edit2=2_ABaOnuerF-9S-0PUnAo-xLIpSHuJa6TuFg8a5-HK4pKoELYuVYouRoOvSYDtqHqjDqv1WPE</v>
      </c>
    </row>
    <row r="8" spans="1:9" ht="13.2" x14ac:dyDescent="0.25">
      <c r="A8" s="17" t="str">
        <f ca="1">IFERROR(__xludf.DUMMYFUNCTION("""COMPUTED_VALUE"""),"Callings")</f>
        <v>Callings</v>
      </c>
      <c r="B8" s="18" t="str">
        <f ca="1">IFERROR(__xludf.DUMMYFUNCTION("""COMPUTED_VALUE"""),"Tanner Hickman")</f>
        <v>Tanner Hickman</v>
      </c>
      <c r="C8" s="17" t="str">
        <f ca="1">IFERROR(__xludf.DUMMYFUNCTION("""COMPUTED_VALUE"""),"Bishop")</f>
        <v>Bishop</v>
      </c>
      <c r="D8" s="17" t="str">
        <f ca="1">IFERROR(__xludf.DUMMYFUNCTION("""COMPUTED_VALUE"""),"Lansing")</f>
        <v>Lansing</v>
      </c>
      <c r="E8" s="19" t="str">
        <f ca="1">IFERROR(__xludf.DUMMYFUNCTION("""COMPUTED_VALUE"""),"Training")</f>
        <v>Training</v>
      </c>
      <c r="F8" s="20">
        <f ca="1">IFERROR(__xludf.DUMMYFUNCTION("""COMPUTED_VALUE"""),46159.5506377083)</f>
        <v>46159.5506377083</v>
      </c>
      <c r="G8" s="21" t="str">
        <f ca="1">IFERROR(__xludf.DUMMYFUNCTION("""COMPUTED_VALUE"""),"Rawson")</f>
        <v>Rawson</v>
      </c>
      <c r="H8" s="20" t="str">
        <f ca="1">IFERROR(__xludf.DUMMYFUNCTION("""COMPUTED_VALUE"""),"Earl")</f>
        <v>Earl</v>
      </c>
      <c r="I8" s="22" t="str">
        <f ca="1">IFERROR(__xludf.DUMMYFUNCTION("""COMPUTED_VALUE"""),"https://docs.google.com/forms/d/e/1FAIpQLSd37AKX0Ca1Yeje6eC6NuliFZj5Spn7I7mXRsa9kBsXMqB-Ag/viewform?edit2=2_ABaOnuf2j7989Basd7RqeWk5ShbfC9vglbQAYME_8G0y9KgxN5a2Sxu33yjZSF-7UYqZu8U")</f>
        <v>https://docs.google.com/forms/d/e/1FAIpQLSd37AKX0Ca1Yeje6eC6NuliFZj5Spn7I7mXRsa9kBsXMqB-Ag/viewform?edit2=2_ABaOnuf2j7989Basd7RqeWk5ShbfC9vglbQAYME_8G0y9KgxN5a2Sxu33yjZSF-7UYqZu8U</v>
      </c>
    </row>
    <row r="9" spans="1:9" ht="13.2" x14ac:dyDescent="0.25">
      <c r="A9" s="17" t="str">
        <f ca="1">IFERROR(__xludf.DUMMYFUNCTION("""COMPUTED_VALUE"""),"Ordinations")</f>
        <v>Ordinations</v>
      </c>
      <c r="B9" s="18" t="str">
        <f ca="1">IFERROR(__xludf.DUMMYFUNCTION("""COMPUTED_VALUE"""),"Gavin Johnson")</f>
        <v>Gavin Johnson</v>
      </c>
      <c r="C9" s="17" t="str">
        <f ca="1">IFERROR(__xludf.DUMMYFUNCTION("""COMPUTED_VALUE"""),"High Priest")</f>
        <v>High Priest</v>
      </c>
      <c r="D9" s="17" t="str">
        <f ca="1">IFERROR(__xludf.DUMMYFUNCTION("""COMPUTED_VALUE"""),"Lansing")</f>
        <v>Lansing</v>
      </c>
      <c r="E9" s="19" t="str">
        <f ca="1">IFERROR(__xludf.DUMMYFUNCTION("""COMPUTED_VALUE"""),"Ordination")</f>
        <v>Ordination</v>
      </c>
      <c r="F9" s="20">
        <f ca="1">IFERROR(__xludf.DUMMYFUNCTION("""COMPUTED_VALUE"""),46159.5498840046)</f>
        <v>46159.549884004598</v>
      </c>
      <c r="G9" s="21" t="str">
        <f ca="1">IFERROR(__xludf.DUMMYFUNCTION("""COMPUTED_VALUE"""),"Earl")</f>
        <v>Earl</v>
      </c>
      <c r="H9" s="20" t="str">
        <f ca="1">IFERROR(__xludf.DUMMYFUNCTION("""COMPUTED_VALUE""")," ")</f>
        <v xml:space="preserve"> </v>
      </c>
      <c r="I9" s="22" t="str">
        <f ca="1">IFERROR(__xludf.DUMMYFUNCTION("""COMPUTED_VALUE"""),"https://docs.google.com/forms/d/e/1FAIpQLScKfK1Xq_AfFRyZkOlyT2n4Ugr8FdePyUxPct4kYLgKJ3YlMQ/viewform?edit2=2_ABaOnucYlNz1YoXLPBAYyST6WlmELb1kBnM9BfkUaTxKov-rM8gB0ieRnkyVKFnayrBrwdE")</f>
        <v>https://docs.google.com/forms/d/e/1FAIpQLScKfK1Xq_AfFRyZkOlyT2n4Ugr8FdePyUxPct4kYLgKJ3YlMQ/viewform?edit2=2_ABaOnucYlNz1YoXLPBAYyST6WlmELb1kBnM9BfkUaTxKov-rM8gB0ieRnkyVKFnayrBrwdE</v>
      </c>
    </row>
    <row r="10" spans="1:9" ht="13.2" x14ac:dyDescent="0.25">
      <c r="A10" s="17" t="str">
        <f ca="1">IFERROR(__xludf.DUMMYFUNCTION("""COMPUTED_VALUE"""),"Ordinations")</f>
        <v>Ordinations</v>
      </c>
      <c r="B10" s="18" t="str">
        <f ca="1">IFERROR(__xludf.DUMMYFUNCTION("""COMPUTED_VALUE"""),"Tristan Packard")</f>
        <v>Tristan Packard</v>
      </c>
      <c r="C10" s="17" t="str">
        <f ca="1">IFERROR(__xludf.DUMMYFUNCTION("""COMPUTED_VALUE"""),"High Priest")</f>
        <v>High Priest</v>
      </c>
      <c r="D10" s="17" t="str">
        <f ca="1">IFERROR(__xludf.DUMMYFUNCTION("""COMPUTED_VALUE"""),"Lansing")</f>
        <v>Lansing</v>
      </c>
      <c r="E10" s="19" t="str">
        <f ca="1">IFERROR(__xludf.DUMMYFUNCTION("""COMPUTED_VALUE"""),"Ordination")</f>
        <v>Ordination</v>
      </c>
      <c r="F10" s="20">
        <f ca="1">IFERROR(__xludf.DUMMYFUNCTION("""COMPUTED_VALUE"""),46159.5496573495)</f>
        <v>46159.549657349497</v>
      </c>
      <c r="G10" s="21" t="str">
        <f ca="1">IFERROR(__xludf.DUMMYFUNCTION("""COMPUTED_VALUE"""),"Earl")</f>
        <v>Earl</v>
      </c>
      <c r="H10" s="20" t="str">
        <f ca="1">IFERROR(__xludf.DUMMYFUNCTION("""COMPUTED_VALUE""")," ")</f>
        <v xml:space="preserve"> </v>
      </c>
      <c r="I10" s="22" t="str">
        <f ca="1">IFERROR(__xludf.DUMMYFUNCTION("""COMPUTED_VALUE"""),"https://docs.google.com/forms/d/e/1FAIpQLScKfK1Xq_AfFRyZkOlyT2n4Ugr8FdePyUxPct4kYLgKJ3YlMQ/viewform?edit2=2_ABaOnucINqfbL2HNtyT2-rdXO1PHIOPKQtPP-hALfOhqsXkOd_XPh6FLRTCqadIMuXnaou0")</f>
        <v>https://docs.google.com/forms/d/e/1FAIpQLScKfK1Xq_AfFRyZkOlyT2n4Ugr8FdePyUxPct4kYLgKJ3YlMQ/viewform?edit2=2_ABaOnucINqfbL2HNtyT2-rdXO1PHIOPKQtPP-hALfOhqsXkOd_XPh6FLRTCqadIMuXnaou0</v>
      </c>
    </row>
    <row r="11" spans="1:9" ht="13.2" x14ac:dyDescent="0.25">
      <c r="A11" s="17" t="str">
        <f ca="1">IFERROR(__xludf.DUMMYFUNCTION("""COMPUTED_VALUE"""),"Callings")</f>
        <v>Callings</v>
      </c>
      <c r="B11" s="18" t="str">
        <f ca="1">IFERROR(__xludf.DUMMYFUNCTION("""COMPUTED_VALUE"""),"Skyler Roper")</f>
        <v>Skyler Roper</v>
      </c>
      <c r="C11" s="17" t="str">
        <f ca="1">IFERROR(__xludf.DUMMYFUNCTION("""COMPUTED_VALUE"""),"Branch President")</f>
        <v>Branch President</v>
      </c>
      <c r="D11" s="17" t="str">
        <f ca="1">IFERROR(__xludf.DUMMYFUNCTION("""COMPUTED_VALUE"""),"Portland")</f>
        <v>Portland</v>
      </c>
      <c r="E11" s="19" t="str">
        <f ca="1">IFERROR(__xludf.DUMMYFUNCTION("""COMPUTED_VALUE"""),"Training")</f>
        <v>Training</v>
      </c>
      <c r="F11" s="20">
        <f ca="1">IFERROR(__xludf.DUMMYFUNCTION("""COMPUTED_VALUE"""),46159.3955542476)</f>
        <v>46159.395554247603</v>
      </c>
      <c r="G11" s="21" t="str">
        <f ca="1">IFERROR(__xludf.DUMMYFUNCTION("""COMPUTED_VALUE"""),"Rawson")</f>
        <v>Rawson</v>
      </c>
      <c r="H11" s="20" t="str">
        <f ca="1">IFERROR(__xludf.DUMMYFUNCTION("""COMPUTED_VALUE"""),"Earl")</f>
        <v>Earl</v>
      </c>
      <c r="I11" s="22" t="str">
        <f ca="1">IFERROR(__xludf.DUMMYFUNCTION("""COMPUTED_VALUE"""),"https://docs.google.com/forms/d/e/1FAIpQLSd37AKX0Ca1Yeje6eC6NuliFZj5Spn7I7mXRsa9kBsXMqB-Ag/viewform?edit2=2_ABaOnueza0QWbrwz8T7sWbuoj8RQ0uTYVPMjIOquJLrwomLqVasBXKQ7q4oPdU42q5sebnY")</f>
        <v>https://docs.google.com/forms/d/e/1FAIpQLSd37AKX0Ca1Yeje6eC6NuliFZj5Spn7I7mXRsa9kBsXMqB-Ag/viewform?edit2=2_ABaOnueza0QWbrwz8T7sWbuoj8RQ0uTYVPMjIOquJLrwomLqVasBXKQ7q4oPdU42q5sebnY</v>
      </c>
    </row>
    <row r="12" spans="1:9" ht="13.2" x14ac:dyDescent="0.25">
      <c r="A12" s="17" t="str">
        <f ca="1">IFERROR(__xludf.DUMMYFUNCTION("""COMPUTED_VALUE"""),"Callings")</f>
        <v>Callings</v>
      </c>
      <c r="B12" s="18" t="str">
        <f ca="1">IFERROR(__xludf.DUMMYFUNCTION("""COMPUTED_VALUE"""),"Giacinto Lucci Sr.")</f>
        <v>Giacinto Lucci Sr.</v>
      </c>
      <c r="C12" s="17" t="str">
        <f ca="1">IFERROR(__xludf.DUMMYFUNCTION("""COMPUTED_VALUE"""),"EQ 1st Counselor")</f>
        <v>EQ 1st Counselor</v>
      </c>
      <c r="D12" s="17" t="str">
        <f ca="1">IFERROR(__xludf.DUMMYFUNCTION("""COMPUTED_VALUE"""),"Charlotte")</f>
        <v>Charlotte</v>
      </c>
      <c r="E12" s="19" t="str">
        <f ca="1">IFERROR(__xludf.DUMMYFUNCTION("""COMPUTED_VALUE"""),"Training")</f>
        <v>Training</v>
      </c>
      <c r="F12" s="20">
        <f ca="1">IFERROR(__xludf.DUMMYFUNCTION("""COMPUTED_VALUE"""),46158.742712824)</f>
        <v>46158.742712824002</v>
      </c>
      <c r="G12" s="21" t="str">
        <f ca="1">IFERROR(__xludf.DUMMYFUNCTION("""COMPUTED_VALUE"""),"Nelson")</f>
        <v>Nelson</v>
      </c>
      <c r="H12" s="20" t="str">
        <f ca="1">IFERROR(__xludf.DUMMYFUNCTION("""COMPUTED_VALUE"""),"Nelson")</f>
        <v>Nelson</v>
      </c>
      <c r="I12" s="22" t="str">
        <f ca="1">IFERROR(__xludf.DUMMYFUNCTION("""COMPUTED_VALUE"""),"https://docs.google.com/forms/d/e/1FAIpQLSd37AKX0Ca1Yeje6eC6NuliFZj5Spn7I7mXRsa9kBsXMqB-Ag/viewform?edit2=2_ABaOnufG4qkFQOtlvqNs92E6J7QIRFpabq77LhYs1EKoIUylzebWNv8mFo_PoidwofkyZ0Y")</f>
        <v>https://docs.google.com/forms/d/e/1FAIpQLSd37AKX0Ca1Yeje6eC6NuliFZj5Spn7I7mXRsa9kBsXMqB-Ag/viewform?edit2=2_ABaOnufG4qkFQOtlvqNs92E6J7QIRFpabq77LhYs1EKoIUylzebWNv8mFo_PoidwofkyZ0Y</v>
      </c>
    </row>
    <row r="13" spans="1:9" ht="13.2" x14ac:dyDescent="0.25">
      <c r="A13" s="17" t="str">
        <f ca="1">IFERROR(__xludf.DUMMYFUNCTION("""COMPUTED_VALUE"""),"Ordinations")</f>
        <v>Ordinations</v>
      </c>
      <c r="B13" s="18" t="str">
        <f ca="1">IFERROR(__xludf.DUMMYFUNCTION("""COMPUTED_VALUE"""),"Clayton Hoekwater")</f>
        <v>Clayton Hoekwater</v>
      </c>
      <c r="C13" s="17" t="str">
        <f ca="1">IFERROR(__xludf.DUMMYFUNCTION("""COMPUTED_VALUE"""),"Elder")</f>
        <v>Elder</v>
      </c>
      <c r="D13" s="17" t="str">
        <f ca="1">IFERROR(__xludf.DUMMYFUNCTION("""COMPUTED_VALUE"""),"YSA")</f>
        <v>YSA</v>
      </c>
      <c r="E13" s="19" t="str">
        <f ca="1">IFERROR(__xludf.DUMMYFUNCTION("""COMPUTED_VALUE"""),"Certificate")</f>
        <v>Certificate</v>
      </c>
      <c r="F13" s="20">
        <f ca="1">IFERROR(__xludf.DUMMYFUNCTION("""COMPUTED_VALUE"""),46157.394490243)</f>
        <v>46157.394490243001</v>
      </c>
      <c r="G13" s="21" t="str">
        <f ca="1">IFERROR(__xludf.DUMMYFUNCTION("""COMPUTED_VALUE"""),"Conn")</f>
        <v>Conn</v>
      </c>
      <c r="H13" s="20" t="str">
        <f ca="1">IFERROR(__xludf.DUMMYFUNCTION("""COMPUTED_VALUE""")," ")</f>
        <v xml:space="preserve"> </v>
      </c>
      <c r="I13" s="22" t="str">
        <f ca="1">IFERROR(__xludf.DUMMYFUNCTION("""COMPUTED_VALUE"""),"https://docs.google.com/forms/d/e/1FAIpQLScKfK1Xq_AfFRyZkOlyT2n4Ugr8FdePyUxPct4kYLgKJ3YlMQ/viewform?edit2=2_ABaOnucIF0bUlpImPx8G5Cbwlu76fG6A5FGJO9bhSnfweqQLIYVGJ5NGuH1wd-Vrzig1ARY")</f>
        <v>https://docs.google.com/forms/d/e/1FAIpQLScKfK1Xq_AfFRyZkOlyT2n4Ugr8FdePyUxPct4kYLgKJ3YlMQ/viewform?edit2=2_ABaOnucIF0bUlpImPx8G5Cbwlu76fG6A5FGJO9bhSnfweqQLIYVGJ5NGuH1wd-Vrzig1ARY</v>
      </c>
    </row>
    <row r="14" spans="1:9" ht="13.2" x14ac:dyDescent="0.25">
      <c r="A14" s="17" t="str">
        <f ca="1">IFERROR(__xludf.DUMMYFUNCTION("""COMPUTED_VALUE"""),"Callings")</f>
        <v>Callings</v>
      </c>
      <c r="B14" s="18" t="str">
        <f ca="1">IFERROR(__xludf.DUMMYFUNCTION("""COMPUTED_VALUE"""),"Lawrence Barrett")</f>
        <v>Lawrence Barrett</v>
      </c>
      <c r="C14" s="17" t="str">
        <f ca="1">IFERROR(__xludf.DUMMYFUNCTION("""COMPUTED_VALUE"""),"Self Reliance Facilitator")</f>
        <v>Self Reliance Facilitator</v>
      </c>
      <c r="D14" s="17" t="str">
        <f ca="1">IFERROR(__xludf.DUMMYFUNCTION("""COMPUTED_VALUE"""),"Williamston")</f>
        <v>Williamston</v>
      </c>
      <c r="E14" s="19" t="str">
        <f ca="1">IFERROR(__xludf.DUMMYFUNCTION("""COMPUTED_VALUE"""),"Complete")</f>
        <v>Complete</v>
      </c>
      <c r="F14" s="20">
        <f ca="1">IFERROR(__xludf.DUMMYFUNCTION("""COMPUTED_VALUE"""),46155.6322183564)</f>
        <v>46155.632218356397</v>
      </c>
      <c r="G14" s="21" t="str">
        <f ca="1">IFERROR(__xludf.DUMMYFUNCTION("""COMPUTED_VALUE"""),"Joseph")</f>
        <v>Joseph</v>
      </c>
      <c r="H14" s="20" t="str">
        <f ca="1">IFERROR(__xludf.DUMMYFUNCTION("""COMPUTED_VALUE"""),"Hilgendorf")</f>
        <v>Hilgendorf</v>
      </c>
      <c r="I14" s="22" t="str">
        <f ca="1">IFERROR(__xludf.DUMMYFUNCTION("""COMPUTED_VALUE"""),"https://docs.google.com/forms/d/e/1FAIpQLSd37AKX0Ca1Yeje6eC6NuliFZj5Spn7I7mXRsa9kBsXMqB-Ag/viewform?edit2=2_ABaOnufxkc3tlHnwqQgLBNKZgEJCUxXYMRiEDNla6guit9NDZ30z5t7XPOkPUIpmZDTO4O8")</f>
        <v>https://docs.google.com/forms/d/e/1FAIpQLSd37AKX0Ca1Yeje6eC6NuliFZj5Spn7I7mXRsa9kBsXMqB-Ag/viewform?edit2=2_ABaOnufxkc3tlHnwqQgLBNKZgEJCUxXYMRiEDNla6guit9NDZ30z5t7XPOkPUIpmZDTO4O8</v>
      </c>
    </row>
    <row r="15" spans="1:9" ht="13.2" x14ac:dyDescent="0.25">
      <c r="A15" s="17" t="str">
        <f ca="1">IFERROR(__xludf.DUMMYFUNCTION("""COMPUTED_VALUE"""),"Callings")</f>
        <v>Callings</v>
      </c>
      <c r="B15" s="18" t="str">
        <f ca="1">IFERROR(__xludf.DUMMYFUNCTION("""COMPUTED_VALUE"""),"Jonathan Fowler")</f>
        <v>Jonathan Fowler</v>
      </c>
      <c r="C15" s="17" t="str">
        <f ca="1">IFERROR(__xludf.DUMMYFUNCTION("""COMPUTED_VALUE"""),"Bishopric 1st Counselor")</f>
        <v>Bishopric 1st Counselor</v>
      </c>
      <c r="D15" s="17" t="str">
        <f ca="1">IFERROR(__xludf.DUMMYFUNCTION("""COMPUTED_VALUE"""),"Lansing")</f>
        <v>Lansing</v>
      </c>
      <c r="E15" s="19" t="str">
        <f ca="1">IFERROR(__xludf.DUMMYFUNCTION("""COMPUTED_VALUE"""),"Declined")</f>
        <v>Declined</v>
      </c>
      <c r="F15" s="20">
        <f ca="1">IFERROR(__xludf.DUMMYFUNCTION("""COMPUTED_VALUE"""),46154.6309034375)</f>
        <v>46154.630903437501</v>
      </c>
      <c r="G15" s="21" t="str">
        <f ca="1">IFERROR(__xludf.DUMMYFUNCTION("""COMPUTED_VALUE"""),"Earl")</f>
        <v>Earl</v>
      </c>
      <c r="H15" s="20"/>
      <c r="I15" s="22" t="str">
        <f ca="1">IFERROR(__xludf.DUMMYFUNCTION("""COMPUTED_VALUE"""),"https://docs.google.com/forms/d/e/1FAIpQLSd37AKX0Ca1Yeje6eC6NuliFZj5Spn7I7mXRsa9kBsXMqB-Ag/viewform?edit2=2_ABaOnucRe9f_0GBTCwiHzMMmuvvc9b4qJ4soH6HsG-cy5Ec9DICJs5nC7loZPIoO4xbzc_M")</f>
        <v>https://docs.google.com/forms/d/e/1FAIpQLSd37AKX0Ca1Yeje6eC6NuliFZj5Spn7I7mXRsa9kBsXMqB-Ag/viewform?edit2=2_ABaOnucRe9f_0GBTCwiHzMMmuvvc9b4qJ4soH6HsG-cy5Ec9DICJs5nC7loZPIoO4xbzc_M</v>
      </c>
    </row>
    <row r="16" spans="1:9" ht="13.2" x14ac:dyDescent="0.25">
      <c r="A16" s="17" t="str">
        <f ca="1">IFERROR(__xludf.DUMMYFUNCTION("""COMPUTED_VALUE"""),"Callings")</f>
        <v>Callings</v>
      </c>
      <c r="B16" s="18" t="str">
        <f ca="1">IFERROR(__xludf.DUMMYFUNCTION("""COMPUTED_VALUE"""),"Christina Cochrane")</f>
        <v>Christina Cochrane</v>
      </c>
      <c r="C16" s="17" t="str">
        <f ca="1">IFERROR(__xludf.DUMMYFUNCTION("""COMPUTED_VALUE"""),"Stake Young Women Assistant Camp Director")</f>
        <v>Stake Young Women Assistant Camp Director</v>
      </c>
      <c r="D16" s="17" t="str">
        <f ca="1">IFERROR(__xludf.DUMMYFUNCTION("""COMPUTED_VALUE"""),"Owosso")</f>
        <v>Owosso</v>
      </c>
      <c r="E16" s="19" t="str">
        <f ca="1">IFERROR(__xludf.DUMMYFUNCTION("""COMPUTED_VALUE"""),"Complete")</f>
        <v>Complete</v>
      </c>
      <c r="F16" s="20">
        <f ca="1">IFERROR(__xludf.DUMMYFUNCTION("""COMPUTED_VALUE"""),46150.5511300231)</f>
        <v>46150.551130023101</v>
      </c>
      <c r="G16" s="21" t="str">
        <f ca="1">IFERROR(__xludf.DUMMYFUNCTION("""COMPUTED_VALUE"""),"B. Thorpe")</f>
        <v>B. Thorpe</v>
      </c>
      <c r="H16" s="20" t="str">
        <f ca="1">IFERROR(__xludf.DUMMYFUNCTION("""COMPUTED_VALUE"""),"B. Thorpe")</f>
        <v>B. Thorpe</v>
      </c>
      <c r="I16" s="22" t="str">
        <f ca="1">IFERROR(__xludf.DUMMYFUNCTION("""COMPUTED_VALUE"""),"https://docs.google.com/forms/d/e/1FAIpQLSd37AKX0Ca1Yeje6eC6NuliFZj5Spn7I7mXRsa9kBsXMqB-Ag/viewform?edit2=2_ABaOnucA31zacn3JFu1qCuYTqRLZNhaLtSeyINIUJtzNgoY7EQeqtKu9wLz4rw9WsHG_BPs")</f>
        <v>https://docs.google.com/forms/d/e/1FAIpQLSd37AKX0Ca1Yeje6eC6NuliFZj5Spn7I7mXRsa9kBsXMqB-Ag/viewform?edit2=2_ABaOnucA31zacn3JFu1qCuYTqRLZNhaLtSeyINIUJtzNgoY7EQeqtKu9wLz4rw9WsHG_BPs</v>
      </c>
    </row>
    <row r="17" spans="1:9" ht="13.2" x14ac:dyDescent="0.25">
      <c r="A17" s="17" t="str">
        <f ca="1">IFERROR(__xludf.DUMMYFUNCTION("""COMPUTED_VALUE"""),"Callings")</f>
        <v>Callings</v>
      </c>
      <c r="B17" s="18" t="str">
        <f ca="1">IFERROR(__xludf.DUMMYFUNCTION("""COMPUTED_VALUE"""),"Stephne Hilgendorf")</f>
        <v>Stephne Hilgendorf</v>
      </c>
      <c r="C17" s="17" t="str">
        <f ca="1">IFERROR(__xludf.DUMMYFUNCTION("""COMPUTED_VALUE"""),"Stake Young Women Camp Director")</f>
        <v>Stake Young Women Camp Director</v>
      </c>
      <c r="D17" s="17" t="str">
        <f ca="1">IFERROR(__xludf.DUMMYFUNCTION("""COMPUTED_VALUE"""),"Williamston")</f>
        <v>Williamston</v>
      </c>
      <c r="E17" s="19" t="str">
        <f ca="1">IFERROR(__xludf.DUMMYFUNCTION("""COMPUTED_VALUE"""),"Complete")</f>
        <v>Complete</v>
      </c>
      <c r="F17" s="20">
        <f ca="1">IFERROR(__xludf.DUMMYFUNCTION("""COMPUTED_VALUE"""),46150.5506931944)</f>
        <v>46150.550693194396</v>
      </c>
      <c r="G17" s="21" t="str">
        <f ca="1">IFERROR(__xludf.DUMMYFUNCTION("""COMPUTED_VALUE"""),"B. Thorpe")</f>
        <v>B. Thorpe</v>
      </c>
      <c r="H17" s="20" t="str">
        <f ca="1">IFERROR(__xludf.DUMMYFUNCTION("""COMPUTED_VALUE"""),"B. Thorpe")</f>
        <v>B. Thorpe</v>
      </c>
      <c r="I17" s="22" t="str">
        <f ca="1">IFERROR(__xludf.DUMMYFUNCTION("""COMPUTED_VALUE"""),"https://docs.google.com/forms/d/e/1FAIpQLSd37AKX0Ca1Yeje6eC6NuliFZj5Spn7I7mXRsa9kBsXMqB-Ag/viewform?edit2=2_ABaOnudDxXSRl5DbWNRLf0wn5v-nqeGjP0LiosAd6ThAG-F4xBoZQW8FXAUDTOqFq6dVLwI")</f>
        <v>https://docs.google.com/forms/d/e/1FAIpQLSd37AKX0Ca1Yeje6eC6NuliFZj5Spn7I7mXRsa9kBsXMqB-Ag/viewform?edit2=2_ABaOnudDxXSRl5DbWNRLf0wn5v-nqeGjP0LiosAd6ThAG-F4xBoZQW8FXAUDTOqFq6dVLwI</v>
      </c>
    </row>
    <row r="18" spans="1:9" ht="13.2" x14ac:dyDescent="0.25">
      <c r="A18" s="17" t="str">
        <f ca="1">IFERROR(__xludf.DUMMYFUNCTION("""COMPUTED_VALUE"""),"Callings")</f>
        <v>Callings</v>
      </c>
      <c r="B18" s="18" t="str">
        <f ca="1">IFERROR(__xludf.DUMMYFUNCTION("""COMPUTED_VALUE"""),"David Polhamus")</f>
        <v>David Polhamus</v>
      </c>
      <c r="C18" s="17" t="str">
        <f ca="1">IFERROR(__xludf.DUMMYFUNCTION("""COMPUTED_VALUE"""),"EQ 2nd Counselor")</f>
        <v>EQ 2nd Counselor</v>
      </c>
      <c r="D18" s="17" t="str">
        <f ca="1">IFERROR(__xludf.DUMMYFUNCTION("""COMPUTED_VALUE"""),"Charlotte")</f>
        <v>Charlotte</v>
      </c>
      <c r="E18" s="19" t="str">
        <f ca="1">IFERROR(__xludf.DUMMYFUNCTION("""COMPUTED_VALUE"""),"Training")</f>
        <v>Training</v>
      </c>
      <c r="F18" s="20">
        <f ca="1">IFERROR(__xludf.DUMMYFUNCTION("""COMPUTED_VALUE"""),46145.6688329166)</f>
        <v>46145.668832916599</v>
      </c>
      <c r="G18" s="21" t="str">
        <f ca="1">IFERROR(__xludf.DUMMYFUNCTION("""COMPUTED_VALUE"""),"Nelson")</f>
        <v>Nelson</v>
      </c>
      <c r="H18" s="20" t="str">
        <f ca="1">IFERROR(__xludf.DUMMYFUNCTION("""COMPUTED_VALUE"""),"Nelson")</f>
        <v>Nelson</v>
      </c>
      <c r="I18" s="22" t="str">
        <f ca="1">IFERROR(__xludf.DUMMYFUNCTION("""COMPUTED_VALUE"""),"https://docs.google.com/forms/d/e/1FAIpQLSd37AKX0Ca1Yeje6eC6NuliFZj5Spn7I7mXRsa9kBsXMqB-Ag/viewform?edit2=2_ABaOnueYWLUCkhOyJAhdd6sl35WX-SzQl1fVfL0acBK39C3PrSGDfh5FKCpV-EWK10pwrqQ")</f>
        <v>https://docs.google.com/forms/d/e/1FAIpQLSd37AKX0Ca1Yeje6eC6NuliFZj5Spn7I7mXRsa9kBsXMqB-Ag/viewform?edit2=2_ABaOnueYWLUCkhOyJAhdd6sl35WX-SzQl1fVfL0acBK39C3PrSGDfh5FKCpV-EWK10pwrqQ</v>
      </c>
    </row>
    <row r="19" spans="1:9" ht="13.2" x14ac:dyDescent="0.25">
      <c r="A19" s="17" t="str">
        <f ca="1">IFERROR(__xludf.DUMMYFUNCTION("""COMPUTED_VALUE"""),"Callings")</f>
        <v>Callings</v>
      </c>
      <c r="B19" s="18" t="str">
        <f ca="1">IFERROR(__xludf.DUMMYFUNCTION("""COMPUTED_VALUE"""),"Jordan Coker")</f>
        <v>Jordan Coker</v>
      </c>
      <c r="C19" s="17" t="str">
        <f ca="1">IFERROR(__xludf.DUMMYFUNCTION("""COMPUTED_VALUE"""),"Elders Quorum President")</f>
        <v>Elders Quorum President</v>
      </c>
      <c r="D19" s="17" t="str">
        <f ca="1">IFERROR(__xludf.DUMMYFUNCTION("""COMPUTED_VALUE"""),"Charlotte")</f>
        <v>Charlotte</v>
      </c>
      <c r="E19" s="19" t="str">
        <f ca="1">IFERROR(__xludf.DUMMYFUNCTION("""COMPUTED_VALUE"""),"Training")</f>
        <v>Training</v>
      </c>
      <c r="F19" s="20">
        <f ca="1">IFERROR(__xludf.DUMMYFUNCTION("""COMPUTED_VALUE"""),46145.667756331)</f>
        <v>46145.667756331</v>
      </c>
      <c r="G19" s="21" t="str">
        <f ca="1">IFERROR(__xludf.DUMMYFUNCTION("""COMPUTED_VALUE"""),"Rawson")</f>
        <v>Rawson</v>
      </c>
      <c r="H19" s="20" t="str">
        <f ca="1">IFERROR(__xludf.DUMMYFUNCTION("""COMPUTED_VALUE"""),"Nelson")</f>
        <v>Nelson</v>
      </c>
      <c r="I19" s="22" t="str">
        <f ca="1">IFERROR(__xludf.DUMMYFUNCTION("""COMPUTED_VALUE"""),"https://docs.google.com/forms/d/e/1FAIpQLSd37AKX0Ca1Yeje6eC6NuliFZj5Spn7I7mXRsa9kBsXMqB-Ag/viewform?edit2=2_ABaOnucjwEQQpKVtkpHfLLSdr7wlsJ123jmny_Y0VAZ3t1dzFLz17xf1AylOpEj0gIyz5Dg")</f>
        <v>https://docs.google.com/forms/d/e/1FAIpQLSd37AKX0Ca1Yeje6eC6NuliFZj5Spn7I7mXRsa9kBsXMqB-Ag/viewform?edit2=2_ABaOnucjwEQQpKVtkpHfLLSdr7wlsJ123jmny_Y0VAZ3t1dzFLz17xf1AylOpEj0gIyz5Dg</v>
      </c>
    </row>
    <row r="20" spans="1:9" ht="13.2" x14ac:dyDescent="0.25">
      <c r="A20" s="17" t="str">
        <f ca="1">IFERROR(__xludf.DUMMYFUNCTION("""COMPUTED_VALUE"""),"Ordinations")</f>
        <v>Ordinations</v>
      </c>
      <c r="B20" s="18" t="str">
        <f ca="1">IFERROR(__xludf.DUMMYFUNCTION("""COMPUTED_VALUE"""),"Skyler Roper")</f>
        <v>Skyler Roper</v>
      </c>
      <c r="C20" s="17" t="str">
        <f ca="1">IFERROR(__xludf.DUMMYFUNCTION("""COMPUTED_VALUE"""),"High Priest")</f>
        <v>High Priest</v>
      </c>
      <c r="D20" s="17" t="str">
        <f ca="1">IFERROR(__xludf.DUMMYFUNCTION("""COMPUTED_VALUE"""),"Portland")</f>
        <v>Portland</v>
      </c>
      <c r="E20" s="19" t="str">
        <f ca="1">IFERROR(__xludf.DUMMYFUNCTION("""COMPUTED_VALUE"""),"Certificate")</f>
        <v>Certificate</v>
      </c>
      <c r="F20" s="20">
        <f ca="1">IFERROR(__xludf.DUMMYFUNCTION("""COMPUTED_VALUE"""),46138.871697662)</f>
        <v>46138.871697661998</v>
      </c>
      <c r="G20" s="21" t="str">
        <f ca="1">IFERROR(__xludf.DUMMYFUNCTION("""COMPUTED_VALUE"""),"Doty")</f>
        <v>Doty</v>
      </c>
      <c r="H20" s="20" t="str">
        <f ca="1">IFERROR(__xludf.DUMMYFUNCTION("""COMPUTED_VALUE""")," ")</f>
        <v xml:space="preserve"> </v>
      </c>
      <c r="I20" s="22" t="str">
        <f ca="1">IFERROR(__xludf.DUMMYFUNCTION("""COMPUTED_VALUE"""),"https://docs.google.com/forms/d/e/1FAIpQLScKfK1Xq_AfFRyZkOlyT2n4Ugr8FdePyUxPct4kYLgKJ3YlMQ/viewform?edit2=2_ABaOnucvgZ8hcmHj8eo8Gttfaa2Xb_k25Mz2N0V6ThqYfwGsiep8vt9_VOKJTNSs6iScXCU")</f>
        <v>https://docs.google.com/forms/d/e/1FAIpQLScKfK1Xq_AfFRyZkOlyT2n4Ugr8FdePyUxPct4kYLgKJ3YlMQ/viewform?edit2=2_ABaOnucvgZ8hcmHj8eo8Gttfaa2Xb_k25Mz2N0V6ThqYfwGsiep8vt9_VOKJTNSs6iScXCU</v>
      </c>
    </row>
    <row r="21" spans="1:9" ht="13.2" x14ac:dyDescent="0.25">
      <c r="A21" s="17" t="str">
        <f ca="1">IFERROR(__xludf.DUMMYFUNCTION("""COMPUTED_VALUE"""),"Callings")</f>
        <v>Callings</v>
      </c>
      <c r="B21" s="18" t="str">
        <f ca="1">IFERROR(__xludf.DUMMYFUNCTION("""COMPUTED_VALUE"""),"Wendy Wiersma")</f>
        <v>Wendy Wiersma</v>
      </c>
      <c r="C21" s="17" t="str">
        <f ca="1">IFERROR(__xludf.DUMMYFUNCTION("""COMPUTED_VALUE"""),"Stake Relief Society Secretary")</f>
        <v>Stake Relief Society Secretary</v>
      </c>
      <c r="D21" s="17" t="str">
        <f ca="1">IFERROR(__xludf.DUMMYFUNCTION("""COMPUTED_VALUE"""),"Lansing")</f>
        <v>Lansing</v>
      </c>
      <c r="E21" s="19" t="str">
        <f ca="1">IFERROR(__xludf.DUMMYFUNCTION("""COMPUTED_VALUE"""),"Complete")</f>
        <v>Complete</v>
      </c>
      <c r="F21" s="20">
        <f ca="1">IFERROR(__xludf.DUMMYFUNCTION("""COMPUTED_VALUE"""),46138.730625)</f>
        <v>46138.730624999997</v>
      </c>
      <c r="G21" s="21" t="str">
        <f ca="1">IFERROR(__xludf.DUMMYFUNCTION("""COMPUTED_VALUE"""),"Pierce")</f>
        <v>Pierce</v>
      </c>
      <c r="H21" s="20" t="str">
        <f ca="1">IFERROR(__xludf.DUMMYFUNCTION("""COMPUTED_VALUE"""),"Earl")</f>
        <v>Earl</v>
      </c>
      <c r="I21" s="22" t="str">
        <f ca="1">IFERROR(__xludf.DUMMYFUNCTION("""COMPUTED_VALUE"""),"https://docs.google.com/forms/d/e/1FAIpQLSd37AKX0Ca1Yeje6eC6NuliFZj5Spn7I7mXRsa9kBsXMqB-Ag/viewform?edit2=2_ABaOnueGV1D7Xj7a5UiuNCsQBshom47Y4WPZn3PVWIRvV1ezyWBf4nAw1EfV1ynT_mKjcGA")</f>
        <v>https://docs.google.com/forms/d/e/1FAIpQLSd37AKX0Ca1Yeje6eC6NuliFZj5Spn7I7mXRsa9kBsXMqB-Ag/viewform?edit2=2_ABaOnueGV1D7Xj7a5UiuNCsQBshom47Y4WPZn3PVWIRvV1ezyWBf4nAw1EfV1ynT_mKjcGA</v>
      </c>
    </row>
    <row r="22" spans="1:9" ht="13.2" x14ac:dyDescent="0.25">
      <c r="A22" s="17" t="str">
        <f ca="1">IFERROR(__xludf.DUMMYFUNCTION("""COMPUTED_VALUE"""),"Callings")</f>
        <v>Callings</v>
      </c>
      <c r="B22" s="18" t="str">
        <f ca="1">IFERROR(__xludf.DUMMYFUNCTION("""COMPUTED_VALUE"""),"Bryce Scott")</f>
        <v>Bryce Scott</v>
      </c>
      <c r="C22" s="17" t="str">
        <f ca="1">IFERROR(__xludf.DUMMYFUNCTION("""COMPUTED_VALUE"""),"EQ 2nd Counselor")</f>
        <v>EQ 2nd Counselor</v>
      </c>
      <c r="D22" s="17" t="str">
        <f ca="1">IFERROR(__xludf.DUMMYFUNCTION("""COMPUTED_VALUE"""),"Owosso")</f>
        <v>Owosso</v>
      </c>
      <c r="E22" s="19" t="str">
        <f ca="1">IFERROR(__xludf.DUMMYFUNCTION("""COMPUTED_VALUE"""),"Complete")</f>
        <v>Complete</v>
      </c>
      <c r="F22" s="20">
        <f ca="1">IFERROR(__xludf.DUMMYFUNCTION("""COMPUTED_VALUE"""),46138.7293877777)</f>
        <v>46138.729387777697</v>
      </c>
      <c r="G22" s="21" t="str">
        <f ca="1">IFERROR(__xludf.DUMMYFUNCTION("""COMPUTED_VALUE"""),"Ward")</f>
        <v>Ward</v>
      </c>
      <c r="H22" s="20" t="str">
        <f ca="1">IFERROR(__xludf.DUMMYFUNCTION("""COMPUTED_VALUE"""),"Ward")</f>
        <v>Ward</v>
      </c>
      <c r="I22" s="22" t="str">
        <f ca="1">IFERROR(__xludf.DUMMYFUNCTION("""COMPUTED_VALUE"""),"https://docs.google.com/forms/d/e/1FAIpQLSd37AKX0Ca1Yeje6eC6NuliFZj5Spn7I7mXRsa9kBsXMqB-Ag/viewform?edit2=2_ABaOnufbV03AkBo9RdW1eUM4xxihGZCxZxrtpDHuj_Qa9D8X4Cfiemy7NEM7mIZWM42VFyA")</f>
        <v>https://docs.google.com/forms/d/e/1FAIpQLSd37AKX0Ca1Yeje6eC6NuliFZj5Spn7I7mXRsa9kBsXMqB-Ag/viewform?edit2=2_ABaOnufbV03AkBo9RdW1eUM4xxihGZCxZxrtpDHuj_Qa9D8X4Cfiemy7NEM7mIZWM42VFyA</v>
      </c>
    </row>
    <row r="23" spans="1:9" ht="13.2" x14ac:dyDescent="0.25">
      <c r="A23" s="17" t="str">
        <f ca="1">IFERROR(__xludf.DUMMYFUNCTION("""COMPUTED_VALUE"""),"Callings")</f>
        <v>Callings</v>
      </c>
      <c r="B23" s="18" t="str">
        <f ca="1">IFERROR(__xludf.DUMMYFUNCTION("""COMPUTED_VALUE"""),"Taylor Smith")</f>
        <v>Taylor Smith</v>
      </c>
      <c r="C23" s="17" t="str">
        <f ca="1">IFERROR(__xludf.DUMMYFUNCTION("""COMPUTED_VALUE"""),"Bishopric 2nd Counselor")</f>
        <v>Bishopric 2nd Counselor</v>
      </c>
      <c r="D23" s="17" t="str">
        <f ca="1">IFERROR(__xludf.DUMMYFUNCTION("""COMPUTED_VALUE"""),"Lansing")</f>
        <v>Lansing</v>
      </c>
      <c r="E23" s="19" t="str">
        <f ca="1">IFERROR(__xludf.DUMMYFUNCTION("""COMPUTED_VALUE"""),"Declined")</f>
        <v>Declined</v>
      </c>
      <c r="F23" s="20">
        <f ca="1">IFERROR(__xludf.DUMMYFUNCTION("""COMPUTED_VALUE"""),46138.5476480092)</f>
        <v>46138.547648009197</v>
      </c>
      <c r="G23" s="21" t="str">
        <f ca="1">IFERROR(__xludf.DUMMYFUNCTION("""COMPUTED_VALUE"""),"Earl")</f>
        <v>Earl</v>
      </c>
      <c r="H23" s="20"/>
      <c r="I23" s="22" t="str">
        <f ca="1">IFERROR(__xludf.DUMMYFUNCTION("""COMPUTED_VALUE"""),"https://docs.google.com/forms/d/e/1FAIpQLSd37AKX0Ca1Yeje6eC6NuliFZj5Spn7I7mXRsa9kBsXMqB-Ag/viewform?edit2=2_ABaOnudH55SYZfYSmbkIYwQkkht9AvvLykPnN9qHu--msSdQL8xr-twF84PLxu7NEweRgsA")</f>
        <v>https://docs.google.com/forms/d/e/1FAIpQLSd37AKX0Ca1Yeje6eC6NuliFZj5Spn7I7mXRsa9kBsXMqB-Ag/viewform?edit2=2_ABaOnudH55SYZfYSmbkIYwQkkht9AvvLykPnN9qHu--msSdQL8xr-twF84PLxu7NEweRgsA</v>
      </c>
    </row>
    <row r="24" spans="1:9" ht="13.2" x14ac:dyDescent="0.25">
      <c r="A24" s="17" t="str">
        <f ca="1">IFERROR(__xludf.DUMMYFUNCTION("""COMPUTED_VALUE"""),"Ordinations")</f>
        <v>Ordinations</v>
      </c>
      <c r="B24" s="18" t="str">
        <f ca="1">IFERROR(__xludf.DUMMYFUNCTION("""COMPUTED_VALUE"""),"Taylor Smith")</f>
        <v>Taylor Smith</v>
      </c>
      <c r="C24" s="17" t="str">
        <f ca="1">IFERROR(__xludf.DUMMYFUNCTION("""COMPUTED_VALUE"""),"High Priest")</f>
        <v>High Priest</v>
      </c>
      <c r="D24" s="17" t="str">
        <f ca="1">IFERROR(__xludf.DUMMYFUNCTION("""COMPUTED_VALUE"""),"Lansing")</f>
        <v>Lansing</v>
      </c>
      <c r="E24" s="19" t="str">
        <f ca="1">IFERROR(__xludf.DUMMYFUNCTION("""COMPUTED_VALUE"""),"Cancelled")</f>
        <v>Cancelled</v>
      </c>
      <c r="F24" s="20">
        <f ca="1">IFERROR(__xludf.DUMMYFUNCTION("""COMPUTED_VALUE"""),46138.5466972337)</f>
        <v>46138.546697233702</v>
      </c>
      <c r="G24" s="21"/>
      <c r="H24" s="20" t="str">
        <f ca="1">IFERROR(__xludf.DUMMYFUNCTION("""COMPUTED_VALUE""")," ")</f>
        <v xml:space="preserve"> </v>
      </c>
      <c r="I24" s="22" t="str">
        <f ca="1">IFERROR(__xludf.DUMMYFUNCTION("""COMPUTED_VALUE"""),"https://docs.google.com/forms/d/e/1FAIpQLScKfK1Xq_AfFRyZkOlyT2n4Ugr8FdePyUxPct4kYLgKJ3YlMQ/viewform?edit2=2_ABaOnufrbZEpQ1VYeN9BXUBQ6v1OzvXmTFVGlu68JTR1rShH00C-sT1ViaSxcZ8c5g36hTc")</f>
        <v>https://docs.google.com/forms/d/e/1FAIpQLScKfK1Xq_AfFRyZkOlyT2n4Ugr8FdePyUxPct4kYLgKJ3YlMQ/viewform?edit2=2_ABaOnufrbZEpQ1VYeN9BXUBQ6v1OzvXmTFVGlu68JTR1rShH00C-sT1ViaSxcZ8c5g36hTc</v>
      </c>
    </row>
    <row r="25" spans="1:9" ht="13.2" x14ac:dyDescent="0.25">
      <c r="A25" s="17" t="str">
        <f ca="1">IFERROR(__xludf.DUMMYFUNCTION("""COMPUTED_VALUE"""),"Callings")</f>
        <v>Callings</v>
      </c>
      <c r="B25" s="18" t="str">
        <f ca="1">IFERROR(__xludf.DUMMYFUNCTION("""COMPUTED_VALUE"""),"Rowan Bauer")</f>
        <v>Rowan Bauer</v>
      </c>
      <c r="C25" s="17" t="str">
        <f ca="1">IFERROR(__xludf.DUMMYFUNCTION("""COMPUTED_VALUE"""),"YSA Bishopric 2nd Counselor")</f>
        <v>YSA Bishopric 2nd Counselor</v>
      </c>
      <c r="D25" s="17" t="str">
        <f ca="1">IFERROR(__xludf.DUMMYFUNCTION("""COMPUTED_VALUE"""),"YSA")</f>
        <v>YSA</v>
      </c>
      <c r="E25" s="19" t="str">
        <f ca="1">IFERROR(__xludf.DUMMYFUNCTION("""COMPUTED_VALUE"""),"Complete")</f>
        <v>Complete</v>
      </c>
      <c r="F25" s="20">
        <f ca="1">IFERROR(__xludf.DUMMYFUNCTION("""COMPUTED_VALUE"""),46131.6066206828)</f>
        <v>46131.606620682804</v>
      </c>
      <c r="G25" s="21" t="str">
        <f ca="1">IFERROR(__xludf.DUMMYFUNCTION("""COMPUTED_VALUE"""),"Earl")</f>
        <v>Earl</v>
      </c>
      <c r="H25" s="20" t="str">
        <f ca="1">IFERROR(__xludf.DUMMYFUNCTION("""COMPUTED_VALUE"""),"Conn")</f>
        <v>Conn</v>
      </c>
      <c r="I25" s="22" t="str">
        <f ca="1">IFERROR(__xludf.DUMMYFUNCTION("""COMPUTED_VALUE"""),"https://docs.google.com/forms/d/e/1FAIpQLSd37AKX0Ca1Yeje6eC6NuliFZj5Spn7I7mXRsa9kBsXMqB-Ag/viewform?edit2=2_ABaOnucxId1hmpsDz6gRK7hNV_VfYF7Ljm--qJMJ1WHEGYrYk6cqVqaqC_ZrAoVuuRa0OZs")</f>
        <v>https://docs.google.com/forms/d/e/1FAIpQLSd37AKX0Ca1Yeje6eC6NuliFZj5Spn7I7mXRsa9kBsXMqB-Ag/viewform?edit2=2_ABaOnucxId1hmpsDz6gRK7hNV_VfYF7Ljm--qJMJ1WHEGYrYk6cqVqaqC_ZrAoVuuRa0OZs</v>
      </c>
    </row>
    <row r="26" spans="1:9" ht="13.2" x14ac:dyDescent="0.25">
      <c r="A26" s="17" t="str">
        <f ca="1">IFERROR(__xludf.DUMMYFUNCTION("""COMPUTED_VALUE"""),"Callings")</f>
        <v>Callings</v>
      </c>
      <c r="B26" s="18" t="str">
        <f ca="1">IFERROR(__xludf.DUMMYFUNCTION("""COMPUTED_VALUE"""),"Lori Conn")</f>
        <v>Lori Conn</v>
      </c>
      <c r="C26" s="17" t="str">
        <f ca="1">IFERROR(__xludf.DUMMYFUNCTION("""COMPUTED_VALUE"""),"Stake Young Single Adult Advisor")</f>
        <v>Stake Young Single Adult Advisor</v>
      </c>
      <c r="D26" s="17" t="str">
        <f ca="1">IFERROR(__xludf.DUMMYFUNCTION("""COMPUTED_VALUE"""),"Holt")</f>
        <v>Holt</v>
      </c>
      <c r="E26" s="19" t="str">
        <f ca="1">IFERROR(__xludf.DUMMYFUNCTION("""COMPUTED_VALUE"""),"Complete")</f>
        <v>Complete</v>
      </c>
      <c r="F26" s="20">
        <f ca="1">IFERROR(__xludf.DUMMYFUNCTION("""COMPUTED_VALUE"""),46128.8321944328)</f>
        <v>46128.832194432798</v>
      </c>
      <c r="G26" s="21" t="str">
        <f ca="1">IFERROR(__xludf.DUMMYFUNCTION("""COMPUTED_VALUE"""),"Rawson")</f>
        <v>Rawson</v>
      </c>
      <c r="H26" s="20" t="str">
        <f ca="1">IFERROR(__xludf.DUMMYFUNCTION("""COMPUTED_VALUE"""),"Earl")</f>
        <v>Earl</v>
      </c>
      <c r="I26" s="22" t="str">
        <f ca="1">IFERROR(__xludf.DUMMYFUNCTION("""COMPUTED_VALUE"""),"https://docs.google.com/forms/d/e/1FAIpQLSd37AKX0Ca1Yeje6eC6NuliFZj5Spn7I7mXRsa9kBsXMqB-Ag/viewform?edit2=2_ABaOnuccYH0o4h2SxHKKEb1DF41CCIj9Qlcjj535Y-OtOUeelvdwEFGsNYtsH42NN-yaJms")</f>
        <v>https://docs.google.com/forms/d/e/1FAIpQLSd37AKX0Ca1Yeje6eC6NuliFZj5Spn7I7mXRsa9kBsXMqB-Ag/viewform?edit2=2_ABaOnuccYH0o4h2SxHKKEb1DF41CCIj9Qlcjj535Y-OtOUeelvdwEFGsNYtsH42NN-yaJms</v>
      </c>
    </row>
    <row r="27" spans="1:9" ht="13.2" x14ac:dyDescent="0.25">
      <c r="A27" s="17" t="str">
        <f ca="1">IFERROR(__xludf.DUMMYFUNCTION("""COMPUTED_VALUE"""),"Callings")</f>
        <v>Callings</v>
      </c>
      <c r="B27" s="18" t="str">
        <f ca="1">IFERROR(__xludf.DUMMYFUNCTION("""COMPUTED_VALUE"""),"Timothy Conn")</f>
        <v>Timothy Conn</v>
      </c>
      <c r="C27" s="17" t="str">
        <f ca="1">IFERROR(__xludf.DUMMYFUNCTION("""COMPUTED_VALUE"""),"Stake High Councilor &amp; Stake Young Single Adult Advisor")</f>
        <v>Stake High Councilor &amp; Stake Young Single Adult Advisor</v>
      </c>
      <c r="D27" s="17" t="str">
        <f ca="1">IFERROR(__xludf.DUMMYFUNCTION("""COMPUTED_VALUE"""),"Holt")</f>
        <v>Holt</v>
      </c>
      <c r="E27" s="19" t="str">
        <f ca="1">IFERROR(__xludf.DUMMYFUNCTION("""COMPUTED_VALUE"""),"Complete")</f>
        <v>Complete</v>
      </c>
      <c r="F27" s="20">
        <f ca="1">IFERROR(__xludf.DUMMYFUNCTION("""COMPUTED_VALUE"""),46128.8317955787)</f>
        <v>46128.831795578699</v>
      </c>
      <c r="G27" s="21" t="str">
        <f ca="1">IFERROR(__xludf.DUMMYFUNCTION("""COMPUTED_VALUE"""),"Rawson")</f>
        <v>Rawson</v>
      </c>
      <c r="H27" s="20" t="str">
        <f ca="1">IFERROR(__xludf.DUMMYFUNCTION("""COMPUTED_VALUE"""),"Earl")</f>
        <v>Earl</v>
      </c>
      <c r="I27" s="22" t="str">
        <f ca="1">IFERROR(__xludf.DUMMYFUNCTION("""COMPUTED_VALUE"""),"https://docs.google.com/forms/d/e/1FAIpQLSd37AKX0Ca1Yeje6eC6NuliFZj5Spn7I7mXRsa9kBsXMqB-Ag/viewform?edit2=2_ABaOnuf3ncTLu9rMQrtuYSdYB6wY2MaD6cBPF-ruKky8jNGdipWjeWa1LuFeurdRnHZ53v4")</f>
        <v>https://docs.google.com/forms/d/e/1FAIpQLSd37AKX0Ca1Yeje6eC6NuliFZj5Spn7I7mXRsa9kBsXMqB-Ag/viewform?edit2=2_ABaOnuf3ncTLu9rMQrtuYSdYB6wY2MaD6cBPF-ruKky8jNGdipWjeWa1LuFeurdRnHZ53v4</v>
      </c>
    </row>
    <row r="28" spans="1:9" ht="13.2" x14ac:dyDescent="0.25">
      <c r="A28" s="17" t="str">
        <f ca="1">IFERROR(__xludf.DUMMYFUNCTION("""COMPUTED_VALUE"""),"Callings")</f>
        <v>Callings</v>
      </c>
      <c r="B28" s="18" t="str">
        <f ca="1">IFERROR(__xludf.DUMMYFUNCTION("""COMPUTED_VALUE"""),"Mark Joseph")</f>
        <v>Mark Joseph</v>
      </c>
      <c r="C28" s="17" t="str">
        <f ca="1">IFERROR(__xludf.DUMMYFUNCTION("""COMPUTED_VALUE"""),"Stake High Councilor")</f>
        <v>Stake High Councilor</v>
      </c>
      <c r="D28" s="17" t="str">
        <f ca="1">IFERROR(__xludf.DUMMYFUNCTION("""COMPUTED_VALUE"""),"St Johns")</f>
        <v>St Johns</v>
      </c>
      <c r="E28" s="19" t="str">
        <f ca="1">IFERROR(__xludf.DUMMYFUNCTION("""COMPUTED_VALUE"""),"Complete")</f>
        <v>Complete</v>
      </c>
      <c r="F28" s="20">
        <f ca="1">IFERROR(__xludf.DUMMYFUNCTION("""COMPUTED_VALUE"""),46128.8314964004)</f>
        <v>46128.831496400402</v>
      </c>
      <c r="G28" s="21" t="str">
        <f ca="1">IFERROR(__xludf.DUMMYFUNCTION("""COMPUTED_VALUE"""),"Rawson")</f>
        <v>Rawson</v>
      </c>
      <c r="H28" s="20" t="str">
        <f ca="1">IFERROR(__xludf.DUMMYFUNCTION("""COMPUTED_VALUE"""),"Earl")</f>
        <v>Earl</v>
      </c>
      <c r="I28" s="22" t="str">
        <f ca="1">IFERROR(__xludf.DUMMYFUNCTION("""COMPUTED_VALUE"""),"https://docs.google.com/forms/d/e/1FAIpQLSd37AKX0Ca1Yeje6eC6NuliFZj5Spn7I7mXRsa9kBsXMqB-Ag/viewform?edit2=2_ABaOnuduAuNuy0LPVF2WvFk0z94zUuE8zokX0hVnLbnIAICBr-sugpCs4I7SQ9GJeE9jGtU")</f>
        <v>https://docs.google.com/forms/d/e/1FAIpQLSd37AKX0Ca1Yeje6eC6NuliFZj5Spn7I7mXRsa9kBsXMqB-Ag/viewform?edit2=2_ABaOnuduAuNuy0LPVF2WvFk0z94zUuE8zokX0hVnLbnIAICBr-sugpCs4I7SQ9GJeE9jGtU</v>
      </c>
    </row>
    <row r="29" spans="1:9" ht="13.2" x14ac:dyDescent="0.25">
      <c r="A29" s="17" t="str">
        <f ca="1">IFERROR(__xludf.DUMMYFUNCTION("""COMPUTED_VALUE"""),"Ordinations")</f>
        <v>Ordinations</v>
      </c>
      <c r="B29" s="18" t="str">
        <f ca="1">IFERROR(__xludf.DUMMYFUNCTION("""COMPUTED_VALUE"""),"Clayton Hoekwater")</f>
        <v>Clayton Hoekwater</v>
      </c>
      <c r="C29" s="17" t="str">
        <f ca="1">IFERROR(__xludf.DUMMYFUNCTION("""COMPUTED_VALUE"""),"Elder")</f>
        <v>Elder</v>
      </c>
      <c r="D29" s="17" t="str">
        <f ca="1">IFERROR(__xludf.DUMMYFUNCTION("""COMPUTED_VALUE"""),"YSA")</f>
        <v>YSA</v>
      </c>
      <c r="E29" s="19" t="str">
        <f ca="1">IFERROR(__xludf.DUMMYFUNCTION("""COMPUTED_VALUE"""),"Complete")</f>
        <v>Complete</v>
      </c>
      <c r="F29" s="20">
        <f ca="1">IFERROR(__xludf.DUMMYFUNCTION("""COMPUTED_VALUE"""),46126.4431230787)</f>
        <v>46126.443123078701</v>
      </c>
      <c r="G29" s="21"/>
      <c r="H29" s="20" t="str">
        <f ca="1">IFERROR(__xludf.DUMMYFUNCTION("""COMPUTED_VALUE""")," ")</f>
        <v xml:space="preserve"> </v>
      </c>
      <c r="I29" s="22" t="str">
        <f ca="1">IFERROR(__xludf.DUMMYFUNCTION("""COMPUTED_VALUE"""),"https://docs.google.com/forms/d/e/1FAIpQLScKfK1Xq_AfFRyZkOlyT2n4Ugr8FdePyUxPct4kYLgKJ3YlMQ/viewform?edit2=2_ABaOnufjK8xhuiFA2hyUBTaEq6LVGLdbtrDPBexyDuYH7Ij3F2jxWiXRsszKp7UkAhq6w2w")</f>
        <v>https://docs.google.com/forms/d/e/1FAIpQLScKfK1Xq_AfFRyZkOlyT2n4Ugr8FdePyUxPct4kYLgKJ3YlMQ/viewform?edit2=2_ABaOnufjK8xhuiFA2hyUBTaEq6LVGLdbtrDPBexyDuYH7Ij3F2jxWiXRsszKp7UkAhq6w2w</v>
      </c>
    </row>
    <row r="30" spans="1:9" ht="13.2" x14ac:dyDescent="0.25">
      <c r="A30" s="17" t="str">
        <f ca="1">IFERROR(__xludf.DUMMYFUNCTION("""COMPUTED_VALUE"""),"Callings")</f>
        <v>Callings</v>
      </c>
      <c r="B30" s="18" t="str">
        <f ca="1">IFERROR(__xludf.DUMMYFUNCTION("""COMPUTED_VALUE"""),"Mark Witbeck")</f>
        <v>Mark Witbeck</v>
      </c>
      <c r="C30" s="17" t="str">
        <f ca="1">IFERROR(__xludf.DUMMYFUNCTION("""COMPUTED_VALUE"""),"Branch Presidency 2nd Counselor")</f>
        <v>Branch Presidency 2nd Counselor</v>
      </c>
      <c r="D30" s="17" t="str">
        <f ca="1">IFERROR(__xludf.DUMMYFUNCTION("""COMPUTED_VALUE"""),"Portland")</f>
        <v>Portland</v>
      </c>
      <c r="E30" s="19" t="str">
        <f ca="1">IFERROR(__xludf.DUMMYFUNCTION("""COMPUTED_VALUE"""),"Training")</f>
        <v>Training</v>
      </c>
      <c r="F30" s="20">
        <f ca="1">IFERROR(__xludf.DUMMYFUNCTION("""COMPUTED_VALUE"""),46124.5513174189)</f>
        <v>46124.551317418904</v>
      </c>
      <c r="G30" s="21" t="str">
        <f ca="1">IFERROR(__xludf.DUMMYFUNCTION("""COMPUTED_VALUE"""),"Earl")</f>
        <v>Earl</v>
      </c>
      <c r="H30" s="20" t="str">
        <f ca="1">IFERROR(__xludf.DUMMYFUNCTION("""COMPUTED_VALUE"""),"Earl")</f>
        <v>Earl</v>
      </c>
      <c r="I30" s="22" t="str">
        <f ca="1">IFERROR(__xludf.DUMMYFUNCTION("""COMPUTED_VALUE"""),"https://docs.google.com/forms/d/e/1FAIpQLSd37AKX0Ca1Yeje6eC6NuliFZj5Spn7I7mXRsa9kBsXMqB-Ag/viewform?edit2=2_ABaOnuf6drCWA-IZBlNqDAotDEssKORUs-S1i6ryHOYbNmm5r74FiPSdK2RgyzyGz8V24y8")</f>
        <v>https://docs.google.com/forms/d/e/1FAIpQLSd37AKX0Ca1Yeje6eC6NuliFZj5Spn7I7mXRsa9kBsXMqB-Ag/viewform?edit2=2_ABaOnuf6drCWA-IZBlNqDAotDEssKORUs-S1i6ryHOYbNmm5r74FiPSdK2RgyzyGz8V24y8</v>
      </c>
    </row>
    <row r="31" spans="1:9" ht="13.2" x14ac:dyDescent="0.25">
      <c r="A31" s="17" t="str">
        <f ca="1">IFERROR(__xludf.DUMMYFUNCTION("""COMPUTED_VALUE"""),"Callings")</f>
        <v>Callings</v>
      </c>
      <c r="B31" s="18" t="str">
        <f ca="1">IFERROR(__xludf.DUMMYFUNCTION("""COMPUTED_VALUE"""),"Del Sterling")</f>
        <v>Del Sterling</v>
      </c>
      <c r="C31" s="17" t="str">
        <f ca="1">IFERROR(__xludf.DUMMYFUNCTION("""COMPUTED_VALUE"""),"Branch Presidency 1st Counselor")</f>
        <v>Branch Presidency 1st Counselor</v>
      </c>
      <c r="D31" s="17" t="str">
        <f ca="1">IFERROR(__xludf.DUMMYFUNCTION("""COMPUTED_VALUE"""),"Portland")</f>
        <v>Portland</v>
      </c>
      <c r="E31" s="19" t="str">
        <f ca="1">IFERROR(__xludf.DUMMYFUNCTION("""COMPUTED_VALUE"""),"Training")</f>
        <v>Training</v>
      </c>
      <c r="F31" s="20">
        <f ca="1">IFERROR(__xludf.DUMMYFUNCTION("""COMPUTED_VALUE"""),46124.5499401504)</f>
        <v>46124.549940150398</v>
      </c>
      <c r="G31" s="21" t="str">
        <f ca="1">IFERROR(__xludf.DUMMYFUNCTION("""COMPUTED_VALUE"""),"Earl")</f>
        <v>Earl</v>
      </c>
      <c r="H31" s="20" t="str">
        <f ca="1">IFERROR(__xludf.DUMMYFUNCTION("""COMPUTED_VALUE"""),"Earl")</f>
        <v>Earl</v>
      </c>
      <c r="I31" s="22" t="str">
        <f ca="1">IFERROR(__xludf.DUMMYFUNCTION("""COMPUTED_VALUE"""),"https://docs.google.com/forms/d/e/1FAIpQLSd37AKX0Ca1Yeje6eC6NuliFZj5Spn7I7mXRsa9kBsXMqB-Ag/viewform?edit2=2_ABaOnucXYh7TXzTa8Eiqh6G2iI9SDkB9z7HxXc-muPtZY1lxw5j5SfdnONWyGViUYdQGjOE")</f>
        <v>https://docs.google.com/forms/d/e/1FAIpQLSd37AKX0Ca1Yeje6eC6NuliFZj5Spn7I7mXRsa9kBsXMqB-Ag/viewform?edit2=2_ABaOnucXYh7TXzTa8Eiqh6G2iI9SDkB9z7HxXc-muPtZY1lxw5j5SfdnONWyGViUYdQGjOE</v>
      </c>
    </row>
    <row r="32" spans="1:9" ht="13.2" x14ac:dyDescent="0.25">
      <c r="A32" s="17" t="str">
        <f ca="1">IFERROR(__xludf.DUMMYFUNCTION("""COMPUTED_VALUE"""),"Callings")</f>
        <v>Callings</v>
      </c>
      <c r="B32" s="18" t="str">
        <f ca="1">IFERROR(__xludf.DUMMYFUNCTION("""COMPUTED_VALUE"""),"Barbara Miller")</f>
        <v>Barbara Miller</v>
      </c>
      <c r="C32" s="17" t="str">
        <f ca="1">IFERROR(__xludf.DUMMYFUNCTION("""COMPUTED_VALUE"""),"Stake YW Secretary")</f>
        <v>Stake YW Secretary</v>
      </c>
      <c r="D32" s="17" t="str">
        <f ca="1">IFERROR(__xludf.DUMMYFUNCTION("""COMPUTED_VALUE"""),"Williamston")</f>
        <v>Williamston</v>
      </c>
      <c r="E32" s="19" t="str">
        <f ca="1">IFERROR(__xludf.DUMMYFUNCTION("""COMPUTED_VALUE"""),"Training")</f>
        <v>Training</v>
      </c>
      <c r="F32" s="20">
        <f ca="1">IFERROR(__xludf.DUMMYFUNCTION("""COMPUTED_VALUE"""),46124.5453848842)</f>
        <v>46124.545384884201</v>
      </c>
      <c r="G32" s="21" t="str">
        <f ca="1">IFERROR(__xludf.DUMMYFUNCTION("""COMPUTED_VALUE"""),"B. Thorpe")</f>
        <v>B. Thorpe</v>
      </c>
      <c r="H32" s="20" t="str">
        <f ca="1">IFERROR(__xludf.DUMMYFUNCTION("""COMPUTED_VALUE"""),"B. Thorpe")</f>
        <v>B. Thorpe</v>
      </c>
      <c r="I32" s="22" t="str">
        <f ca="1">IFERROR(__xludf.DUMMYFUNCTION("""COMPUTED_VALUE"""),"https://docs.google.com/forms/d/e/1FAIpQLSd37AKX0Ca1Yeje6eC6NuliFZj5Spn7I7mXRsa9kBsXMqB-Ag/viewform?edit2=2_ABaOnueqOA9jOURj75fgFVzTPRoS4CvrWRrmHCOIfJ0-em66xU40R2VatgNoW4WQt5tTjMU")</f>
        <v>https://docs.google.com/forms/d/e/1FAIpQLSd37AKX0Ca1Yeje6eC6NuliFZj5Spn7I7mXRsa9kBsXMqB-Ag/viewform?edit2=2_ABaOnueqOA9jOURj75fgFVzTPRoS4CvrWRrmHCOIfJ0-em66xU40R2VatgNoW4WQt5tTjMU</v>
      </c>
    </row>
    <row r="33" spans="1:9" ht="13.2" x14ac:dyDescent="0.25">
      <c r="A33" s="17" t="str">
        <f ca="1">IFERROR(__xludf.DUMMYFUNCTION("""COMPUTED_VALUE"""),"Ordinations")</f>
        <v>Ordinations</v>
      </c>
      <c r="B33" s="18" t="str">
        <f ca="1">IFERROR(__xludf.DUMMYFUNCTION("""COMPUTED_VALUE"""),"David Polhamus")</f>
        <v>David Polhamus</v>
      </c>
      <c r="C33" s="17" t="str">
        <f ca="1">IFERROR(__xludf.DUMMYFUNCTION("""COMPUTED_VALUE"""),"Elder")</f>
        <v>Elder</v>
      </c>
      <c r="D33" s="17" t="str">
        <f ca="1">IFERROR(__xludf.DUMMYFUNCTION("""COMPUTED_VALUE"""),"Charlotte")</f>
        <v>Charlotte</v>
      </c>
      <c r="E33" s="19" t="str">
        <f ca="1">IFERROR(__xludf.DUMMYFUNCTION("""COMPUTED_VALUE"""),"Complete")</f>
        <v>Complete</v>
      </c>
      <c r="F33" s="20">
        <f ca="1">IFERROR(__xludf.DUMMYFUNCTION("""COMPUTED_VALUE"""),46110.6071438773)</f>
        <v>46110.6071438773</v>
      </c>
      <c r="G33" s="21" t="str">
        <f ca="1">IFERROR(__xludf.DUMMYFUNCTION("""COMPUTED_VALUE"""),"Nelson")</f>
        <v>Nelson</v>
      </c>
      <c r="H33" s="20" t="str">
        <f ca="1">IFERROR(__xludf.DUMMYFUNCTION("""COMPUTED_VALUE""")," ")</f>
        <v xml:space="preserve"> </v>
      </c>
      <c r="I33" s="22" t="str">
        <f ca="1">IFERROR(__xludf.DUMMYFUNCTION("""COMPUTED_VALUE"""),"https://docs.google.com/forms/d/e/1FAIpQLScKfK1Xq_AfFRyZkOlyT2n4Ugr8FdePyUxPct4kYLgKJ3YlMQ/viewform?edit2=2_ABaOnucfG3bYGvshe4WwfOGUK3uVop5MwarUCM8Dz2zoZnlJ3EKFUr5l140YAU18grrR6Jg")</f>
        <v>https://docs.google.com/forms/d/e/1FAIpQLScKfK1Xq_AfFRyZkOlyT2n4Ugr8FdePyUxPct4kYLgKJ3YlMQ/viewform?edit2=2_ABaOnucfG3bYGvshe4WwfOGUK3uVop5MwarUCM8Dz2zoZnlJ3EKFUr5l140YAU18grrR6Jg</v>
      </c>
    </row>
    <row r="34" spans="1:9" ht="13.2" x14ac:dyDescent="0.25">
      <c r="A34" s="17" t="str">
        <f ca="1">IFERROR(__xludf.DUMMYFUNCTION("""COMPUTED_VALUE"""),"Ordinations")</f>
        <v>Ordinations</v>
      </c>
      <c r="B34" s="18" t="str">
        <f ca="1">IFERROR(__xludf.DUMMYFUNCTION("""COMPUTED_VALUE"""),"Ian Webster")</f>
        <v>Ian Webster</v>
      </c>
      <c r="C34" s="17" t="str">
        <f ca="1">IFERROR(__xludf.DUMMYFUNCTION("""COMPUTED_VALUE"""),"Elder")</f>
        <v>Elder</v>
      </c>
      <c r="D34" s="17" t="str">
        <f ca="1">IFERROR(__xludf.DUMMYFUNCTION("""COMPUTED_VALUE"""),"YSA")</f>
        <v>YSA</v>
      </c>
      <c r="E34" s="19" t="str">
        <f ca="1">IFERROR(__xludf.DUMMYFUNCTION("""COMPUTED_VALUE"""),"Complete")</f>
        <v>Complete</v>
      </c>
      <c r="F34" s="20">
        <f ca="1">IFERROR(__xludf.DUMMYFUNCTION("""COMPUTED_VALUE"""),46110.6069502083)</f>
        <v>46110.606950208297</v>
      </c>
      <c r="G34" s="21" t="str">
        <f ca="1">IFERROR(__xludf.DUMMYFUNCTION("""COMPUTED_VALUE"""),"Conn")</f>
        <v>Conn</v>
      </c>
      <c r="H34" s="20" t="str">
        <f ca="1">IFERROR(__xludf.DUMMYFUNCTION("""COMPUTED_VALUE""")," ")</f>
        <v xml:space="preserve"> </v>
      </c>
      <c r="I34" s="22" t="str">
        <f ca="1">IFERROR(__xludf.DUMMYFUNCTION("""COMPUTED_VALUE"""),"https://docs.google.com/forms/d/e/1FAIpQLScKfK1Xq_AfFRyZkOlyT2n4Ugr8FdePyUxPct4kYLgKJ3YlMQ/viewform?edit2=2_ABaOnueBzNAJWdlR9Lt93Tux99b3FldCN3d7GgypcpVrLDy-6bAwlrNPRCs-i1euwAyyqaQ")</f>
        <v>https://docs.google.com/forms/d/e/1FAIpQLScKfK1Xq_AfFRyZkOlyT2n4Ugr8FdePyUxPct4kYLgKJ3YlMQ/viewform?edit2=2_ABaOnueBzNAJWdlR9Lt93Tux99b3FldCN3d7GgypcpVrLDy-6bAwlrNPRCs-i1euwAyyqaQ</v>
      </c>
    </row>
    <row r="35" spans="1:9" ht="13.2" x14ac:dyDescent="0.25">
      <c r="A35" s="17" t="str">
        <f ca="1">IFERROR(__xludf.DUMMYFUNCTION("""COMPUTED_VALUE"""),"Ordinations")</f>
        <v>Ordinations</v>
      </c>
      <c r="B35" s="18" t="str">
        <f ca="1">IFERROR(__xludf.DUMMYFUNCTION("""COMPUTED_VALUE"""),"David Cramer")</f>
        <v>David Cramer</v>
      </c>
      <c r="C35" s="17" t="str">
        <f ca="1">IFERROR(__xludf.DUMMYFUNCTION("""COMPUTED_VALUE"""),"Elder")</f>
        <v>Elder</v>
      </c>
      <c r="D35" s="17" t="str">
        <f ca="1">IFERROR(__xludf.DUMMYFUNCTION("""COMPUTED_VALUE"""),"Williamston")</f>
        <v>Williamston</v>
      </c>
      <c r="E35" s="19" t="str">
        <f ca="1">IFERROR(__xludf.DUMMYFUNCTION("""COMPUTED_VALUE"""),"Complete")</f>
        <v>Complete</v>
      </c>
      <c r="F35" s="20">
        <f ca="1">IFERROR(__xludf.DUMMYFUNCTION("""COMPUTED_VALUE"""),46110.6067742361)</f>
        <v>46110.606774236097</v>
      </c>
      <c r="G35" s="21" t="str">
        <f ca="1">IFERROR(__xludf.DUMMYFUNCTION("""COMPUTED_VALUE"""),"Bills")</f>
        <v>Bills</v>
      </c>
      <c r="H35" s="20" t="str">
        <f ca="1">IFERROR(__xludf.DUMMYFUNCTION("""COMPUTED_VALUE""")," ")</f>
        <v xml:space="preserve"> </v>
      </c>
      <c r="I35" s="22" t="str">
        <f ca="1">IFERROR(__xludf.DUMMYFUNCTION("""COMPUTED_VALUE"""),"https://docs.google.com/forms/d/e/1FAIpQLScKfK1Xq_AfFRyZkOlyT2n4Ugr8FdePyUxPct4kYLgKJ3YlMQ/viewform?edit2=2_ABaOnuclPqeAJQSqGHtJmlpXSjJSapyprWpZux4R9d_vojADBzV8V4vkS47Auvu3HSa2bZA")</f>
        <v>https://docs.google.com/forms/d/e/1FAIpQLScKfK1Xq_AfFRyZkOlyT2n4Ugr8FdePyUxPct4kYLgKJ3YlMQ/viewform?edit2=2_ABaOnuclPqeAJQSqGHtJmlpXSjJSapyprWpZux4R9d_vojADBzV8V4vkS47Auvu3HSa2bZA</v>
      </c>
    </row>
    <row r="36" spans="1:9" ht="13.2" x14ac:dyDescent="0.25">
      <c r="A36" s="17" t="str">
        <f ca="1">IFERROR(__xludf.DUMMYFUNCTION("""COMPUTED_VALUE"""),"Ordinations")</f>
        <v>Ordinations</v>
      </c>
      <c r="B36" s="18" t="str">
        <f ca="1">IFERROR(__xludf.DUMMYFUNCTION("""COMPUTED_VALUE"""),"Kenneth Vansconis")</f>
        <v>Kenneth Vansconis</v>
      </c>
      <c r="C36" s="17" t="str">
        <f ca="1">IFERROR(__xludf.DUMMYFUNCTION("""COMPUTED_VALUE"""),"Elder")</f>
        <v>Elder</v>
      </c>
      <c r="D36" s="17" t="str">
        <f ca="1">IFERROR(__xludf.DUMMYFUNCTION("""COMPUTED_VALUE"""),"Portland")</f>
        <v>Portland</v>
      </c>
      <c r="E36" s="19" t="str">
        <f ca="1">IFERROR(__xludf.DUMMYFUNCTION("""COMPUTED_VALUE"""),"Complete")</f>
        <v>Complete</v>
      </c>
      <c r="F36" s="20">
        <f ca="1">IFERROR(__xludf.DUMMYFUNCTION("""COMPUTED_VALUE"""),46110.605859699)</f>
        <v>46110.605859698997</v>
      </c>
      <c r="G36" s="21" t="str">
        <f ca="1">IFERROR(__xludf.DUMMYFUNCTION("""COMPUTED_VALUE"""),"Doty")</f>
        <v>Doty</v>
      </c>
      <c r="H36" s="20" t="str">
        <f ca="1">IFERROR(__xludf.DUMMYFUNCTION("""COMPUTED_VALUE""")," ")</f>
        <v xml:space="preserve"> </v>
      </c>
      <c r="I36" s="22" t="str">
        <f ca="1">IFERROR(__xludf.DUMMYFUNCTION("""COMPUTED_VALUE"""),"https://docs.google.com/forms/d/e/1FAIpQLScKfK1Xq_AfFRyZkOlyT2n4Ugr8FdePyUxPct4kYLgKJ3YlMQ/viewform?edit2=2_ABaOnufLliA2CJi29kg7rYKT-h87l0w8X4u7qJ1sLy7FAlkOe3QXfjX1FkbVGDpHIm5JPxk")</f>
        <v>https://docs.google.com/forms/d/e/1FAIpQLScKfK1Xq_AfFRyZkOlyT2n4Ugr8FdePyUxPct4kYLgKJ3YlMQ/viewform?edit2=2_ABaOnufLliA2CJi29kg7rYKT-h87l0w8X4u7qJ1sLy7FAlkOe3QXfjX1FkbVGDpHIm5JPxk</v>
      </c>
    </row>
    <row r="37" spans="1:9" ht="13.2" x14ac:dyDescent="0.25">
      <c r="A37" s="17" t="str">
        <f ca="1">IFERROR(__xludf.DUMMYFUNCTION("""COMPUTED_VALUE"""),"Ordinations")</f>
        <v>Ordinations</v>
      </c>
      <c r="B37" s="18" t="str">
        <f ca="1">IFERROR(__xludf.DUMMYFUNCTION("""COMPUTED_VALUE"""),"Sean Potter")</f>
        <v>Sean Potter</v>
      </c>
      <c r="C37" s="17" t="str">
        <f ca="1">IFERROR(__xludf.DUMMYFUNCTION("""COMPUTED_VALUE"""),"Elder")</f>
        <v>Elder</v>
      </c>
      <c r="D37" s="17" t="str">
        <f ca="1">IFERROR(__xludf.DUMMYFUNCTION("""COMPUTED_VALUE"""),"Holt")</f>
        <v>Holt</v>
      </c>
      <c r="E37" s="19" t="str">
        <f ca="1">IFERROR(__xludf.DUMMYFUNCTION("""COMPUTED_VALUE"""),"Complete")</f>
        <v>Complete</v>
      </c>
      <c r="F37" s="20">
        <f ca="1">IFERROR(__xludf.DUMMYFUNCTION("""COMPUTED_VALUE"""),46110.604446956)</f>
        <v>46110.604446956</v>
      </c>
      <c r="G37" s="21" t="str">
        <f ca="1">IFERROR(__xludf.DUMMYFUNCTION("""COMPUTED_VALUE"""),"B. Thorpe")</f>
        <v>B. Thorpe</v>
      </c>
      <c r="H37" s="20" t="str">
        <f ca="1">IFERROR(__xludf.DUMMYFUNCTION("""COMPUTED_VALUE""")," ")</f>
        <v xml:space="preserve"> </v>
      </c>
      <c r="I37" s="22" t="str">
        <f ca="1">IFERROR(__xludf.DUMMYFUNCTION("""COMPUTED_VALUE"""),"https://docs.google.com/forms/d/e/1FAIpQLScKfK1Xq_AfFRyZkOlyT2n4Ugr8FdePyUxPct4kYLgKJ3YlMQ/viewform?edit2=2_ABaOnucoVVW69SVQ3gNVqXcMOXeDIKpQsj0faJz8KwXftEjdhci2kGRFvnbK77xCKE72FXU")</f>
        <v>https://docs.google.com/forms/d/e/1FAIpQLScKfK1Xq_AfFRyZkOlyT2n4Ugr8FdePyUxPct4kYLgKJ3YlMQ/viewform?edit2=2_ABaOnucoVVW69SVQ3gNVqXcMOXeDIKpQsj0faJz8KwXftEjdhci2kGRFvnbK77xCKE72FXU</v>
      </c>
    </row>
    <row r="38" spans="1:9" ht="13.2" x14ac:dyDescent="0.25">
      <c r="A38" s="17" t="str">
        <f ca="1">IFERROR(__xludf.DUMMYFUNCTION("""COMPUTED_VALUE"""),"Callings")</f>
        <v>Callings</v>
      </c>
      <c r="B38" s="18" t="str">
        <f ca="1">IFERROR(__xludf.DUMMYFUNCTION("""COMPUTED_VALUE"""),"Charles Harper")</f>
        <v>Charles Harper</v>
      </c>
      <c r="C38" s="17" t="str">
        <f ca="1">IFERROR(__xludf.DUMMYFUNCTION("""COMPUTED_VALUE"""),"ARP Group Leader - Service Missionary")</f>
        <v>ARP Group Leader - Service Missionary</v>
      </c>
      <c r="D38" s="17" t="str">
        <f ca="1">IFERROR(__xludf.DUMMYFUNCTION("""COMPUTED_VALUE"""),"Lansing")</f>
        <v>Lansing</v>
      </c>
      <c r="E38" s="19" t="str">
        <f ca="1">IFERROR(__xludf.DUMMYFUNCTION("""COMPUTED_VALUE"""),"Complete")</f>
        <v>Complete</v>
      </c>
      <c r="F38" s="20">
        <f ca="1">IFERROR(__xludf.DUMMYFUNCTION("""COMPUTED_VALUE"""),46110.4749949305)</f>
        <v>46110.474994930497</v>
      </c>
      <c r="G38" s="21" t="str">
        <f ca="1">IFERROR(__xludf.DUMMYFUNCTION("""COMPUTED_VALUE"""),"Earl")</f>
        <v>Earl</v>
      </c>
      <c r="H38" s="20"/>
      <c r="I38" s="22" t="str">
        <f ca="1">IFERROR(__xludf.DUMMYFUNCTION("""COMPUTED_VALUE"""),"https://docs.google.com/forms/d/e/1FAIpQLSd37AKX0Ca1Yeje6eC6NuliFZj5Spn7I7mXRsa9kBsXMqB-Ag/viewform?edit2=2_ABaOnudXRG2Jwf0piX_HQSxUMHaFfZFf_zx8hjkhhFOzfWSHZQBU_Kr5WzdcVpA0V8amUX4")</f>
        <v>https://docs.google.com/forms/d/e/1FAIpQLSd37AKX0Ca1Yeje6eC6NuliFZj5Spn7I7mXRsa9kBsXMqB-Ag/viewform?edit2=2_ABaOnudXRG2Jwf0piX_HQSxUMHaFfZFf_zx8hjkhhFOzfWSHZQBU_Kr5WzdcVpA0V8amUX4</v>
      </c>
    </row>
    <row r="39" spans="1:9" ht="13.2" x14ac:dyDescent="0.25">
      <c r="A39" s="17" t="str">
        <f ca="1">IFERROR(__xludf.DUMMYFUNCTION("""COMPUTED_VALUE"""),"Callings")</f>
        <v>Callings</v>
      </c>
      <c r="B39" s="18" t="str">
        <f ca="1">IFERROR(__xludf.DUMMYFUNCTION("""COMPUTED_VALUE"""),"Jonathan Boegler")</f>
        <v>Jonathan Boegler</v>
      </c>
      <c r="C39" s="17" t="str">
        <f ca="1">IFERROR(__xludf.DUMMYFUNCTION("""COMPUTED_VALUE"""),"EQ 1st Counselor")</f>
        <v>EQ 1st Counselor</v>
      </c>
      <c r="D39" s="17" t="str">
        <f ca="1">IFERROR(__xludf.DUMMYFUNCTION("""COMPUTED_VALUE"""),"Jackson")</f>
        <v>Jackson</v>
      </c>
      <c r="E39" s="19" t="str">
        <f ca="1">IFERROR(__xludf.DUMMYFUNCTION("""COMPUTED_VALUE"""),"Training")</f>
        <v>Training</v>
      </c>
      <c r="F39" s="20">
        <f ca="1">IFERROR(__xludf.DUMMYFUNCTION("""COMPUTED_VALUE"""),46104.4127032291)</f>
        <v>46104.4127032291</v>
      </c>
      <c r="G39" s="21" t="str">
        <f ca="1">IFERROR(__xludf.DUMMYFUNCTION("""COMPUTED_VALUE"""),"D. Thorpe")</f>
        <v>D. Thorpe</v>
      </c>
      <c r="H39" s="20" t="str">
        <f ca="1">IFERROR(__xludf.DUMMYFUNCTION("""COMPUTED_VALUE"""),"D. Thorpe")</f>
        <v>D. Thorpe</v>
      </c>
      <c r="I39" s="22" t="str">
        <f ca="1">IFERROR(__xludf.DUMMYFUNCTION("""COMPUTED_VALUE"""),"https://docs.google.com/forms/d/e/1FAIpQLSd37AKX0Ca1Yeje6eC6NuliFZj5Spn7I7mXRsa9kBsXMqB-Ag/viewform?edit2=2_ABaOnuff1NqAKnZeZFWYAZ37X-J5lZZRuI-4HxjIyakngMffc9MgN7mqhOsy4yZwbSwlM5A")</f>
        <v>https://docs.google.com/forms/d/e/1FAIpQLSd37AKX0Ca1Yeje6eC6NuliFZj5Spn7I7mXRsa9kBsXMqB-Ag/viewform?edit2=2_ABaOnuff1NqAKnZeZFWYAZ37X-J5lZZRuI-4HxjIyakngMffc9MgN7mqhOsy4yZwbSwlM5A</v>
      </c>
    </row>
    <row r="40" spans="1:9" ht="13.2" x14ac:dyDescent="0.25">
      <c r="A40" s="17" t="str">
        <f ca="1">IFERROR(__xludf.DUMMYFUNCTION("""COMPUTED_VALUE"""),"Callings")</f>
        <v>Callings</v>
      </c>
      <c r="B40" s="18" t="str">
        <f ca="1">IFERROR(__xludf.DUMMYFUNCTION("""COMPUTED_VALUE"""),"Rebecca Eschtruth")</f>
        <v>Rebecca Eschtruth</v>
      </c>
      <c r="C40" s="17" t="str">
        <f ca="1">IFERROR(__xludf.DUMMYFUNCTION("""COMPUTED_VALUE"""),"Stake Single Adult Representative")</f>
        <v>Stake Single Adult Representative</v>
      </c>
      <c r="D40" s="17" t="str">
        <f ca="1">IFERROR(__xludf.DUMMYFUNCTION("""COMPUTED_VALUE"""),"Lansing")</f>
        <v>Lansing</v>
      </c>
      <c r="E40" s="19" t="str">
        <f ca="1">IFERROR(__xludf.DUMMYFUNCTION("""COMPUTED_VALUE"""),"Declined")</f>
        <v>Declined</v>
      </c>
      <c r="F40" s="20">
        <f ca="1">IFERROR(__xludf.DUMMYFUNCTION("""COMPUTED_VALUE"""),46086.8778275694)</f>
        <v>46086.877827569399</v>
      </c>
      <c r="G40" s="21" t="str">
        <f ca="1">IFERROR(__xludf.DUMMYFUNCTION("""COMPUTED_VALUE"""),"Rawson")</f>
        <v>Rawson</v>
      </c>
      <c r="H40" s="20"/>
      <c r="I40" s="22" t="str">
        <f ca="1">IFERROR(__xludf.DUMMYFUNCTION("""COMPUTED_VALUE"""),"https://docs.google.com/forms/d/e/1FAIpQLSd37AKX0Ca1Yeje6eC6NuliFZj5Spn7I7mXRsa9kBsXMqB-Ag/viewform?edit2=2_ABaOnudWeTedu4RM0xhhpxcAAl1Lm1czJ_a-WZCRd0yTmaIgnUPy2sTcZ0gkt0RadE-JDWc")</f>
        <v>https://docs.google.com/forms/d/e/1FAIpQLSd37AKX0Ca1Yeje6eC6NuliFZj5Spn7I7mXRsa9kBsXMqB-Ag/viewform?edit2=2_ABaOnudWeTedu4RM0xhhpxcAAl1Lm1czJ_a-WZCRd0yTmaIgnUPy2sTcZ0gkt0RadE-JDWc</v>
      </c>
    </row>
    <row r="41" spans="1:9" ht="13.2" x14ac:dyDescent="0.25">
      <c r="A41" s="17" t="str">
        <f ca="1">IFERROR(__xludf.DUMMYFUNCTION("""COMPUTED_VALUE"""),"Callings")</f>
        <v>Callings</v>
      </c>
      <c r="B41" s="18" t="str">
        <f ca="1">IFERROR(__xludf.DUMMYFUNCTION("""COMPUTED_VALUE"""),"Andrea Lowder")</f>
        <v>Andrea Lowder</v>
      </c>
      <c r="C41" s="17" t="str">
        <f ca="1">IFERROR(__xludf.DUMMYFUNCTION("""COMPUTED_VALUE"""),"Stake YW 1st Counselor")</f>
        <v>Stake YW 1st Counselor</v>
      </c>
      <c r="D41" s="17" t="str">
        <f ca="1">IFERROR(__xludf.DUMMYFUNCTION("""COMPUTED_VALUE"""),"Holt")</f>
        <v>Holt</v>
      </c>
      <c r="E41" s="19" t="str">
        <f ca="1">IFERROR(__xludf.DUMMYFUNCTION("""COMPUTED_VALUE"""),"Training")</f>
        <v>Training</v>
      </c>
      <c r="F41" s="20">
        <f ca="1">IFERROR(__xludf.DUMMYFUNCTION("""COMPUTED_VALUE"""),46085.8726847106)</f>
        <v>46085.872684710601</v>
      </c>
      <c r="G41" s="21" t="str">
        <f ca="1">IFERROR(__xludf.DUMMYFUNCTION("""COMPUTED_VALUE"""),"B. Thorpe")</f>
        <v>B. Thorpe</v>
      </c>
      <c r="H41" s="20" t="str">
        <f ca="1">IFERROR(__xludf.DUMMYFUNCTION("""COMPUTED_VALUE"""),"B. Thorpe")</f>
        <v>B. Thorpe</v>
      </c>
      <c r="I41" s="22" t="str">
        <f ca="1">IFERROR(__xludf.DUMMYFUNCTION("""COMPUTED_VALUE"""),"https://docs.google.com/forms/d/e/1FAIpQLSd37AKX0Ca1Yeje6eC6NuliFZj5Spn7I7mXRsa9kBsXMqB-Ag/viewform?edit2=2_ABaOnudeQNpZK8qo5P01o5m8u1nK-nidTP440bH0iWjs2673t7t6cup8pQiFCCzYZAU0aPQ")</f>
        <v>https://docs.google.com/forms/d/e/1FAIpQLSd37AKX0Ca1Yeje6eC6NuliFZj5Spn7I7mXRsa9kBsXMqB-Ag/viewform?edit2=2_ABaOnudeQNpZK8qo5P01o5m8u1nK-nidTP440bH0iWjs2673t7t6cup8pQiFCCzYZAU0aPQ</v>
      </c>
    </row>
    <row r="42" spans="1:9" ht="13.2" x14ac:dyDescent="0.25">
      <c r="A42" s="17" t="str">
        <f ca="1">IFERROR(__xludf.DUMMYFUNCTION("""COMPUTED_VALUE"""),"Callings")</f>
        <v>Callings</v>
      </c>
      <c r="B42" s="18" t="str">
        <f ca="1">IFERROR(__xludf.DUMMYFUNCTION("""COMPUTED_VALUE"""),"Steven Coy")</f>
        <v>Steven Coy</v>
      </c>
      <c r="C42" s="17" t="str">
        <f ca="1">IFERROR(__xludf.DUMMYFUNCTION("""COMPUTED_VALUE"""),"EQ 1st Counselor")</f>
        <v>EQ 1st Counselor</v>
      </c>
      <c r="D42" s="17" t="str">
        <f ca="1">IFERROR(__xludf.DUMMYFUNCTION("""COMPUTED_VALUE"""),"Owosso")</f>
        <v>Owosso</v>
      </c>
      <c r="E42" s="19" t="str">
        <f ca="1">IFERROR(__xludf.DUMMYFUNCTION("""COMPUTED_VALUE"""),"Complete")</f>
        <v>Complete</v>
      </c>
      <c r="F42" s="20">
        <f ca="1">IFERROR(__xludf.DUMMYFUNCTION("""COMPUTED_VALUE"""),46082.7728981597)</f>
        <v>46082.772898159703</v>
      </c>
      <c r="G42" s="21" t="str">
        <f ca="1">IFERROR(__xludf.DUMMYFUNCTION("""COMPUTED_VALUE"""),"Ward")</f>
        <v>Ward</v>
      </c>
      <c r="H42" s="20" t="str">
        <f ca="1">IFERROR(__xludf.DUMMYFUNCTION("""COMPUTED_VALUE"""),"Ward")</f>
        <v>Ward</v>
      </c>
      <c r="I42" s="22" t="str">
        <f ca="1">IFERROR(__xludf.DUMMYFUNCTION("""COMPUTED_VALUE"""),"https://docs.google.com/forms/d/e/1FAIpQLSd37AKX0Ca1Yeje6eC6NuliFZj5Spn7I7mXRsa9kBsXMqB-Ag/viewform?edit2=2_ABaOnuf1iClOzJhfEbDLVFFuk-RnA6L6BlaBrlXqRxJ2NuDHdspMURjFlJG0-iCLxv4fzTk")</f>
        <v>https://docs.google.com/forms/d/e/1FAIpQLSd37AKX0Ca1Yeje6eC6NuliFZj5Spn7I7mXRsa9kBsXMqB-Ag/viewform?edit2=2_ABaOnuf1iClOzJhfEbDLVFFuk-RnA6L6BlaBrlXqRxJ2NuDHdspMURjFlJG0-iCLxv4fzTk</v>
      </c>
    </row>
    <row r="43" spans="1:9" ht="13.2" x14ac:dyDescent="0.25">
      <c r="A43" s="17" t="str">
        <f ca="1">IFERROR(__xludf.DUMMYFUNCTION("""COMPUTED_VALUE"""),"Callings")</f>
        <v>Callings</v>
      </c>
      <c r="B43" s="18" t="str">
        <f ca="1">IFERROR(__xludf.DUMMYFUNCTION("""COMPUTED_VALUE"""),"David Judd")</f>
        <v>David Judd</v>
      </c>
      <c r="C43" s="17" t="str">
        <f ca="1">IFERROR(__xludf.DUMMYFUNCTION("""COMPUTED_VALUE"""),"Branch President")</f>
        <v>Branch President</v>
      </c>
      <c r="D43" s="17" t="str">
        <f ca="1">IFERROR(__xludf.DUMMYFUNCTION("""COMPUTED_VALUE"""),"Charlotte")</f>
        <v>Charlotte</v>
      </c>
      <c r="E43" s="19" t="str">
        <f ca="1">IFERROR(__xludf.DUMMYFUNCTION("""COMPUTED_VALUE"""),"Cancelled")</f>
        <v>Cancelled</v>
      </c>
      <c r="F43" s="20">
        <f ca="1">IFERROR(__xludf.DUMMYFUNCTION("""COMPUTED_VALUE"""),46078.7190649652)</f>
        <v>46078.719064965197</v>
      </c>
      <c r="G43" s="21" t="str">
        <f ca="1">IFERROR(__xludf.DUMMYFUNCTION("""COMPUTED_VALUE"""),"Rawson")</f>
        <v>Rawson</v>
      </c>
      <c r="H43" s="20"/>
      <c r="I43" s="22" t="str">
        <f ca="1">IFERROR(__xludf.DUMMYFUNCTION("""COMPUTED_VALUE"""),"https://docs.google.com/forms/d/e/1FAIpQLSd37AKX0Ca1Yeje6eC6NuliFZj5Spn7I7mXRsa9kBsXMqB-Ag/viewform?edit2=2_ABaOnufa2u84Z9CN6X3pn2WNK3cgotIWLVUteaxy9v8K82fxhORjkSTo3bK92F89vvmHQQY")</f>
        <v>https://docs.google.com/forms/d/e/1FAIpQLSd37AKX0Ca1Yeje6eC6NuliFZj5Spn7I7mXRsa9kBsXMqB-Ag/viewform?edit2=2_ABaOnufa2u84Z9CN6X3pn2WNK3cgotIWLVUteaxy9v8K82fxhORjkSTo3bK92F89vvmHQQY</v>
      </c>
    </row>
    <row r="44" spans="1:9" ht="13.2" x14ac:dyDescent="0.25">
      <c r="A44" s="17" t="str">
        <f ca="1">IFERROR(__xludf.DUMMYFUNCTION("""COMPUTED_VALUE"""),"Callings")</f>
        <v>Callings</v>
      </c>
      <c r="B44" s="18" t="str">
        <f ca="1">IFERROR(__xludf.DUMMYFUNCTION("""COMPUTED_VALUE"""),"Eugene Rivers")</f>
        <v>Eugene Rivers</v>
      </c>
      <c r="C44" s="17" t="str">
        <f ca="1">IFERROR(__xludf.DUMMYFUNCTION("""COMPUTED_VALUE"""),"Stake FamilySearch Coordinator - Owosso Center")</f>
        <v>Stake FamilySearch Coordinator - Owosso Center</v>
      </c>
      <c r="D44" s="17" t="str">
        <f ca="1">IFERROR(__xludf.DUMMYFUNCTION("""COMPUTED_VALUE"""),"Owosso")</f>
        <v>Owosso</v>
      </c>
      <c r="E44" s="19" t="str">
        <f ca="1">IFERROR(__xludf.DUMMYFUNCTION("""COMPUTED_VALUE"""),"Complete")</f>
        <v>Complete</v>
      </c>
      <c r="F44" s="20">
        <f ca="1">IFERROR(__xludf.DUMMYFUNCTION("""COMPUTED_VALUE"""),46072.9019441435)</f>
        <v>46072.901944143501</v>
      </c>
      <c r="G44" s="21" t="str">
        <f ca="1">IFERROR(__xludf.DUMMYFUNCTION("""COMPUTED_VALUE"""),"Bills")</f>
        <v>Bills</v>
      </c>
      <c r="H44" s="20" t="str">
        <f ca="1">IFERROR(__xludf.DUMMYFUNCTION("""COMPUTED_VALUE"""),"Bills")</f>
        <v>Bills</v>
      </c>
      <c r="I44" s="22" t="str">
        <f ca="1">IFERROR(__xludf.DUMMYFUNCTION("""COMPUTED_VALUE"""),"https://docs.google.com/forms/d/e/1FAIpQLSd37AKX0Ca1Yeje6eC6NuliFZj5Spn7I7mXRsa9kBsXMqB-Ag/viewform?edit2=2_ABaOnudAISoAiJoYPkJ2lu_q6gzTXwxsNXRzhLbYLaXYKzI8S6S1y9cf6QT8xeUl9qJhAC4")</f>
        <v>https://docs.google.com/forms/d/e/1FAIpQLSd37AKX0Ca1Yeje6eC6NuliFZj5Spn7I7mXRsa9kBsXMqB-Ag/viewform?edit2=2_ABaOnudAISoAiJoYPkJ2lu_q6gzTXwxsNXRzhLbYLaXYKzI8S6S1y9cf6QT8xeUl9qJhAC4</v>
      </c>
    </row>
    <row r="45" spans="1:9" ht="13.2" x14ac:dyDescent="0.25">
      <c r="A45" s="17" t="str">
        <f ca="1">IFERROR(__xludf.DUMMYFUNCTION("""COMPUTED_VALUE"""),"Callings")</f>
        <v>Callings</v>
      </c>
      <c r="B45" s="18" t="str">
        <f ca="1">IFERROR(__xludf.DUMMYFUNCTION("""COMPUTED_VALUE"""),"Cynthia Watson")</f>
        <v>Cynthia Watson</v>
      </c>
      <c r="C45" s="17" t="str">
        <f ca="1">IFERROR(__xludf.DUMMYFUNCTION("""COMPUTED_VALUE"""),"Stake FamilySearch Coordinator - Jackson Center")</f>
        <v>Stake FamilySearch Coordinator - Jackson Center</v>
      </c>
      <c r="D45" s="17" t="str">
        <f ca="1">IFERROR(__xludf.DUMMYFUNCTION("""COMPUTED_VALUE"""),"Jackson")</f>
        <v>Jackson</v>
      </c>
      <c r="E45" s="19" t="str">
        <f ca="1">IFERROR(__xludf.DUMMYFUNCTION("""COMPUTED_VALUE"""),"Complete")</f>
        <v>Complete</v>
      </c>
      <c r="F45" s="20">
        <f ca="1">IFERROR(__xludf.DUMMYFUNCTION("""COMPUTED_VALUE"""),46072.9017552662)</f>
        <v>46072.901755266197</v>
      </c>
      <c r="G45" s="21" t="str">
        <f ca="1">IFERROR(__xludf.DUMMYFUNCTION("""COMPUTED_VALUE"""),"Bills")</f>
        <v>Bills</v>
      </c>
      <c r="H45" s="20" t="str">
        <f ca="1">IFERROR(__xludf.DUMMYFUNCTION("""COMPUTED_VALUE"""),"Bills")</f>
        <v>Bills</v>
      </c>
      <c r="I45" s="22" t="str">
        <f ca="1">IFERROR(__xludf.DUMMYFUNCTION("""COMPUTED_VALUE"""),"https://docs.google.com/forms/d/e/1FAIpQLSd37AKX0Ca1Yeje6eC6NuliFZj5Spn7I7mXRsa9kBsXMqB-Ag/viewform?edit2=2_ABaOnufDbwsAVAzVxdhcVcQPdr8KBiuCeP-KzqSydcuXV8bbcLj1GK3eHoRfDXLLb8m1RjU")</f>
        <v>https://docs.google.com/forms/d/e/1FAIpQLSd37AKX0Ca1Yeje6eC6NuliFZj5Spn7I7mXRsa9kBsXMqB-Ag/viewform?edit2=2_ABaOnufDbwsAVAzVxdhcVcQPdr8KBiuCeP-KzqSydcuXV8bbcLj1GK3eHoRfDXLLb8m1RjU</v>
      </c>
    </row>
    <row r="46" spans="1:9" ht="13.2" x14ac:dyDescent="0.25">
      <c r="A46" s="17" t="str">
        <f ca="1">IFERROR(__xludf.DUMMYFUNCTION("""COMPUTED_VALUE"""),"Callings")</f>
        <v>Callings</v>
      </c>
      <c r="B46" s="18" t="str">
        <f ca="1">IFERROR(__xludf.DUMMYFUNCTION("""COMPUTED_VALUE"""),"Logan Fuller")</f>
        <v>Logan Fuller</v>
      </c>
      <c r="C46" s="17" t="str">
        <f ca="1">IFERROR(__xludf.DUMMYFUNCTION("""COMPUTED_VALUE"""),"Executive Secretary")</f>
        <v>Executive Secretary</v>
      </c>
      <c r="D46" s="17" t="str">
        <f ca="1">IFERROR(__xludf.DUMMYFUNCTION("""COMPUTED_VALUE"""),"YSA")</f>
        <v>YSA</v>
      </c>
      <c r="E46" s="19" t="str">
        <f ca="1">IFERROR(__xludf.DUMMYFUNCTION("""COMPUTED_VALUE"""),"Complete")</f>
        <v>Complete</v>
      </c>
      <c r="F46" s="20">
        <f ca="1">IFERROR(__xludf.DUMMYFUNCTION("""COMPUTED_VALUE"""),46070.6264682638)</f>
        <v>46070.626468263799</v>
      </c>
      <c r="G46" s="21" t="str">
        <f ca="1">IFERROR(__xludf.DUMMYFUNCTION("""COMPUTED_VALUE"""),"Conn")</f>
        <v>Conn</v>
      </c>
      <c r="H46" s="20" t="str">
        <f ca="1">IFERROR(__xludf.DUMMYFUNCTION("""COMPUTED_VALUE"""),"Hilgendorf")</f>
        <v>Hilgendorf</v>
      </c>
      <c r="I46" s="22" t="str">
        <f ca="1">IFERROR(__xludf.DUMMYFUNCTION("""COMPUTED_VALUE"""),"https://docs.google.com/forms/d/e/1FAIpQLSd37AKX0Ca1Yeje6eC6NuliFZj5Spn7I7mXRsa9kBsXMqB-Ag/viewform?edit2=2_ABaOnucZs_yyqG64TTPx-HI7iKA2OneWgrigcOPOBMu_J3Zl1ZdW363tYAP1Ym-CI38rmSE")</f>
        <v>https://docs.google.com/forms/d/e/1FAIpQLSd37AKX0Ca1Yeje6eC6NuliFZj5Spn7I7mXRsa9kBsXMqB-Ag/viewform?edit2=2_ABaOnucZs_yyqG64TTPx-HI7iKA2OneWgrigcOPOBMu_J3Zl1ZdW363tYAP1Ym-CI38rmSE</v>
      </c>
    </row>
    <row r="47" spans="1:9" ht="13.2" x14ac:dyDescent="0.25">
      <c r="A47" s="17" t="str">
        <f ca="1">IFERROR(__xludf.DUMMYFUNCTION("""COMPUTED_VALUE"""),"Ordinations")</f>
        <v>Ordinations</v>
      </c>
      <c r="B47" s="18" t="str">
        <f ca="1">IFERROR(__xludf.DUMMYFUNCTION("""COMPUTED_VALUE"""),"Travis Stanton")</f>
        <v>Travis Stanton</v>
      </c>
      <c r="C47" s="17" t="str">
        <f ca="1">IFERROR(__xludf.DUMMYFUNCTION("""COMPUTED_VALUE"""),"Elder")</f>
        <v>Elder</v>
      </c>
      <c r="D47" s="17" t="str">
        <f ca="1">IFERROR(__xludf.DUMMYFUNCTION("""COMPUTED_VALUE"""),"Holt")</f>
        <v>Holt</v>
      </c>
      <c r="E47" s="19" t="str">
        <f ca="1">IFERROR(__xludf.DUMMYFUNCTION("""COMPUTED_VALUE"""),"Complete")</f>
        <v>Complete</v>
      </c>
      <c r="F47" s="20">
        <f ca="1">IFERROR(__xludf.DUMMYFUNCTION("""COMPUTED_VALUE"""),46068.6499754513)</f>
        <v>46068.649975451299</v>
      </c>
      <c r="G47" s="21" t="str">
        <f ca="1">IFERROR(__xludf.DUMMYFUNCTION("""COMPUTED_VALUE"""),"B. Thorpe")</f>
        <v>B. Thorpe</v>
      </c>
      <c r="H47" s="20" t="str">
        <f ca="1">IFERROR(__xludf.DUMMYFUNCTION("""COMPUTED_VALUE""")," ")</f>
        <v xml:space="preserve"> </v>
      </c>
      <c r="I47" s="22" t="str">
        <f ca="1">IFERROR(__xludf.DUMMYFUNCTION("""COMPUTED_VALUE"""),"https://docs.google.com/forms/d/e/1FAIpQLScKfK1Xq_AfFRyZkOlyT2n4Ugr8FdePyUxPct4kYLgKJ3YlMQ/viewform?edit2=2_ABaOnueaQXOBWtLHbkKogiRYZwa9VzkGBCpJmWiZkzVO4au5iwOSPC1mbMUGgNtfFagtNIs")</f>
        <v>https://docs.google.com/forms/d/e/1FAIpQLScKfK1Xq_AfFRyZkOlyT2n4Ugr8FdePyUxPct4kYLgKJ3YlMQ/viewform?edit2=2_ABaOnueaQXOBWtLHbkKogiRYZwa9VzkGBCpJmWiZkzVO4au5iwOSPC1mbMUGgNtfFagtNIs</v>
      </c>
    </row>
    <row r="48" spans="1:9" ht="13.2" x14ac:dyDescent="0.25">
      <c r="A48" s="17" t="str">
        <f ca="1">IFERROR(__xludf.DUMMYFUNCTION("""COMPUTED_VALUE"""),"Callings")</f>
        <v>Callings</v>
      </c>
      <c r="B48" s="18" t="str">
        <f ca="1">IFERROR(__xludf.DUMMYFUNCTION("""COMPUTED_VALUE"""),"Angie Brantley")</f>
        <v>Angie Brantley</v>
      </c>
      <c r="C48" s="17" t="str">
        <f ca="1">IFERROR(__xludf.DUMMYFUNCTION("""COMPUTED_VALUE"""),"Stake Primary Secretary")</f>
        <v>Stake Primary Secretary</v>
      </c>
      <c r="D48" s="17" t="str">
        <f ca="1">IFERROR(__xludf.DUMMYFUNCTION("""COMPUTED_VALUE"""),"Jackson")</f>
        <v>Jackson</v>
      </c>
      <c r="E48" s="19" t="str">
        <f ca="1">IFERROR(__xludf.DUMMYFUNCTION("""COMPUTED_VALUE"""),"Complete")</f>
        <v>Complete</v>
      </c>
      <c r="F48" s="20">
        <f ca="1">IFERROR(__xludf.DUMMYFUNCTION("""COMPUTED_VALUE"""),46060.6082006481)</f>
        <v>46060.608200648101</v>
      </c>
      <c r="G48" s="21" t="str">
        <f ca="1">IFERROR(__xludf.DUMMYFUNCTION("""COMPUTED_VALUE"""),"Pierce")</f>
        <v>Pierce</v>
      </c>
      <c r="H48" s="20" t="str">
        <f ca="1">IFERROR(__xludf.DUMMYFUNCTION("""COMPUTED_VALUE"""),"Schafer")</f>
        <v>Schafer</v>
      </c>
      <c r="I48" s="22" t="str">
        <f ca="1">IFERROR(__xludf.DUMMYFUNCTION("""COMPUTED_VALUE"""),"https://docs.google.com/forms/d/e/1FAIpQLSd37AKX0Ca1Yeje6eC6NuliFZj5Spn7I7mXRsa9kBsXMqB-Ag/viewform?edit2=2_ABaOnufInSSzuHK0ymI3Fy1IGVCRCSAvpdzG556xi_OsvoFWA9spEFXOOdsQgO-nNUjADxg")</f>
        <v>https://docs.google.com/forms/d/e/1FAIpQLSd37AKX0Ca1Yeje6eC6NuliFZj5Spn7I7mXRsa9kBsXMqB-Ag/viewform?edit2=2_ABaOnufInSSzuHK0ymI3Fy1IGVCRCSAvpdzG556xi_OsvoFWA9spEFXOOdsQgO-nNUjADxg</v>
      </c>
    </row>
    <row r="49" spans="1:9" ht="13.2" x14ac:dyDescent="0.25">
      <c r="A49" s="17" t="str">
        <f ca="1">IFERROR(__xludf.DUMMYFUNCTION("""COMPUTED_VALUE"""),"Callings")</f>
        <v>Callings</v>
      </c>
      <c r="B49" s="18" t="str">
        <f ca="1">IFERROR(__xludf.DUMMYFUNCTION("""COMPUTED_VALUE"""),"Bailey Douglas")</f>
        <v>Bailey Douglas</v>
      </c>
      <c r="C49" s="17" t="str">
        <f ca="1">IFERROR(__xludf.DUMMYFUNCTION("""COMPUTED_VALUE"""),"Stake Primary 2nd Counselor")</f>
        <v>Stake Primary 2nd Counselor</v>
      </c>
      <c r="D49" s="17" t="str">
        <f ca="1">IFERROR(__xludf.DUMMYFUNCTION("""COMPUTED_VALUE"""),"YSA")</f>
        <v>YSA</v>
      </c>
      <c r="E49" s="19" t="str">
        <f ca="1">IFERROR(__xludf.DUMMYFUNCTION("""COMPUTED_VALUE"""),"Complete")</f>
        <v>Complete</v>
      </c>
      <c r="F49" s="20">
        <f ca="1">IFERROR(__xludf.DUMMYFUNCTION("""COMPUTED_VALUE"""),46060.6079965277)</f>
        <v>46060.607996527702</v>
      </c>
      <c r="G49" s="21" t="str">
        <f ca="1">IFERROR(__xludf.DUMMYFUNCTION("""COMPUTED_VALUE"""),"Earl")</f>
        <v>Earl</v>
      </c>
      <c r="H49" s="20" t="str">
        <f ca="1">IFERROR(__xludf.DUMMYFUNCTION("""COMPUTED_VALUE"""),"Schafer")</f>
        <v>Schafer</v>
      </c>
      <c r="I49" s="22" t="str">
        <f ca="1">IFERROR(__xludf.DUMMYFUNCTION("""COMPUTED_VALUE"""),"https://docs.google.com/forms/d/e/1FAIpQLSd37AKX0Ca1Yeje6eC6NuliFZj5Spn7I7mXRsa9kBsXMqB-Ag/viewform?edit2=2_ABaOnueKgqULeg8fIiucHcnX3HqJHzYNTk4rqINxF7ZIUn06UwtQLeolsXXTOdNfPiq1mAU")</f>
        <v>https://docs.google.com/forms/d/e/1FAIpQLSd37AKX0Ca1Yeje6eC6NuliFZj5Spn7I7mXRsa9kBsXMqB-Ag/viewform?edit2=2_ABaOnueKgqULeg8fIiucHcnX3HqJHzYNTk4rqINxF7ZIUn06UwtQLeolsXXTOdNfPiq1mAU</v>
      </c>
    </row>
    <row r="50" spans="1:9" ht="13.2" x14ac:dyDescent="0.25">
      <c r="A50" s="17" t="str">
        <f ca="1">IFERROR(__xludf.DUMMYFUNCTION("""COMPUTED_VALUE"""),"Callings")</f>
        <v>Callings</v>
      </c>
      <c r="B50" s="18" t="str">
        <f ca="1">IFERROR(__xludf.DUMMYFUNCTION("""COMPUTED_VALUE"""),"Sarah Stradley")</f>
        <v>Sarah Stradley</v>
      </c>
      <c r="C50" s="17" t="str">
        <f ca="1">IFERROR(__xludf.DUMMYFUNCTION("""COMPUTED_VALUE"""),"Stake Primary 1st Counselor")</f>
        <v>Stake Primary 1st Counselor</v>
      </c>
      <c r="D50" s="17" t="str">
        <f ca="1">IFERROR(__xludf.DUMMYFUNCTION("""COMPUTED_VALUE"""),"Owosso")</f>
        <v>Owosso</v>
      </c>
      <c r="E50" s="19" t="str">
        <f ca="1">IFERROR(__xludf.DUMMYFUNCTION("""COMPUTED_VALUE"""),"Complete")</f>
        <v>Complete</v>
      </c>
      <c r="F50" s="20">
        <f ca="1">IFERROR(__xludf.DUMMYFUNCTION("""COMPUTED_VALUE"""),46060.607785081)</f>
        <v>46060.607785081003</v>
      </c>
      <c r="G50" s="21" t="str">
        <f ca="1">IFERROR(__xludf.DUMMYFUNCTION("""COMPUTED_VALUE"""),"Pierce")</f>
        <v>Pierce</v>
      </c>
      <c r="H50" s="20" t="str">
        <f ca="1">IFERROR(__xludf.DUMMYFUNCTION("""COMPUTED_VALUE"""),"Schafer")</f>
        <v>Schafer</v>
      </c>
      <c r="I50" s="22" t="str">
        <f ca="1">IFERROR(__xludf.DUMMYFUNCTION("""COMPUTED_VALUE"""),"https://docs.google.com/forms/d/e/1FAIpQLSd37AKX0Ca1Yeje6eC6NuliFZj5Spn7I7mXRsa9kBsXMqB-Ag/viewform?edit2=2_ABaOnudSaiTPxaFtHrreY46BnXEqShox50Z2ak0rHpewn71vVfmjiHgqI2ff57yXQ6YzcfA")</f>
        <v>https://docs.google.com/forms/d/e/1FAIpQLSd37AKX0Ca1Yeje6eC6NuliFZj5Spn7I7mXRsa9kBsXMqB-Ag/viewform?edit2=2_ABaOnudSaiTPxaFtHrreY46BnXEqShox50Z2ak0rHpewn71vVfmjiHgqI2ff57yXQ6YzcfA</v>
      </c>
    </row>
    <row r="51" spans="1:9" ht="13.2" x14ac:dyDescent="0.25">
      <c r="A51" s="17" t="str">
        <f ca="1">IFERROR(__xludf.DUMMYFUNCTION("""COMPUTED_VALUE"""),"Callings")</f>
        <v>Callings</v>
      </c>
      <c r="B51" s="18" t="str">
        <f ca="1">IFERROR(__xludf.DUMMYFUNCTION("""COMPUTED_VALUE"""),"Keeley Condie ")</f>
        <v xml:space="preserve">Keeley Condie </v>
      </c>
      <c r="C51" s="17" t="str">
        <f ca="1">IFERROR(__xludf.DUMMYFUNCTION("""COMPUTED_VALUE"""),"Stake Primary President")</f>
        <v>Stake Primary President</v>
      </c>
      <c r="D51" s="17" t="str">
        <f ca="1">IFERROR(__xludf.DUMMYFUNCTION("""COMPUTED_VALUE"""),"Holt")</f>
        <v>Holt</v>
      </c>
      <c r="E51" s="19" t="str">
        <f ca="1">IFERROR(__xludf.DUMMYFUNCTION("""COMPUTED_VALUE"""),"Complete")</f>
        <v>Complete</v>
      </c>
      <c r="F51" s="20">
        <f ca="1">IFERROR(__xludf.DUMMYFUNCTION("""COMPUTED_VALUE"""),46060.6075588773)</f>
        <v>46060.607558877302</v>
      </c>
      <c r="G51" s="21" t="str">
        <f ca="1">IFERROR(__xludf.DUMMYFUNCTION("""COMPUTED_VALUE"""),"Pierce")</f>
        <v>Pierce</v>
      </c>
      <c r="H51" s="20" t="str">
        <f ca="1">IFERROR(__xludf.DUMMYFUNCTION("""COMPUTED_VALUE"""),"Schafer")</f>
        <v>Schafer</v>
      </c>
      <c r="I51" s="22" t="str">
        <f ca="1">IFERROR(__xludf.DUMMYFUNCTION("""COMPUTED_VALUE"""),"https://docs.google.com/forms/d/e/1FAIpQLSd37AKX0Ca1Yeje6eC6NuliFZj5Spn7I7mXRsa9kBsXMqB-Ag/viewform?edit2=2_ABaOnudPhJxPi-s6Hxz1T94O7eJHvc2vL6-lmN1KDpQ-VjVgY28VI3YP71BRdl6Wj6SLGek")</f>
        <v>https://docs.google.com/forms/d/e/1FAIpQLSd37AKX0Ca1Yeje6eC6NuliFZj5Spn7I7mXRsa9kBsXMqB-Ag/viewform?edit2=2_ABaOnudPhJxPi-s6Hxz1T94O7eJHvc2vL6-lmN1KDpQ-VjVgY28VI3YP71BRdl6Wj6SLGek</v>
      </c>
    </row>
    <row r="52" spans="1:9" ht="13.2" x14ac:dyDescent="0.25">
      <c r="A52" s="17" t="str">
        <f ca="1">IFERROR(__xludf.DUMMYFUNCTION("""COMPUTED_VALUE"""),"Callings")</f>
        <v>Callings</v>
      </c>
      <c r="B52" s="18" t="str">
        <f ca="1">IFERROR(__xludf.DUMMYFUNCTION("""COMPUTED_VALUE"""),"Del Stirling")</f>
        <v>Del Stirling</v>
      </c>
      <c r="C52" s="17" t="str">
        <f ca="1">IFERROR(__xludf.DUMMYFUNCTION("""COMPUTED_VALUE"""),"EQ 2nd Counselor")</f>
        <v>EQ 2nd Counselor</v>
      </c>
      <c r="D52" s="17" t="str">
        <f ca="1">IFERROR(__xludf.DUMMYFUNCTION("""COMPUTED_VALUE"""),"Portland")</f>
        <v>Portland</v>
      </c>
      <c r="E52" s="19" t="str">
        <f ca="1">IFERROR(__xludf.DUMMYFUNCTION("""COMPUTED_VALUE"""),"Complete")</f>
        <v>Complete</v>
      </c>
      <c r="F52" s="20">
        <f ca="1">IFERROR(__xludf.DUMMYFUNCTION("""COMPUTED_VALUE"""),46058.7886231481)</f>
        <v>46058.788623148102</v>
      </c>
      <c r="G52" s="21" t="str">
        <f ca="1">IFERROR(__xludf.DUMMYFUNCTION("""COMPUTED_VALUE"""),"Doty")</f>
        <v>Doty</v>
      </c>
      <c r="H52" s="20" t="str">
        <f ca="1">IFERROR(__xludf.DUMMYFUNCTION("""COMPUTED_VALUE"""),"Doty")</f>
        <v>Doty</v>
      </c>
      <c r="I52" s="22" t="str">
        <f ca="1">IFERROR(__xludf.DUMMYFUNCTION("""COMPUTED_VALUE"""),"https://docs.google.com/forms/d/e/1FAIpQLSd37AKX0Ca1Yeje6eC6NuliFZj5Spn7I7mXRsa9kBsXMqB-Ag/viewform?edit2=2_ABaOnueqQ5WD4kzs8XFkpGxeBrDewIQChFYFkeCcx-r4wFHBdNPG4t_O0JkGnrd6V5GB4rY")</f>
        <v>https://docs.google.com/forms/d/e/1FAIpQLSd37AKX0Ca1Yeje6eC6NuliFZj5Spn7I7mXRsa9kBsXMqB-Ag/viewform?edit2=2_ABaOnueqQ5WD4kzs8XFkpGxeBrDewIQChFYFkeCcx-r4wFHBdNPG4t_O0JkGnrd6V5GB4rY</v>
      </c>
    </row>
    <row r="53" spans="1:9" ht="13.2" x14ac:dyDescent="0.25">
      <c r="A53" s="17" t="str">
        <f ca="1">IFERROR(__xludf.DUMMYFUNCTION("""COMPUTED_VALUE"""),"Callings")</f>
        <v>Callings</v>
      </c>
      <c r="B53" s="18" t="str">
        <f ca="1">IFERROR(__xludf.DUMMYFUNCTION("""COMPUTED_VALUE"""),"Mark Witbeck")</f>
        <v>Mark Witbeck</v>
      </c>
      <c r="C53" s="17" t="str">
        <f ca="1">IFERROR(__xludf.DUMMYFUNCTION("""COMPUTED_VALUE"""),"EQ 1st Counselor")</f>
        <v>EQ 1st Counselor</v>
      </c>
      <c r="D53" s="17" t="str">
        <f ca="1">IFERROR(__xludf.DUMMYFUNCTION("""COMPUTED_VALUE"""),"Portland")</f>
        <v>Portland</v>
      </c>
      <c r="E53" s="19" t="str">
        <f ca="1">IFERROR(__xludf.DUMMYFUNCTION("""COMPUTED_VALUE"""),"Complete")</f>
        <v>Complete</v>
      </c>
      <c r="F53" s="20">
        <f ca="1">IFERROR(__xludf.DUMMYFUNCTION("""COMPUTED_VALUE"""),46058.788372905)</f>
        <v>46058.788372905001</v>
      </c>
      <c r="G53" s="21" t="str">
        <f ca="1">IFERROR(__xludf.DUMMYFUNCTION("""COMPUTED_VALUE"""),"Doty")</f>
        <v>Doty</v>
      </c>
      <c r="H53" s="20" t="str">
        <f ca="1">IFERROR(__xludf.DUMMYFUNCTION("""COMPUTED_VALUE"""),"Doty")</f>
        <v>Doty</v>
      </c>
      <c r="I53" s="22" t="str">
        <f ca="1">IFERROR(__xludf.DUMMYFUNCTION("""COMPUTED_VALUE"""),"https://docs.google.com/forms/d/e/1FAIpQLSd37AKX0Ca1Yeje6eC6NuliFZj5Spn7I7mXRsa9kBsXMqB-Ag/viewform?edit2=2_ABaOnuestmawDRwNCrwWBbcFzvUi4IXI1Xou83xweNeZQ-Dv589ktMYRHtyGkw0HL1Ct-jc")</f>
        <v>https://docs.google.com/forms/d/e/1FAIpQLSd37AKX0Ca1Yeje6eC6NuliFZj5Spn7I7mXRsa9kBsXMqB-Ag/viewform?edit2=2_ABaOnuestmawDRwNCrwWBbcFzvUi4IXI1Xou83xweNeZQ-Dv589ktMYRHtyGkw0HL1Ct-jc</v>
      </c>
    </row>
    <row r="54" spans="1:9" ht="13.2" x14ac:dyDescent="0.25">
      <c r="A54" s="17" t="str">
        <f ca="1">IFERROR(__xludf.DUMMYFUNCTION("""COMPUTED_VALUE"""),"Callings")</f>
        <v>Callings</v>
      </c>
      <c r="B54" s="18" t="str">
        <f ca="1">IFERROR(__xludf.DUMMYFUNCTION("""COMPUTED_VALUE"""),"Val Nelson")</f>
        <v>Val Nelson</v>
      </c>
      <c r="C54" s="17" t="str">
        <f ca="1">IFERROR(__xludf.DUMMYFUNCTION("""COMPUTED_VALUE"""),"Stake High Councilor")</f>
        <v>Stake High Councilor</v>
      </c>
      <c r="D54" s="17" t="str">
        <f ca="1">IFERROR(__xludf.DUMMYFUNCTION("""COMPUTED_VALUE"""),"Charlotte")</f>
        <v>Charlotte</v>
      </c>
      <c r="E54" s="19" t="str">
        <f ca="1">IFERROR(__xludf.DUMMYFUNCTION("""COMPUTED_VALUE"""),"Complete")</f>
        <v>Complete</v>
      </c>
      <c r="F54" s="20">
        <f ca="1">IFERROR(__xludf.DUMMYFUNCTION("""COMPUTED_VALUE"""),46058.7880948263)</f>
        <v>46058.788094826297</v>
      </c>
      <c r="G54" s="21" t="str">
        <f ca="1">IFERROR(__xludf.DUMMYFUNCTION("""COMPUTED_VALUE"""),"Pierce")</f>
        <v>Pierce</v>
      </c>
      <c r="H54" s="20" t="str">
        <f ca="1">IFERROR(__xludf.DUMMYFUNCTION("""COMPUTED_VALUE"""),"Pierce")</f>
        <v>Pierce</v>
      </c>
      <c r="I54" s="22" t="str">
        <f ca="1">IFERROR(__xludf.DUMMYFUNCTION("""COMPUTED_VALUE"""),"https://docs.google.com/forms/d/e/1FAIpQLSd37AKX0Ca1Yeje6eC6NuliFZj5Spn7I7mXRsa9kBsXMqB-Ag/viewform?edit2=2_ABaOnudQe5Oq9buGueatTTD8lsR_7Yj1XLidI8BHf21R3f-FwDdocxmbnq_mTuBdA8-FDik")</f>
        <v>https://docs.google.com/forms/d/e/1FAIpQLSd37AKX0Ca1Yeje6eC6NuliFZj5Spn7I7mXRsa9kBsXMqB-Ag/viewform?edit2=2_ABaOnudQe5Oq9buGueatTTD8lsR_7Yj1XLidI8BHf21R3f-FwDdocxmbnq_mTuBdA8-FDik</v>
      </c>
    </row>
    <row r="55" spans="1:9" ht="13.2" x14ac:dyDescent="0.25">
      <c r="A55" s="17" t="str">
        <f ca="1">IFERROR(__xludf.DUMMYFUNCTION("""COMPUTED_VALUE"""),"Callings")</f>
        <v>Callings</v>
      </c>
      <c r="B55" s="18" t="str">
        <f ca="1">IFERROR(__xludf.DUMMYFUNCTION("""COMPUTED_VALUE"""),"Nikolaus Schafer")</f>
        <v>Nikolaus Schafer</v>
      </c>
      <c r="C55" s="17" t="str">
        <f ca="1">IFERROR(__xludf.DUMMYFUNCTION("""COMPUTED_VALUE"""),"EQ 2nd Counselor")</f>
        <v>EQ 2nd Counselor</v>
      </c>
      <c r="D55" s="17" t="str">
        <f ca="1">IFERROR(__xludf.DUMMYFUNCTION("""COMPUTED_VALUE"""),"Holt")</f>
        <v>Holt</v>
      </c>
      <c r="E55" s="19" t="str">
        <f ca="1">IFERROR(__xludf.DUMMYFUNCTION("""COMPUTED_VALUE"""),"Complete")</f>
        <v>Complete</v>
      </c>
      <c r="F55" s="20">
        <f ca="1">IFERROR(__xludf.DUMMYFUNCTION("""COMPUTED_VALUE"""),46058.3961403125)</f>
        <v>46058.396140312499</v>
      </c>
      <c r="G55" s="21" t="str">
        <f ca="1">IFERROR(__xludf.DUMMYFUNCTION("""COMPUTED_VALUE"""),"Pierce")</f>
        <v>Pierce</v>
      </c>
      <c r="H55" s="20" t="str">
        <f ca="1">IFERROR(__xludf.DUMMYFUNCTION("""COMPUTED_VALUE"""),"B. Thorpe")</f>
        <v>B. Thorpe</v>
      </c>
      <c r="I55" s="22" t="str">
        <f ca="1">IFERROR(__xludf.DUMMYFUNCTION("""COMPUTED_VALUE"""),"https://docs.google.com/forms/d/e/1FAIpQLSd37AKX0Ca1Yeje6eC6NuliFZj5Spn7I7mXRsa9kBsXMqB-Ag/viewform?edit2=2_ABaOnuf8c0icYyUPFHPd2h3zuTjDR-l6zOTIgLwInEiTpumMyjH86_Ipsc_T5CuYxODQ120")</f>
        <v>https://docs.google.com/forms/d/e/1FAIpQLSd37AKX0Ca1Yeje6eC6NuliFZj5Spn7I7mXRsa9kBsXMqB-Ag/viewform?edit2=2_ABaOnuf8c0icYyUPFHPd2h3zuTjDR-l6zOTIgLwInEiTpumMyjH86_Ipsc_T5CuYxODQ120</v>
      </c>
    </row>
    <row r="56" spans="1:9" ht="13.2" x14ac:dyDescent="0.25">
      <c r="A56" s="17" t="str">
        <f ca="1">IFERROR(__xludf.DUMMYFUNCTION("""COMPUTED_VALUE"""),"Callings")</f>
        <v>Callings</v>
      </c>
      <c r="B56" s="18" t="str">
        <f ca="1">IFERROR(__xludf.DUMMYFUNCTION("""COMPUTED_VALUE"""),"Jeffrey Herrmann")</f>
        <v>Jeffrey Herrmann</v>
      </c>
      <c r="C56" s="17" t="str">
        <f ca="1">IFERROR(__xludf.DUMMYFUNCTION("""COMPUTED_VALUE"""),"EQ 1st Counselor")</f>
        <v>EQ 1st Counselor</v>
      </c>
      <c r="D56" s="17" t="str">
        <f ca="1">IFERROR(__xludf.DUMMYFUNCTION("""COMPUTED_VALUE"""),"Holt")</f>
        <v>Holt</v>
      </c>
      <c r="E56" s="19" t="str">
        <f ca="1">IFERROR(__xludf.DUMMYFUNCTION("""COMPUTED_VALUE"""),"Complete")</f>
        <v>Complete</v>
      </c>
      <c r="F56" s="20">
        <f ca="1">IFERROR(__xludf.DUMMYFUNCTION("""COMPUTED_VALUE"""),46058.3959045833)</f>
        <v>46058.395904583303</v>
      </c>
      <c r="G56" s="21" t="str">
        <f ca="1">IFERROR(__xludf.DUMMYFUNCTION("""COMPUTED_VALUE"""),"Pierce")</f>
        <v>Pierce</v>
      </c>
      <c r="H56" s="20" t="str">
        <f ca="1">IFERROR(__xludf.DUMMYFUNCTION("""COMPUTED_VALUE"""),"B. Thorpe")</f>
        <v>B. Thorpe</v>
      </c>
      <c r="I56" s="22" t="str">
        <f ca="1">IFERROR(__xludf.DUMMYFUNCTION("""COMPUTED_VALUE"""),"https://docs.google.com/forms/d/e/1FAIpQLSd37AKX0Ca1Yeje6eC6NuliFZj5Spn7I7mXRsa9kBsXMqB-Ag/viewform?edit2=2_ABaOnue66NZ8CHKfjK3R7gTxdxgvrjGpG3tqvtkmrm6FPFcQf-lImxmTrUVk97eWDxwsCdE")</f>
        <v>https://docs.google.com/forms/d/e/1FAIpQLSd37AKX0Ca1Yeje6eC6NuliFZj5Spn7I7mXRsa9kBsXMqB-Ag/viewform?edit2=2_ABaOnue66NZ8CHKfjK3R7gTxdxgvrjGpG3tqvtkmrm6FPFcQf-lImxmTrUVk97eWDxwsCdE</v>
      </c>
    </row>
    <row r="57" spans="1:9" ht="13.2" x14ac:dyDescent="0.25">
      <c r="A57" s="17" t="str">
        <f ca="1">IFERROR(__xludf.DUMMYFUNCTION("""COMPUTED_VALUE"""),"Callings")</f>
        <v>Callings</v>
      </c>
      <c r="B57" s="18" t="str">
        <f ca="1">IFERROR(__xludf.DUMMYFUNCTION("""COMPUTED_VALUE"""),"Adam Ferero")</f>
        <v>Adam Ferero</v>
      </c>
      <c r="C57" s="17" t="str">
        <f ca="1">IFERROR(__xludf.DUMMYFUNCTION("""COMPUTED_VALUE"""),"Elders Quorum President")</f>
        <v>Elders Quorum President</v>
      </c>
      <c r="D57" s="17" t="str">
        <f ca="1">IFERROR(__xludf.DUMMYFUNCTION("""COMPUTED_VALUE"""),"Holt")</f>
        <v>Holt</v>
      </c>
      <c r="E57" s="19" t="str">
        <f ca="1">IFERROR(__xludf.DUMMYFUNCTION("""COMPUTED_VALUE"""),"Complete")</f>
        <v>Complete</v>
      </c>
      <c r="F57" s="20">
        <f ca="1">IFERROR(__xludf.DUMMYFUNCTION("""COMPUTED_VALUE"""),46058.3956719212)</f>
        <v>46058.3956719212</v>
      </c>
      <c r="G57" s="21" t="str">
        <f ca="1">IFERROR(__xludf.DUMMYFUNCTION("""COMPUTED_VALUE"""),"Rawson")</f>
        <v>Rawson</v>
      </c>
      <c r="H57" s="20" t="str">
        <f ca="1">IFERROR(__xludf.DUMMYFUNCTION("""COMPUTED_VALUE"""),"B. Thorpe")</f>
        <v>B. Thorpe</v>
      </c>
      <c r="I57" s="22" t="str">
        <f ca="1">IFERROR(__xludf.DUMMYFUNCTION("""COMPUTED_VALUE"""),"https://docs.google.com/forms/d/e/1FAIpQLSd37AKX0Ca1Yeje6eC6NuliFZj5Spn7I7mXRsa9kBsXMqB-Ag/viewform?edit2=2_ABaOnuf4xLDAU_tpsM5FswHCkMiBKatekUAKIOk22JwXmcpz6CwHer0sJGeR6cLALX-G5i8")</f>
        <v>https://docs.google.com/forms/d/e/1FAIpQLSd37AKX0Ca1Yeje6eC6NuliFZj5Spn7I7mXRsa9kBsXMqB-Ag/viewform?edit2=2_ABaOnuf4xLDAU_tpsM5FswHCkMiBKatekUAKIOk22JwXmcpz6CwHer0sJGeR6cLALX-G5i8</v>
      </c>
    </row>
    <row r="58" spans="1:9" ht="13.2" x14ac:dyDescent="0.25">
      <c r="A58" s="17" t="str">
        <f ca="1">IFERROR(__xludf.DUMMYFUNCTION("""COMPUTED_VALUE"""),"Callings")</f>
        <v>Callings</v>
      </c>
      <c r="B58" s="18" t="str">
        <f ca="1">IFERROR(__xludf.DUMMYFUNCTION("""COMPUTED_VALUE"""),"Bill Blackmer")</f>
        <v>Bill Blackmer</v>
      </c>
      <c r="C58" s="17" t="str">
        <f ca="1">IFERROR(__xludf.DUMMYFUNCTION("""COMPUTED_VALUE"""),"Assistant Ward Clerk")</f>
        <v>Assistant Ward Clerk</v>
      </c>
      <c r="D58" s="17" t="str">
        <f ca="1">IFERROR(__xludf.DUMMYFUNCTION("""COMPUTED_VALUE"""),"Owosso")</f>
        <v>Owosso</v>
      </c>
      <c r="E58" s="19" t="str">
        <f ca="1">IFERROR(__xludf.DUMMYFUNCTION("""COMPUTED_VALUE"""),"Complete")</f>
        <v>Complete</v>
      </c>
      <c r="F58" s="20">
        <f ca="1">IFERROR(__xludf.DUMMYFUNCTION("""COMPUTED_VALUE"""),46055.4030379166)</f>
        <v>46055.4030379166</v>
      </c>
      <c r="G58" s="21" t="str">
        <f ca="1">IFERROR(__xludf.DUMMYFUNCTION("""COMPUTED_VALUE"""),"Ward")</f>
        <v>Ward</v>
      </c>
      <c r="H58" s="20" t="str">
        <f ca="1">IFERROR(__xludf.DUMMYFUNCTION("""COMPUTED_VALUE"""),"Leifson")</f>
        <v>Leifson</v>
      </c>
      <c r="I58" s="22" t="str">
        <f ca="1">IFERROR(__xludf.DUMMYFUNCTION("""COMPUTED_VALUE"""),"https://docs.google.com/forms/d/e/1FAIpQLSd37AKX0Ca1Yeje6eC6NuliFZj5Spn7I7mXRsa9kBsXMqB-Ag/viewform?edit2=2_ABaOnuds8n1cXqEQges1keQ6gII34Wl56T73IIC2Ms4ZzOmva2PGEpao-nbgJlaOlo6WGJk")</f>
        <v>https://docs.google.com/forms/d/e/1FAIpQLSd37AKX0Ca1Yeje6eC6NuliFZj5Spn7I7mXRsa9kBsXMqB-Ag/viewform?edit2=2_ABaOnuds8n1cXqEQges1keQ6gII34Wl56T73IIC2Ms4ZzOmva2PGEpao-nbgJlaOlo6WGJk</v>
      </c>
    </row>
    <row r="59" spans="1:9" ht="13.2" x14ac:dyDescent="0.25">
      <c r="A59" s="17" t="str">
        <f ca="1">IFERROR(__xludf.DUMMYFUNCTION("""COMPUTED_VALUE"""),"Callings")</f>
        <v>Callings</v>
      </c>
      <c r="B59" s="18" t="str">
        <f ca="1">IFERROR(__xludf.DUMMYFUNCTION("""COMPUTED_VALUE"""),"Cindy Merkley")</f>
        <v>Cindy Merkley</v>
      </c>
      <c r="C59" s="17" t="str">
        <f ca="1">IFERROR(__xludf.DUMMYFUNCTION("""COMPUTED_VALUE"""),"Stake Senior Missionary Specialists")</f>
        <v>Stake Senior Missionary Specialists</v>
      </c>
      <c r="D59" s="17" t="str">
        <f ca="1">IFERROR(__xludf.DUMMYFUNCTION("""COMPUTED_VALUE"""),"Owosso")</f>
        <v>Owosso</v>
      </c>
      <c r="E59" s="19" t="str">
        <f ca="1">IFERROR(__xludf.DUMMYFUNCTION("""COMPUTED_VALUE"""),"Complete")</f>
        <v>Complete</v>
      </c>
      <c r="F59" s="20">
        <f ca="1">IFERROR(__xludf.DUMMYFUNCTION("""COMPUTED_VALUE"""),46055.4007322569)</f>
        <v>46055.400732256901</v>
      </c>
      <c r="G59" s="21" t="str">
        <f ca="1">IFERROR(__xludf.DUMMYFUNCTION("""COMPUTED_VALUE"""),"Earl")</f>
        <v>Earl</v>
      </c>
      <c r="H59" s="20"/>
      <c r="I59" s="22" t="str">
        <f ca="1">IFERROR(__xludf.DUMMYFUNCTION("""COMPUTED_VALUE"""),"https://docs.google.com/forms/d/e/1FAIpQLSd37AKX0Ca1Yeje6eC6NuliFZj5Spn7I7mXRsa9kBsXMqB-Ag/viewform?edit2=2_ABaOnuciQxC4eTTBKIRCx9VtdD5b4Aw4GHipS6jqTlBmttCZv1BkF15QgwkCKnZEb9zBjUI")</f>
        <v>https://docs.google.com/forms/d/e/1FAIpQLSd37AKX0Ca1Yeje6eC6NuliFZj5Spn7I7mXRsa9kBsXMqB-Ag/viewform?edit2=2_ABaOnuciQxC4eTTBKIRCx9VtdD5b4Aw4GHipS6jqTlBmttCZv1BkF15QgwkCKnZEb9zBjUI</v>
      </c>
    </row>
    <row r="60" spans="1:9" ht="13.2" x14ac:dyDescent="0.25">
      <c r="A60" s="17" t="str">
        <f ca="1">IFERROR(__xludf.DUMMYFUNCTION("""COMPUTED_VALUE"""),"Callings")</f>
        <v>Callings</v>
      </c>
      <c r="B60" s="18" t="str">
        <f ca="1">IFERROR(__xludf.DUMMYFUNCTION("""COMPUTED_VALUE"""),"Matt Merkley")</f>
        <v>Matt Merkley</v>
      </c>
      <c r="C60" s="17" t="str">
        <f ca="1">IFERROR(__xludf.DUMMYFUNCTION("""COMPUTED_VALUE"""),"Stake Senior Missionary Specialist")</f>
        <v>Stake Senior Missionary Specialist</v>
      </c>
      <c r="D60" s="17" t="str">
        <f ca="1">IFERROR(__xludf.DUMMYFUNCTION("""COMPUTED_VALUE"""),"Owosso")</f>
        <v>Owosso</v>
      </c>
      <c r="E60" s="19" t="str">
        <f ca="1">IFERROR(__xludf.DUMMYFUNCTION("""COMPUTED_VALUE"""),"Complete")</f>
        <v>Complete</v>
      </c>
      <c r="F60" s="20">
        <f ca="1">IFERROR(__xludf.DUMMYFUNCTION("""COMPUTED_VALUE"""),46055.4005173495)</f>
        <v>46055.400517349502</v>
      </c>
      <c r="G60" s="21" t="str">
        <f ca="1">IFERROR(__xludf.DUMMYFUNCTION("""COMPUTED_VALUE"""),"Earl")</f>
        <v>Earl</v>
      </c>
      <c r="H60" s="20"/>
      <c r="I60" s="22" t="str">
        <f ca="1">IFERROR(__xludf.DUMMYFUNCTION("""COMPUTED_VALUE"""),"https://docs.google.com/forms/d/e/1FAIpQLSd37AKX0Ca1Yeje6eC6NuliFZj5Spn7I7mXRsa9kBsXMqB-Ag/viewform?edit2=2_ABaOnue59nTKwmLOFBeEDNy4A4E50G9m4_Taygd-t5Jtfj3LUJtYDs4lyYyNgEvaenq_DkA")</f>
        <v>https://docs.google.com/forms/d/e/1FAIpQLSd37AKX0Ca1Yeje6eC6NuliFZj5Spn7I7mXRsa9kBsXMqB-Ag/viewform?edit2=2_ABaOnue59nTKwmLOFBeEDNy4A4E50G9m4_Taygd-t5Jtfj3LUJtYDs4lyYyNgEvaenq_DkA</v>
      </c>
    </row>
    <row r="61" spans="1:9" ht="13.2" x14ac:dyDescent="0.25">
      <c r="A61" s="17" t="str">
        <f ca="1">IFERROR(__xludf.DUMMYFUNCTION("""COMPUTED_VALUE"""),"Callings")</f>
        <v>Callings</v>
      </c>
      <c r="B61" s="18" t="str">
        <f ca="1">IFERROR(__xludf.DUMMYFUNCTION("""COMPUTED_VALUE"""),"Jacob Kirkham")</f>
        <v>Jacob Kirkham</v>
      </c>
      <c r="C61" s="17" t="str">
        <f ca="1">IFERROR(__xludf.DUMMYFUNCTION("""COMPUTED_VALUE"""),"EQ 1st Counselor")</f>
        <v>EQ 1st Counselor</v>
      </c>
      <c r="D61" s="17" t="str">
        <f ca="1">IFERROR(__xludf.DUMMYFUNCTION("""COMPUTED_VALUE"""),"St Johns")</f>
        <v>St Johns</v>
      </c>
      <c r="E61" s="19" t="str">
        <f ca="1">IFERROR(__xludf.DUMMYFUNCTION("""COMPUTED_VALUE"""),"Complete")</f>
        <v>Complete</v>
      </c>
      <c r="F61" s="20">
        <f ca="1">IFERROR(__xludf.DUMMYFUNCTION("""COMPUTED_VALUE"""),46047.4890721064)</f>
        <v>46047.4890721064</v>
      </c>
      <c r="G61" s="21"/>
      <c r="H61" s="20" t="str">
        <f ca="1">IFERROR(__xludf.DUMMYFUNCTION("""COMPUTED_VALUE"""),"Joseph")</f>
        <v>Joseph</v>
      </c>
      <c r="I61" s="22" t="str">
        <f ca="1">IFERROR(__xludf.DUMMYFUNCTION("""COMPUTED_VALUE"""),"https://docs.google.com/forms/d/e/1FAIpQLSd37AKX0Ca1Yeje6eC6NuliFZj5Spn7I7mXRsa9kBsXMqB-Ag/viewform?edit2=2_ABaOnueU6CV0L6qzYn4M7aGmwgquZmZu_wiXdlo63ftKLtzBRvGCv_JpzcPEO4tG3a6TmJo")</f>
        <v>https://docs.google.com/forms/d/e/1FAIpQLSd37AKX0Ca1Yeje6eC6NuliFZj5Spn7I7mXRsa9kBsXMqB-Ag/viewform?edit2=2_ABaOnueU6CV0L6qzYn4M7aGmwgquZmZu_wiXdlo63ftKLtzBRvGCv_JpzcPEO4tG3a6TmJo</v>
      </c>
    </row>
    <row r="62" spans="1:9" ht="13.2" x14ac:dyDescent="0.25">
      <c r="A62" s="17" t="str">
        <f ca="1">IFERROR(__xludf.DUMMYFUNCTION("""COMPUTED_VALUE"""),"Callings")</f>
        <v>Callings</v>
      </c>
      <c r="B62" s="18" t="str">
        <f ca="1">IFERROR(__xludf.DUMMYFUNCTION("""COMPUTED_VALUE"""),"Dan Rathka")</f>
        <v>Dan Rathka</v>
      </c>
      <c r="C62" s="17" t="str">
        <f ca="1">IFERROR(__xludf.DUMMYFUNCTION("""COMPUTED_VALUE"""),"EQ 2nd Counselor")</f>
        <v>EQ 2nd Counselor</v>
      </c>
      <c r="D62" s="17" t="str">
        <f ca="1">IFERROR(__xludf.DUMMYFUNCTION("""COMPUTED_VALUE"""),"St Johns")</f>
        <v>St Johns</v>
      </c>
      <c r="E62" s="19" t="str">
        <f ca="1">IFERROR(__xludf.DUMMYFUNCTION("""COMPUTED_VALUE"""),"Complete")</f>
        <v>Complete</v>
      </c>
      <c r="F62" s="20">
        <f ca="1">IFERROR(__xludf.DUMMYFUNCTION("""COMPUTED_VALUE"""),46047.4886341435)</f>
        <v>46047.488634143498</v>
      </c>
      <c r="G62" s="21" t="str">
        <f ca="1">IFERROR(__xludf.DUMMYFUNCTION("""COMPUTED_VALUE"""),"Pierce")</f>
        <v>Pierce</v>
      </c>
      <c r="H62" s="20" t="str">
        <f ca="1">IFERROR(__xludf.DUMMYFUNCTION("""COMPUTED_VALUE"""),"Joseph")</f>
        <v>Joseph</v>
      </c>
      <c r="I62" s="22" t="str">
        <f ca="1">IFERROR(__xludf.DUMMYFUNCTION("""COMPUTED_VALUE"""),"https://docs.google.com/forms/d/e/1FAIpQLSd37AKX0Ca1Yeje6eC6NuliFZj5Spn7I7mXRsa9kBsXMqB-Ag/viewform?edit2=2_ABaOnueEPwh1foCkF5p13wFtRWpghPhSqtbCjBXGJ58UvmEhVSHxI8HVV_XNL4yER31Pfss")</f>
        <v>https://docs.google.com/forms/d/e/1FAIpQLSd37AKX0Ca1Yeje6eC6NuliFZj5Spn7I7mXRsa9kBsXMqB-Ag/viewform?edit2=2_ABaOnueEPwh1foCkF5p13wFtRWpghPhSqtbCjBXGJ58UvmEhVSHxI8HVV_XNL4yER31Pfss</v>
      </c>
    </row>
    <row r="63" spans="1:9" ht="13.2" x14ac:dyDescent="0.25">
      <c r="A63" s="17" t="str">
        <f ca="1">IFERROR(__xludf.DUMMYFUNCTION("""COMPUTED_VALUE"""),"Callings")</f>
        <v>Callings</v>
      </c>
      <c r="B63" s="18" t="str">
        <f ca="1">IFERROR(__xludf.DUMMYFUNCTION("""COMPUTED_VALUE"""),"Brent Nostrant")</f>
        <v>Brent Nostrant</v>
      </c>
      <c r="C63" s="17" t="str">
        <f ca="1">IFERROR(__xludf.DUMMYFUNCTION("""COMPUTED_VALUE"""),"Elders Quorum President")</f>
        <v>Elders Quorum President</v>
      </c>
      <c r="D63" s="17" t="str">
        <f ca="1">IFERROR(__xludf.DUMMYFUNCTION("""COMPUTED_VALUE"""),"St Johns")</f>
        <v>St Johns</v>
      </c>
      <c r="E63" s="19" t="str">
        <f ca="1">IFERROR(__xludf.DUMMYFUNCTION("""COMPUTED_VALUE"""),"Complete")</f>
        <v>Complete</v>
      </c>
      <c r="F63" s="20">
        <f ca="1">IFERROR(__xludf.DUMMYFUNCTION("""COMPUTED_VALUE"""),46047.4881020138)</f>
        <v>46047.488102013798</v>
      </c>
      <c r="G63" s="21" t="str">
        <f ca="1">IFERROR(__xludf.DUMMYFUNCTION("""COMPUTED_VALUE"""),"Rawson")</f>
        <v>Rawson</v>
      </c>
      <c r="H63" s="20" t="str">
        <f ca="1">IFERROR(__xludf.DUMMYFUNCTION("""COMPUTED_VALUE"""),"Joseph")</f>
        <v>Joseph</v>
      </c>
      <c r="I63" s="22" t="str">
        <f ca="1">IFERROR(__xludf.DUMMYFUNCTION("""COMPUTED_VALUE"""),"https://docs.google.com/forms/d/e/1FAIpQLSd37AKX0Ca1Yeje6eC6NuliFZj5Spn7I7mXRsa9kBsXMqB-Ag/viewform?edit2=2_ABaOnudWylz-N1brbnTL28kF5bF6e1dxnhA2Q37Althy3VAa_Lka6LX6nBQK3plxVt4RPjk")</f>
        <v>https://docs.google.com/forms/d/e/1FAIpQLSd37AKX0Ca1Yeje6eC6NuliFZj5Spn7I7mXRsa9kBsXMqB-Ag/viewform?edit2=2_ABaOnudWylz-N1brbnTL28kF5bF6e1dxnhA2Q37Althy3VAa_Lka6LX6nBQK3plxVt4RPjk</v>
      </c>
    </row>
    <row r="64" spans="1:9" ht="13.2" x14ac:dyDescent="0.25">
      <c r="A64" s="17" t="str">
        <f ca="1">IFERROR(__xludf.DUMMYFUNCTION("""COMPUTED_VALUE"""),"Callings")</f>
        <v>Callings</v>
      </c>
      <c r="B64" s="18" t="str">
        <f ca="1">IFERROR(__xludf.DUMMYFUNCTION("""COMPUTED_VALUE"""),"Logan Fuller")</f>
        <v>Logan Fuller</v>
      </c>
      <c r="C64" s="17" t="str">
        <f ca="1">IFERROR(__xludf.DUMMYFUNCTION("""COMPUTED_VALUE"""),"Assistant Executive Secretary")</f>
        <v>Assistant Executive Secretary</v>
      </c>
      <c r="D64" s="17" t="str">
        <f ca="1">IFERROR(__xludf.DUMMYFUNCTION("""COMPUTED_VALUE"""),"YSA")</f>
        <v>YSA</v>
      </c>
      <c r="E64" s="19" t="str">
        <f ca="1">IFERROR(__xludf.DUMMYFUNCTION("""COMPUTED_VALUE"""),"Complete")</f>
        <v>Complete</v>
      </c>
      <c r="F64" s="20">
        <f ca="1">IFERROR(__xludf.DUMMYFUNCTION("""COMPUTED_VALUE"""),46040.6125439467)</f>
        <v>46040.6125439467</v>
      </c>
      <c r="G64" s="21" t="str">
        <f ca="1">IFERROR(__xludf.DUMMYFUNCTION("""COMPUTED_VALUE"""),"Conn")</f>
        <v>Conn</v>
      </c>
      <c r="H64" s="20" t="str">
        <f ca="1">IFERROR(__xludf.DUMMYFUNCTION("""COMPUTED_VALUE"""),"Hilgendorf")</f>
        <v>Hilgendorf</v>
      </c>
      <c r="I64" s="22" t="str">
        <f ca="1">IFERROR(__xludf.DUMMYFUNCTION("""COMPUTED_VALUE"""),"https://docs.google.com/forms/d/e/1FAIpQLSd37AKX0Ca1Yeje6eC6NuliFZj5Spn7I7mXRsa9kBsXMqB-Ag/viewform?edit2=2_ABaOnufWFP9HETYNJ3J5EUfjOIhDoa5KZFj2apAnrBOV6JXJzgQYkHtCfkj4lP4wohCMwtE")</f>
        <v>https://docs.google.com/forms/d/e/1FAIpQLSd37AKX0Ca1Yeje6eC6NuliFZj5Spn7I7mXRsa9kBsXMqB-Ag/viewform?edit2=2_ABaOnufWFP9HETYNJ3J5EUfjOIhDoa5KZFj2apAnrBOV6JXJzgQYkHtCfkj4lP4wohCMwtE</v>
      </c>
    </row>
    <row r="65" spans="1:9" ht="13.2" x14ac:dyDescent="0.25">
      <c r="A65" s="17" t="str">
        <f ca="1">IFERROR(__xludf.DUMMYFUNCTION("""COMPUTED_VALUE"""),"Callings")</f>
        <v>Callings</v>
      </c>
      <c r="B65" s="18" t="str">
        <f ca="1">IFERROR(__xludf.DUMMYFUNCTION("""COMPUTED_VALUE"""),"Lee Ann Laukka")</f>
        <v>Lee Ann Laukka</v>
      </c>
      <c r="C65" s="17" t="str">
        <f ca="1">IFERROR(__xludf.DUMMYFUNCTION("""COMPUTED_VALUE"""),"Stake Relief Society 2nd Counselor")</f>
        <v>Stake Relief Society 2nd Counselor</v>
      </c>
      <c r="D65" s="17" t="str">
        <f ca="1">IFERROR(__xludf.DUMMYFUNCTION("""COMPUTED_VALUE"""),"Owosso")</f>
        <v>Owosso</v>
      </c>
      <c r="E65" s="19" t="str">
        <f ca="1">IFERROR(__xludf.DUMMYFUNCTION("""COMPUTED_VALUE"""),"Complete")</f>
        <v>Complete</v>
      </c>
      <c r="F65" s="20">
        <f ca="1">IFERROR(__xludf.DUMMYFUNCTION("""COMPUTED_VALUE"""),46005.3776609027)</f>
        <v>46005.377660902697</v>
      </c>
      <c r="G65" s="21" t="str">
        <f ca="1">IFERROR(__xludf.DUMMYFUNCTION("""COMPUTED_VALUE"""),"Earl")</f>
        <v>Earl</v>
      </c>
      <c r="H65" s="20" t="str">
        <f ca="1">IFERROR(__xludf.DUMMYFUNCTION("""COMPUTED_VALUE"""),"Earl")</f>
        <v>Earl</v>
      </c>
      <c r="I65" s="22" t="str">
        <f ca="1">IFERROR(__xludf.DUMMYFUNCTION("""COMPUTED_VALUE"""),"https://docs.google.com/forms/d/e/1FAIpQLSd37AKX0Ca1Yeje6eC6NuliFZj5Spn7I7mXRsa9kBsXMqB-Ag/viewform?edit2=2_ABaOnueQXAYHk584kJhjy388LUqazq7e-U9SR8htrfX_qegV5t1VyfqM-vER3RMIdSMR100")</f>
        <v>https://docs.google.com/forms/d/e/1FAIpQLSd37AKX0Ca1Yeje6eC6NuliFZj5Spn7I7mXRsa9kBsXMqB-Ag/viewform?edit2=2_ABaOnueQXAYHk584kJhjy388LUqazq7e-U9SR8htrfX_qegV5t1VyfqM-vER3RMIdSMR100</v>
      </c>
    </row>
    <row r="66" spans="1:9" ht="13.2" x14ac:dyDescent="0.25">
      <c r="A66" s="17" t="str">
        <f ca="1">IFERROR(__xludf.DUMMYFUNCTION("""COMPUTED_VALUE"""),"Callings")</f>
        <v>Callings</v>
      </c>
      <c r="B66" s="18" t="str">
        <f ca="1">IFERROR(__xludf.DUMMYFUNCTION("""COMPUTED_VALUE"""),"Christina Gentile")</f>
        <v>Christina Gentile</v>
      </c>
      <c r="C66" s="17" t="str">
        <f ca="1">IFERROR(__xludf.DUMMYFUNCTION("""COMPUTED_VALUE"""),"Stake Relief Society 1st Counselor")</f>
        <v>Stake Relief Society 1st Counselor</v>
      </c>
      <c r="D66" s="17" t="str">
        <f ca="1">IFERROR(__xludf.DUMMYFUNCTION("""COMPUTED_VALUE"""),"St Johns")</f>
        <v>St Johns</v>
      </c>
      <c r="E66" s="19" t="str">
        <f ca="1">IFERROR(__xludf.DUMMYFUNCTION("""COMPUTED_VALUE"""),"Complete")</f>
        <v>Complete</v>
      </c>
      <c r="F66" s="20">
        <f ca="1">IFERROR(__xludf.DUMMYFUNCTION("""COMPUTED_VALUE"""),46005.376748368)</f>
        <v>46005.376748367999</v>
      </c>
      <c r="G66" s="21" t="str">
        <f ca="1">IFERROR(__xludf.DUMMYFUNCTION("""COMPUTED_VALUE"""),"Earl")</f>
        <v>Earl</v>
      </c>
      <c r="H66" s="20" t="str">
        <f ca="1">IFERROR(__xludf.DUMMYFUNCTION("""COMPUTED_VALUE"""),"Earl")</f>
        <v>Earl</v>
      </c>
      <c r="I66" s="22" t="str">
        <f ca="1">IFERROR(__xludf.DUMMYFUNCTION("""COMPUTED_VALUE"""),"https://docs.google.com/forms/d/e/1FAIpQLSd37AKX0Ca1Yeje6eC6NuliFZj5Spn7I7mXRsa9kBsXMqB-Ag/viewform?edit2=2_ABaOnudoNBvw3THZ41dqtCsdUKuAuJjB0DS61NMmaPCGruHj-T9AWO-iGHiUD40ToAaN_9I")</f>
        <v>https://docs.google.com/forms/d/e/1FAIpQLSd37AKX0Ca1Yeje6eC6NuliFZj5Spn7I7mXRsa9kBsXMqB-Ag/viewform?edit2=2_ABaOnudoNBvw3THZ41dqtCsdUKuAuJjB0DS61NMmaPCGruHj-T9AWO-iGHiUD40ToAaN_9I</v>
      </c>
    </row>
    <row r="67" spans="1:9" ht="13.2" x14ac:dyDescent="0.25">
      <c r="A67" s="17" t="str">
        <f ca="1">IFERROR(__xludf.DUMMYFUNCTION("""COMPUTED_VALUE"""),"Callings")</f>
        <v>Callings</v>
      </c>
      <c r="B67" s="18" t="str">
        <f ca="1">IFERROR(__xludf.DUMMYFUNCTION("""COMPUTED_VALUE"""),"Gaylynn Doty")</f>
        <v>Gaylynn Doty</v>
      </c>
      <c r="C67" s="17" t="str">
        <f ca="1">IFERROR(__xludf.DUMMYFUNCTION("""COMPUTED_VALUE"""),"Stake Relief Society President")</f>
        <v>Stake Relief Society President</v>
      </c>
      <c r="D67" s="17" t="str">
        <f ca="1">IFERROR(__xludf.DUMMYFUNCTION("""COMPUTED_VALUE"""),"Portland")</f>
        <v>Portland</v>
      </c>
      <c r="E67" s="19" t="str">
        <f ca="1">IFERROR(__xludf.DUMMYFUNCTION("""COMPUTED_VALUE"""),"Complete")</f>
        <v>Complete</v>
      </c>
      <c r="F67" s="20">
        <f ca="1">IFERROR(__xludf.DUMMYFUNCTION("""COMPUTED_VALUE"""),46005.3758235532)</f>
        <v>46005.3758235532</v>
      </c>
      <c r="G67" s="21" t="str">
        <f ca="1">IFERROR(__xludf.DUMMYFUNCTION("""COMPUTED_VALUE"""),"Rawson")</f>
        <v>Rawson</v>
      </c>
      <c r="H67" s="20" t="str">
        <f ca="1">IFERROR(__xludf.DUMMYFUNCTION("""COMPUTED_VALUE"""),"Earl")</f>
        <v>Earl</v>
      </c>
      <c r="I67" s="22" t="str">
        <f ca="1">IFERROR(__xludf.DUMMYFUNCTION("""COMPUTED_VALUE"""),"https://docs.google.com/forms/d/e/1FAIpQLSd37AKX0Ca1Yeje6eC6NuliFZj5Spn7I7mXRsa9kBsXMqB-Ag/viewform?edit2=2_ABaOnuc_fh3vMbyRgn43S5eCZwRDFgXS68lbvKe-_HVrVzwtCgXEVaKf_p0nJWByALtUk9w")</f>
        <v>https://docs.google.com/forms/d/e/1FAIpQLSd37AKX0Ca1Yeje6eC6NuliFZj5Spn7I7mXRsa9kBsXMqB-Ag/viewform?edit2=2_ABaOnuc_fh3vMbyRgn43S5eCZwRDFgXS68lbvKe-_HVrVzwtCgXEVaKf_p0nJWByALtUk9w</v>
      </c>
    </row>
    <row r="68" spans="1:9" ht="13.2" x14ac:dyDescent="0.25">
      <c r="A68" s="17" t="str">
        <f ca="1">IFERROR(__xludf.DUMMYFUNCTION("""COMPUTED_VALUE"""),"Callings")</f>
        <v>Callings</v>
      </c>
      <c r="B68" s="18" t="str">
        <f ca="1">IFERROR(__xludf.DUMMYFUNCTION("""COMPUTED_VALUE"""),"Craig Walker")</f>
        <v>Craig Walker</v>
      </c>
      <c r="C68" s="17" t="str">
        <f ca="1">IFERROR(__xludf.DUMMYFUNCTION("""COMPUTED_VALUE"""),"Assistant Ward Clerk - Membership")</f>
        <v>Assistant Ward Clerk - Membership</v>
      </c>
      <c r="D68" s="17" t="str">
        <f ca="1">IFERROR(__xludf.DUMMYFUNCTION("""COMPUTED_VALUE"""),"YSA")</f>
        <v>YSA</v>
      </c>
      <c r="E68" s="19" t="str">
        <f ca="1">IFERROR(__xludf.DUMMYFUNCTION("""COMPUTED_VALUE"""),"Complete")</f>
        <v>Complete</v>
      </c>
      <c r="F68" s="20">
        <f ca="1">IFERROR(__xludf.DUMMYFUNCTION("""COMPUTED_VALUE"""),45983.8021339699)</f>
        <v>45983.802133969897</v>
      </c>
      <c r="G68" s="21" t="str">
        <f ca="1">IFERROR(__xludf.DUMMYFUNCTION("""COMPUTED_VALUE"""),"Conn")</f>
        <v>Conn</v>
      </c>
      <c r="H68" s="20" t="str">
        <f ca="1">IFERROR(__xludf.DUMMYFUNCTION("""COMPUTED_VALUE"""),"Leifson")</f>
        <v>Leifson</v>
      </c>
      <c r="I68" s="22" t="str">
        <f ca="1">IFERROR(__xludf.DUMMYFUNCTION("""COMPUTED_VALUE"""),"https://docs.google.com/forms/d/e/1FAIpQLSd37AKX0Ca1Yeje6eC6NuliFZj5Spn7I7mXRsa9kBsXMqB-Ag/viewform?edit2=2_ABaOnuevPvgCpRTtXzF_nEg8ubPB1kpyPumvlKqedug0yXA_NBt_zSEQ5A5elQPQn8Pz8MI")</f>
        <v>https://docs.google.com/forms/d/e/1FAIpQLSd37AKX0Ca1Yeje6eC6NuliFZj5Spn7I7mXRsa9kBsXMqB-Ag/viewform?edit2=2_ABaOnuevPvgCpRTtXzF_nEg8ubPB1kpyPumvlKqedug0yXA_NBt_zSEQ5A5elQPQn8Pz8MI</v>
      </c>
    </row>
    <row r="69" spans="1:9" ht="13.2" x14ac:dyDescent="0.25">
      <c r="A69" s="17" t="str">
        <f ca="1">IFERROR(__xludf.DUMMYFUNCTION("""COMPUTED_VALUE"""),"Callings")</f>
        <v>Callings</v>
      </c>
      <c r="B69" s="18" t="str">
        <f ca="1">IFERROR(__xludf.DUMMYFUNCTION("""COMPUTED_VALUE"""),"Tammy Emfield")</f>
        <v>Tammy Emfield</v>
      </c>
      <c r="C69" s="17" t="str">
        <f ca="1">IFERROR(__xludf.DUMMYFUNCTION("""COMPUTED_VALUE"""),"Stake Relief Society 2nd Counselor")</f>
        <v>Stake Relief Society 2nd Counselor</v>
      </c>
      <c r="D69" s="17" t="str">
        <f ca="1">IFERROR(__xludf.DUMMYFUNCTION("""COMPUTED_VALUE"""),"Charlotte")</f>
        <v>Charlotte</v>
      </c>
      <c r="E69" s="19" t="str">
        <f ca="1">IFERROR(__xludf.DUMMYFUNCTION("""COMPUTED_VALUE"""),"Declined")</f>
        <v>Declined</v>
      </c>
      <c r="F69" s="20">
        <f ca="1">IFERROR(__xludf.DUMMYFUNCTION("""COMPUTED_VALUE"""),45982.3950845023)</f>
        <v>45982.395084502299</v>
      </c>
      <c r="G69" s="21" t="str">
        <f ca="1">IFERROR(__xludf.DUMMYFUNCTION("""COMPUTED_VALUE"""),"Pierce")</f>
        <v>Pierce</v>
      </c>
      <c r="H69" s="20"/>
      <c r="I69" s="22" t="str">
        <f ca="1">IFERROR(__xludf.DUMMYFUNCTION("""COMPUTED_VALUE"""),"https://docs.google.com/forms/d/e/1FAIpQLSd37AKX0Ca1Yeje6eC6NuliFZj5Spn7I7mXRsa9kBsXMqB-Ag/viewform?edit2=2_ABaOnue3Jad5W9Uar32FIQIIrw-Mr5hDOEOwWLRFXGzjIm6vlllA3_MpAdkc1Fc6niJcSVM")</f>
        <v>https://docs.google.com/forms/d/e/1FAIpQLSd37AKX0Ca1Yeje6eC6NuliFZj5Spn7I7mXRsa9kBsXMqB-Ag/viewform?edit2=2_ABaOnue3Jad5W9Uar32FIQIIrw-Mr5hDOEOwWLRFXGzjIm6vlllA3_MpAdkc1Fc6niJcSVM</v>
      </c>
    </row>
    <row r="70" spans="1:9" ht="13.2" x14ac:dyDescent="0.25">
      <c r="A70" s="17" t="str">
        <f ca="1">IFERROR(__xludf.DUMMYFUNCTION("""COMPUTED_VALUE"""),"Callings")</f>
        <v>Callings</v>
      </c>
      <c r="B70" s="18" t="str">
        <f ca="1">IFERROR(__xludf.DUMMYFUNCTION("""COMPUTED_VALUE"""),"Christopher Schafer")</f>
        <v>Christopher Schafer</v>
      </c>
      <c r="C70" s="17" t="str">
        <f ca="1">IFERROR(__xludf.DUMMYFUNCTION("""COMPUTED_VALUE"""),"High Council &amp; Stake YM Counselor")</f>
        <v>High Council &amp; Stake YM Counselor</v>
      </c>
      <c r="D70" s="17" t="str">
        <f ca="1">IFERROR(__xludf.DUMMYFUNCTION("""COMPUTED_VALUE"""),"Lansing")</f>
        <v>Lansing</v>
      </c>
      <c r="E70" s="19" t="str">
        <f ca="1">IFERROR(__xludf.DUMMYFUNCTION("""COMPUTED_VALUE"""),"Complete")</f>
        <v>Complete</v>
      </c>
      <c r="F70" s="20">
        <f ca="1">IFERROR(__xludf.DUMMYFUNCTION("""COMPUTED_VALUE"""),45977.4072028935)</f>
        <v>45977.407202893497</v>
      </c>
      <c r="G70" s="21" t="str">
        <f ca="1">IFERROR(__xludf.DUMMYFUNCTION("""COMPUTED_VALUE"""),"Earl")</f>
        <v>Earl</v>
      </c>
      <c r="H70" s="20" t="str">
        <f ca="1">IFERROR(__xludf.DUMMYFUNCTION("""COMPUTED_VALUE"""),"Pierce")</f>
        <v>Pierce</v>
      </c>
      <c r="I70" s="22" t="str">
        <f ca="1">IFERROR(__xludf.DUMMYFUNCTION("""COMPUTED_VALUE"""),"https://docs.google.com/forms/d/e/1FAIpQLSd37AKX0Ca1Yeje6eC6NuliFZj5Spn7I7mXRsa9kBsXMqB-Ag/viewform?edit2=2_ABaOnudW1H-nhw-T7zEA8a34IzysnsIArmJ9qBn2uDVh9vHWpaFI5zacowSx24UOdHJmwzM")</f>
        <v>https://docs.google.com/forms/d/e/1FAIpQLSd37AKX0Ca1Yeje6eC6NuliFZj5Spn7I7mXRsa9kBsXMqB-Ag/viewform?edit2=2_ABaOnudW1H-nhw-T7zEA8a34IzysnsIArmJ9qBn2uDVh9vHWpaFI5zacowSx24UOdHJmwzM</v>
      </c>
    </row>
    <row r="71" spans="1:9" ht="13.2" x14ac:dyDescent="0.25">
      <c r="A71" s="17" t="str">
        <f ca="1">IFERROR(__xludf.DUMMYFUNCTION("""COMPUTED_VALUE"""),"Callings")</f>
        <v>Callings</v>
      </c>
      <c r="B71" s="18" t="str">
        <f ca="1">IFERROR(__xludf.DUMMYFUNCTION("""COMPUTED_VALUE"""),"Brett Thorpe")</f>
        <v>Brett Thorpe</v>
      </c>
      <c r="C71" s="17" t="str">
        <f ca="1">IFERROR(__xludf.DUMMYFUNCTION("""COMPUTED_VALUE"""),"Stake High Councilor &amp; Stake YM Counselor")</f>
        <v>Stake High Councilor &amp; Stake YM Counselor</v>
      </c>
      <c r="D71" s="17" t="str">
        <f ca="1">IFERROR(__xludf.DUMMYFUNCTION("""COMPUTED_VALUE"""),"Williamston")</f>
        <v>Williamston</v>
      </c>
      <c r="E71" s="19" t="str">
        <f ca="1">IFERROR(__xludf.DUMMYFUNCTION("""COMPUTED_VALUE"""),"Complete")</f>
        <v>Complete</v>
      </c>
      <c r="F71" s="20">
        <f ca="1">IFERROR(__xludf.DUMMYFUNCTION("""COMPUTED_VALUE"""),45977.406985)</f>
        <v>45977.406985000001</v>
      </c>
      <c r="G71" s="21" t="str">
        <f ca="1">IFERROR(__xludf.DUMMYFUNCTION("""COMPUTED_VALUE"""),"Earl")</f>
        <v>Earl</v>
      </c>
      <c r="H71" s="20" t="str">
        <f ca="1">IFERROR(__xludf.DUMMYFUNCTION("""COMPUTED_VALUE"""),"Pierce")</f>
        <v>Pierce</v>
      </c>
      <c r="I71" s="22" t="str">
        <f ca="1">IFERROR(__xludf.DUMMYFUNCTION("""COMPUTED_VALUE"""),"https://docs.google.com/forms/d/e/1FAIpQLSd37AKX0Ca1Yeje6eC6NuliFZj5Spn7I7mXRsa9kBsXMqB-Ag/viewform?edit2=2_ABaOnude3YIYds7K8MD9MdM7f73dSR4nCYONQODTboBHgHM-FyGf0NVBzbPlqzgArPfCPjM")</f>
        <v>https://docs.google.com/forms/d/e/1FAIpQLSd37AKX0Ca1Yeje6eC6NuliFZj5Spn7I7mXRsa9kBsXMqB-Ag/viewform?edit2=2_ABaOnude3YIYds7K8MD9MdM7f73dSR4nCYONQODTboBHgHM-FyGf0NVBzbPlqzgArPfCPjM</v>
      </c>
    </row>
    <row r="72" spans="1:9" ht="13.2" x14ac:dyDescent="0.25">
      <c r="A72" s="17" t="str">
        <f ca="1">IFERROR(__xludf.DUMMYFUNCTION("""COMPUTED_VALUE"""),"Callings")</f>
        <v>Callings</v>
      </c>
      <c r="B72" s="18" t="str">
        <f ca="1">IFERROR(__xludf.DUMMYFUNCTION("""COMPUTED_VALUE"""),"Dan Murdock")</f>
        <v>Dan Murdock</v>
      </c>
      <c r="C72" s="17" t="str">
        <f ca="1">IFERROR(__xludf.DUMMYFUNCTION("""COMPUTED_VALUE"""),"High Councilor &amp; Stake YM President")</f>
        <v>High Councilor &amp; Stake YM President</v>
      </c>
      <c r="D72" s="17" t="str">
        <f ca="1">IFERROR(__xludf.DUMMYFUNCTION("""COMPUTED_VALUE"""),"YSA")</f>
        <v>YSA</v>
      </c>
      <c r="E72" s="19" t="str">
        <f ca="1">IFERROR(__xludf.DUMMYFUNCTION("""COMPUTED_VALUE"""),"Complete")</f>
        <v>Complete</v>
      </c>
      <c r="F72" s="20">
        <f ca="1">IFERROR(__xludf.DUMMYFUNCTION("""COMPUTED_VALUE"""),45977.40673478)</f>
        <v>45977.406734780001</v>
      </c>
      <c r="G72" s="21" t="str">
        <f ca="1">IFERROR(__xludf.DUMMYFUNCTION("""COMPUTED_VALUE"""),"Pierce")</f>
        <v>Pierce</v>
      </c>
      <c r="H72" s="20" t="str">
        <f ca="1">IFERROR(__xludf.DUMMYFUNCTION("""COMPUTED_VALUE"""),"Pierce")</f>
        <v>Pierce</v>
      </c>
      <c r="I72" s="22" t="str">
        <f ca="1">IFERROR(__xludf.DUMMYFUNCTION("""COMPUTED_VALUE"""),"https://docs.google.com/forms/d/e/1FAIpQLSd37AKX0Ca1Yeje6eC6NuliFZj5Spn7I7mXRsa9kBsXMqB-Ag/viewform?edit2=2_ABaOnueQifeXrb58f2l-fn4zj1w6xN1zs3ijczgGpF_vSkGeA1cb48Av_vY2C04VZEkZzz4")</f>
        <v>https://docs.google.com/forms/d/e/1FAIpQLSd37AKX0Ca1Yeje6eC6NuliFZj5Spn7I7mXRsa9kBsXMqB-Ag/viewform?edit2=2_ABaOnueQifeXrb58f2l-fn4zj1w6xN1zs3ijczgGpF_vSkGeA1cb48Av_vY2C04VZEkZzz4</v>
      </c>
    </row>
    <row r="73" spans="1:9" ht="13.2" x14ac:dyDescent="0.25">
      <c r="A73" s="17" t="str">
        <f ca="1">IFERROR(__xludf.DUMMYFUNCTION("""COMPUTED_VALUE"""),"Callings")</f>
        <v>Callings</v>
      </c>
      <c r="B73" s="18" t="str">
        <f ca="1">IFERROR(__xludf.DUMMYFUNCTION("""COMPUTED_VALUE"""),"Glen Cluff")</f>
        <v>Glen Cluff</v>
      </c>
      <c r="C73" s="17" t="str">
        <f ca="1">IFERROR(__xludf.DUMMYFUNCTION("""COMPUTED_VALUE"""),"Assistant Ward Clerk - Membership")</f>
        <v>Assistant Ward Clerk - Membership</v>
      </c>
      <c r="D73" s="17" t="str">
        <f ca="1">IFERROR(__xludf.DUMMYFUNCTION("""COMPUTED_VALUE"""),"Lansing")</f>
        <v>Lansing</v>
      </c>
      <c r="E73" s="19" t="str">
        <f ca="1">IFERROR(__xludf.DUMMYFUNCTION("""COMPUTED_VALUE"""),"Complete")</f>
        <v>Complete</v>
      </c>
      <c r="F73" s="20">
        <f ca="1">IFERROR(__xludf.DUMMYFUNCTION("""COMPUTED_VALUE"""),45975.3452272685)</f>
        <v>45975.345227268503</v>
      </c>
      <c r="G73" s="21" t="str">
        <f ca="1">IFERROR(__xludf.DUMMYFUNCTION("""COMPUTED_VALUE"""),"McCrary")</f>
        <v>McCrary</v>
      </c>
      <c r="H73" s="20" t="str">
        <f ca="1">IFERROR(__xludf.DUMMYFUNCTION("""COMPUTED_VALUE"""),"Leifson")</f>
        <v>Leifson</v>
      </c>
      <c r="I73" s="22" t="str">
        <f ca="1">IFERROR(__xludf.DUMMYFUNCTION("""COMPUTED_VALUE"""),"https://docs.google.com/forms/d/e/1FAIpQLSd37AKX0Ca1Yeje6eC6NuliFZj5Spn7I7mXRsa9kBsXMqB-Ag/viewform?edit2=2_ABaOnudSPtf3N8SrkyU-NZ4noLqUaeQxb1pg_AcQiDTDSH1P5hEUdmsI32UCDPXITJ435Hs")</f>
        <v>https://docs.google.com/forms/d/e/1FAIpQLSd37AKX0Ca1Yeje6eC6NuliFZj5Spn7I7mXRsa9kBsXMqB-Ag/viewform?edit2=2_ABaOnudSPtf3N8SrkyU-NZ4noLqUaeQxb1pg_AcQiDTDSH1P5hEUdmsI32UCDPXITJ435Hs</v>
      </c>
    </row>
    <row r="74" spans="1:9" ht="13.2" x14ac:dyDescent="0.25">
      <c r="A74" s="17" t="str">
        <f ca="1">IFERROR(__xludf.DUMMYFUNCTION("""COMPUTED_VALUE"""),"Releasings")</f>
        <v>Releasings</v>
      </c>
      <c r="B74" s="18" t="str">
        <f ca="1">IFERROR(__xludf.DUMMYFUNCTION("""COMPUTED_VALUE"""),"Lindon Robison")</f>
        <v>Lindon Robison</v>
      </c>
      <c r="C74" s="17" t="str">
        <f ca="1">IFERROR(__xludf.DUMMYFUNCTION("""COMPUTED_VALUE"""),"Stake Young Single Adult Advisor")</f>
        <v>Stake Young Single Adult Advisor</v>
      </c>
      <c r="D74" s="17" t="str">
        <f ca="1">IFERROR(__xludf.DUMMYFUNCTION("""COMPUTED_VALUE"""),"Williamston")</f>
        <v>Williamston</v>
      </c>
      <c r="E74" s="19" t="str">
        <f ca="1">IFERROR(__xludf.DUMMYFUNCTION("""COMPUTED_VALUE"""),"Complete")</f>
        <v>Complete</v>
      </c>
      <c r="F74" s="20">
        <f ca="1">IFERROR(__xludf.DUMMYFUNCTION("""COMPUTED_VALUE"""),45968.9861561111)</f>
        <v>45968.986156111103</v>
      </c>
      <c r="G74" s="21" t="str">
        <f ca="1">IFERROR(__xludf.DUMMYFUNCTION("""COMPUTED_VALUE"""),"Earl")</f>
        <v>Earl</v>
      </c>
      <c r="H74" s="20" t="str">
        <f ca="1">IFERROR(__xludf.DUMMYFUNCTION("""COMPUTED_VALUE""")," ")</f>
        <v xml:space="preserve"> </v>
      </c>
      <c r="I74" s="22" t="str">
        <f ca="1">IFERROR(__xludf.DUMMYFUNCTION("""COMPUTED_VALUE"""),"https://docs.google.com/forms/d/e/1FAIpQLSeAkkqnSqisXk0g5wDtTZwQpSKdxgBvUG9NhZjoIJxKcGoYyw/viewform?edit2=2_ABaOnufMj3NlW--EHaLsoCZD5J6fe6i6LO9REUaBqFlRhTBdIQvlohrgzUJhl8nay87Px5E")</f>
        <v>https://docs.google.com/forms/d/e/1FAIpQLSeAkkqnSqisXk0g5wDtTZwQpSKdxgBvUG9NhZjoIJxKcGoYyw/viewform?edit2=2_ABaOnufMj3NlW--EHaLsoCZD5J6fe6i6LO9REUaBqFlRhTBdIQvlohrgzUJhl8nay87Px5E</v>
      </c>
    </row>
    <row r="75" spans="1:9" ht="13.2" x14ac:dyDescent="0.25">
      <c r="A75" s="17" t="str">
        <f ca="1">IFERROR(__xludf.DUMMYFUNCTION("""COMPUTED_VALUE"""),"Callings")</f>
        <v>Callings</v>
      </c>
      <c r="B75" s="18" t="str">
        <f ca="1">IFERROR(__xludf.DUMMYFUNCTION("""COMPUTED_VALUE"""),"Grayson Gambill")</f>
        <v>Grayson Gambill</v>
      </c>
      <c r="C75" s="17" t="str">
        <f ca="1">IFERROR(__xludf.DUMMYFUNCTION("""COMPUTED_VALUE"""),"Stake Temple and Family History - Youth Leader")</f>
        <v>Stake Temple and Family History - Youth Leader</v>
      </c>
      <c r="D75" s="17" t="str">
        <f ca="1">IFERROR(__xludf.DUMMYFUNCTION("""COMPUTED_VALUE"""),"Williamston")</f>
        <v>Williamston</v>
      </c>
      <c r="E75" s="19" t="str">
        <f ca="1">IFERROR(__xludf.DUMMYFUNCTION("""COMPUTED_VALUE"""),"Complete")</f>
        <v>Complete</v>
      </c>
      <c r="F75" s="20">
        <f ca="1">IFERROR(__xludf.DUMMYFUNCTION("""COMPUTED_VALUE"""),45967.8740658912)</f>
        <v>45967.874065891199</v>
      </c>
      <c r="G75" s="21" t="str">
        <f ca="1">IFERROR(__xludf.DUMMYFUNCTION("""COMPUTED_VALUE"""),"Bills")</f>
        <v>Bills</v>
      </c>
      <c r="H75" s="20" t="str">
        <f ca="1">IFERROR(__xludf.DUMMYFUNCTION("""COMPUTED_VALUE"""),"Bills")</f>
        <v>Bills</v>
      </c>
      <c r="I75" s="22" t="str">
        <f ca="1">IFERROR(__xludf.DUMMYFUNCTION("""COMPUTED_VALUE"""),"https://docs.google.com/forms/d/e/1FAIpQLSd37AKX0Ca1Yeje6eC6NuliFZj5Spn7I7mXRsa9kBsXMqB-Ag/viewform?edit2=2_ABaOnue3Jad5W9Uar32FIQIIrw-Mr5hDOEOwWLRFXGzjIm6vlllA3_MpAdkc1Fc6niJcSVM")</f>
        <v>https://docs.google.com/forms/d/e/1FAIpQLSd37AKX0Ca1Yeje6eC6NuliFZj5Spn7I7mXRsa9kBsXMqB-Ag/viewform?edit2=2_ABaOnue3Jad5W9Uar32FIQIIrw-Mr5hDOEOwWLRFXGzjIm6vlllA3_MpAdkc1Fc6niJcSVM</v>
      </c>
    </row>
    <row r="76" spans="1:9" ht="13.2" x14ac:dyDescent="0.25">
      <c r="A76" s="17" t="str">
        <f ca="1">IFERROR(__xludf.DUMMYFUNCTION("""COMPUTED_VALUE"""),"Callings")</f>
        <v>Callings</v>
      </c>
      <c r="B76" s="18" t="str">
        <f ca="1">IFERROR(__xludf.DUMMYFUNCTION("""COMPUTED_VALUE"""),"Nicholas Vernon Pomroy")</f>
        <v>Nicholas Vernon Pomroy</v>
      </c>
      <c r="C76" s="17" t="str">
        <f ca="1">IFERROR(__xludf.DUMMYFUNCTION("""COMPUTED_VALUE"""),"EQ 2nd Counselor")</f>
        <v>EQ 2nd Counselor</v>
      </c>
      <c r="D76" s="17" t="str">
        <f ca="1">IFERROR(__xludf.DUMMYFUNCTION("""COMPUTED_VALUE"""),"Owosso")</f>
        <v>Owosso</v>
      </c>
      <c r="E76" s="19" t="str">
        <f ca="1">IFERROR(__xludf.DUMMYFUNCTION("""COMPUTED_VALUE"""),"Complete")</f>
        <v>Complete</v>
      </c>
      <c r="F76" s="20">
        <f ca="1">IFERROR(__xludf.DUMMYFUNCTION("""COMPUTED_VALUE"""),45955.5317882523)</f>
        <v>45955.531788252301</v>
      </c>
      <c r="G76" s="21" t="str">
        <f ca="1">IFERROR(__xludf.DUMMYFUNCTION("""COMPUTED_VALUE"""),"Ward")</f>
        <v>Ward</v>
      </c>
      <c r="H76" s="20" t="str">
        <f ca="1">IFERROR(__xludf.DUMMYFUNCTION("""COMPUTED_VALUE"""),"Ward")</f>
        <v>Ward</v>
      </c>
      <c r="I76" s="22" t="str">
        <f ca="1">IFERROR(__xludf.DUMMYFUNCTION("""COMPUTED_VALUE"""),"https://docs.google.com/forms/d/e/1FAIpQLSd37AKX0Ca1Yeje6eC6NuliFZj5Spn7I7mXRsa9kBsXMqB-Ag/viewform?edit2=2_ABaOnuf3RQD9xnlEVNEmdONsLpkXUQJ9qpVEJnJgh7KiGjXh_c9HZ6vF_CpBHi15w-gFsn8")</f>
        <v>https://docs.google.com/forms/d/e/1FAIpQLSd37AKX0Ca1Yeje6eC6NuliFZj5Spn7I7mXRsa9kBsXMqB-Ag/viewform?edit2=2_ABaOnuf3RQD9xnlEVNEmdONsLpkXUQJ9qpVEJnJgh7KiGjXh_c9HZ6vF_CpBHi15w-gFsn8</v>
      </c>
    </row>
    <row r="77" spans="1:9" ht="13.2" x14ac:dyDescent="0.25">
      <c r="A77" s="17" t="str">
        <f ca="1">IFERROR(__xludf.DUMMYFUNCTION("""COMPUTED_VALUE"""),"Callings")</f>
        <v>Callings</v>
      </c>
      <c r="B77" s="18" t="str">
        <f ca="1">IFERROR(__xludf.DUMMYFUNCTION("""COMPUTED_VALUE"""),"Robert Ash")</f>
        <v>Robert Ash</v>
      </c>
      <c r="C77" s="17" t="str">
        <f ca="1">IFERROR(__xludf.DUMMYFUNCTION("""COMPUTED_VALUE"""),"EQ 1st Counselor")</f>
        <v>EQ 1st Counselor</v>
      </c>
      <c r="D77" s="17" t="str">
        <f ca="1">IFERROR(__xludf.DUMMYFUNCTION("""COMPUTED_VALUE"""),"Owosso")</f>
        <v>Owosso</v>
      </c>
      <c r="E77" s="19" t="str">
        <f ca="1">IFERROR(__xludf.DUMMYFUNCTION("""COMPUTED_VALUE"""),"Complete")</f>
        <v>Complete</v>
      </c>
      <c r="F77" s="20">
        <f ca="1">IFERROR(__xludf.DUMMYFUNCTION("""COMPUTED_VALUE"""),45955.5316296064)</f>
        <v>45955.531629606397</v>
      </c>
      <c r="G77" s="21" t="str">
        <f ca="1">IFERROR(__xludf.DUMMYFUNCTION("""COMPUTED_VALUE"""),"Ward")</f>
        <v>Ward</v>
      </c>
      <c r="H77" s="20" t="str">
        <f ca="1">IFERROR(__xludf.DUMMYFUNCTION("""COMPUTED_VALUE"""),"Ward")</f>
        <v>Ward</v>
      </c>
      <c r="I77" s="22" t="str">
        <f ca="1">IFERROR(__xludf.DUMMYFUNCTION("""COMPUTED_VALUE"""),"https://docs.google.com/forms/d/e/1FAIpQLSd37AKX0Ca1Yeje6eC6NuliFZj5Spn7I7mXRsa9kBsXMqB-Ag/viewform?edit2=2_ABaOnuc2ce1OsnN4egnCH4EpgfP2ZGzmFF0P7bp3mPH7vn6kJ6Ik4LRVglrukwYZUMRxKVA")</f>
        <v>https://docs.google.com/forms/d/e/1FAIpQLSd37AKX0Ca1Yeje6eC6NuliFZj5Spn7I7mXRsa9kBsXMqB-Ag/viewform?edit2=2_ABaOnuc2ce1OsnN4egnCH4EpgfP2ZGzmFF0P7bp3mPH7vn6kJ6Ik4LRVglrukwYZUMRxKVA</v>
      </c>
    </row>
    <row r="78" spans="1:9" ht="13.2" x14ac:dyDescent="0.25">
      <c r="A78" s="17" t="str">
        <f ca="1">IFERROR(__xludf.DUMMYFUNCTION("""COMPUTED_VALUE"""),"Callings")</f>
        <v>Callings</v>
      </c>
      <c r="B78" s="18" t="str">
        <f ca="1">IFERROR(__xludf.DUMMYFUNCTION("""COMPUTED_VALUE"""),"Temple McCrary")</f>
        <v>Temple McCrary</v>
      </c>
      <c r="C78" s="17" t="str">
        <f ca="1">IFERROR(__xludf.DUMMYFUNCTION("""COMPUTED_VALUE"""),"Stake Auditor")</f>
        <v>Stake Auditor</v>
      </c>
      <c r="D78" s="17" t="str">
        <f ca="1">IFERROR(__xludf.DUMMYFUNCTION("""COMPUTED_VALUE"""),"Lansing")</f>
        <v>Lansing</v>
      </c>
      <c r="E78" s="19" t="str">
        <f ca="1">IFERROR(__xludf.DUMMYFUNCTION("""COMPUTED_VALUE"""),"Call / Release")</f>
        <v>Call / Release</v>
      </c>
      <c r="F78" s="20">
        <f ca="1">IFERROR(__xludf.DUMMYFUNCTION("""COMPUTED_VALUE"""),45946.8624311458)</f>
        <v>45946.862431145797</v>
      </c>
      <c r="G78" s="21" t="str">
        <f ca="1">IFERROR(__xludf.DUMMYFUNCTION("""COMPUTED_VALUE"""),"Pierce")</f>
        <v>Pierce</v>
      </c>
      <c r="H78" s="20"/>
      <c r="I78" s="22" t="str">
        <f ca="1">IFERROR(__xludf.DUMMYFUNCTION("""COMPUTED_VALUE"""),"https://docs.google.com/forms/d/e/1FAIpQLSd37AKX0Ca1Yeje6eC6NuliFZj5Spn7I7mXRsa9kBsXMqB-Ag/viewform?edit2=2_ABaOnuc084FrjG7zAzRmpPq49Y4JP88xiAcq-g7-VvQwWFeceQLWBMs_PDHeU79-Vo2bATc")</f>
        <v>https://docs.google.com/forms/d/e/1FAIpQLSd37AKX0Ca1Yeje6eC6NuliFZj5Spn7I7mXRsa9kBsXMqB-Ag/viewform?edit2=2_ABaOnuc084FrjG7zAzRmpPq49Y4JP88xiAcq-g7-VvQwWFeceQLWBMs_PDHeU79-Vo2bATc</v>
      </c>
    </row>
    <row r="79" spans="1:9" ht="13.2" x14ac:dyDescent="0.25">
      <c r="A79" s="17" t="str">
        <f ca="1">IFERROR(__xludf.DUMMYFUNCTION("""COMPUTED_VALUE"""),"Ordinations")</f>
        <v>Ordinations</v>
      </c>
      <c r="B79" s="18" t="str">
        <f ca="1">IFERROR(__xludf.DUMMYFUNCTION("""COMPUTED_VALUE"""),"Noah Lewis")</f>
        <v>Noah Lewis</v>
      </c>
      <c r="C79" s="17" t="str">
        <f ca="1">IFERROR(__xludf.DUMMYFUNCTION("""COMPUTED_VALUE"""),"Elder")</f>
        <v>Elder</v>
      </c>
      <c r="D79" s="17" t="str">
        <f ca="1">IFERROR(__xludf.DUMMYFUNCTION("""COMPUTED_VALUE"""),"Holt")</f>
        <v>Holt</v>
      </c>
      <c r="E79" s="19" t="str">
        <f ca="1">IFERROR(__xludf.DUMMYFUNCTION("""COMPUTED_VALUE"""),"Complete")</f>
        <v>Complete</v>
      </c>
      <c r="F79" s="20">
        <f ca="1">IFERROR(__xludf.DUMMYFUNCTION("""COMPUTED_VALUE"""),45932.8765243055)</f>
        <v>45932.876524305502</v>
      </c>
      <c r="G79" s="21" t="str">
        <f ca="1">IFERROR(__xludf.DUMMYFUNCTION("""COMPUTED_VALUE"""),"B. Thorpe")</f>
        <v>B. Thorpe</v>
      </c>
      <c r="H79" s="20" t="str">
        <f ca="1">IFERROR(__xludf.DUMMYFUNCTION("""COMPUTED_VALUE""")," ")</f>
        <v xml:space="preserve"> </v>
      </c>
      <c r="I79" s="22" t="str">
        <f ca="1">IFERROR(__xludf.DUMMYFUNCTION("""COMPUTED_VALUE"""),"https://docs.google.com/forms/d/e/1FAIpQLScKfK1Xq_AfFRyZkOlyT2n4Ugr8FdePyUxPct4kYLgKJ3YlMQ/viewform?edit2=2_ABaOnueGhFrC5uwJ6Q-je3BKvFYe0pud2_pqm6TjJkW7ni5E5LbYmayQ36NyjMT57nHG4QQ")</f>
        <v>https://docs.google.com/forms/d/e/1FAIpQLScKfK1Xq_AfFRyZkOlyT2n4Ugr8FdePyUxPct4kYLgKJ3YlMQ/viewform?edit2=2_ABaOnueGhFrC5uwJ6Q-je3BKvFYe0pud2_pqm6TjJkW7ni5E5LbYmayQ36NyjMT57nHG4QQ</v>
      </c>
    </row>
    <row r="80" spans="1:9" ht="13.2" x14ac:dyDescent="0.25">
      <c r="A80" s="17" t="str">
        <f ca="1">IFERROR(__xludf.DUMMYFUNCTION("""COMPUTED_VALUE"""),"Ordinations")</f>
        <v>Ordinations</v>
      </c>
      <c r="B80" s="18" t="str">
        <f ca="1">IFERROR(__xludf.DUMMYFUNCTION("""COMPUTED_VALUE"""),"Steven Coy")</f>
        <v>Steven Coy</v>
      </c>
      <c r="C80" s="17" t="str">
        <f ca="1">IFERROR(__xludf.DUMMYFUNCTION("""COMPUTED_VALUE"""),"Elder")</f>
        <v>Elder</v>
      </c>
      <c r="D80" s="17" t="str">
        <f ca="1">IFERROR(__xludf.DUMMYFUNCTION("""COMPUTED_VALUE"""),"Owosso")</f>
        <v>Owosso</v>
      </c>
      <c r="E80" s="19" t="str">
        <f ca="1">IFERROR(__xludf.DUMMYFUNCTION("""COMPUTED_VALUE"""),"Complete")</f>
        <v>Complete</v>
      </c>
      <c r="F80" s="20">
        <f ca="1">IFERROR(__xludf.DUMMYFUNCTION("""COMPUTED_VALUE"""),45932.8746948495)</f>
        <v>45932.874694849503</v>
      </c>
      <c r="G80" s="21" t="str">
        <f ca="1">IFERROR(__xludf.DUMMYFUNCTION("""COMPUTED_VALUE"""),"Ward")</f>
        <v>Ward</v>
      </c>
      <c r="H80" s="20" t="str">
        <f ca="1">IFERROR(__xludf.DUMMYFUNCTION("""COMPUTED_VALUE""")," ")</f>
        <v xml:space="preserve"> </v>
      </c>
      <c r="I80" s="22" t="str">
        <f ca="1">IFERROR(__xludf.DUMMYFUNCTION("""COMPUTED_VALUE"""),"https://docs.google.com/forms/d/e/1FAIpQLScKfK1Xq_AfFRyZkOlyT2n4Ugr8FdePyUxPct4kYLgKJ3YlMQ/viewform?edit2=2_ABaOnufpsK5vteWRiYTWB09D60Vi_h7LVrJujuDE72LhGIB_TbYDP2x7JBRNRVos15yKxWg")</f>
        <v>https://docs.google.com/forms/d/e/1FAIpQLScKfK1Xq_AfFRyZkOlyT2n4Ugr8FdePyUxPct4kYLgKJ3YlMQ/viewform?edit2=2_ABaOnufpsK5vteWRiYTWB09D60Vi_h7LVrJujuDE72LhGIB_TbYDP2x7JBRNRVos15yKxWg</v>
      </c>
    </row>
    <row r="81" spans="1:9" ht="13.2" x14ac:dyDescent="0.25">
      <c r="A81" s="17" t="str">
        <f ca="1">IFERROR(__xludf.DUMMYFUNCTION("""COMPUTED_VALUE"""),"Ordinations")</f>
        <v>Ordinations</v>
      </c>
      <c r="B81" s="18" t="str">
        <f ca="1">IFERROR(__xludf.DUMMYFUNCTION("""COMPUTED_VALUE"""),"Dallas Burdick")</f>
        <v>Dallas Burdick</v>
      </c>
      <c r="C81" s="17" t="str">
        <f ca="1">IFERROR(__xludf.DUMMYFUNCTION("""COMPUTED_VALUE"""),"High Priest")</f>
        <v>High Priest</v>
      </c>
      <c r="D81" s="17" t="str">
        <f ca="1">IFERROR(__xludf.DUMMYFUNCTION("""COMPUTED_VALUE"""),"St Johns")</f>
        <v>St Johns</v>
      </c>
      <c r="E81" s="19" t="str">
        <f ca="1">IFERROR(__xludf.DUMMYFUNCTION("""COMPUTED_VALUE"""),"Complete")</f>
        <v>Complete</v>
      </c>
      <c r="F81" s="20">
        <f ca="1">IFERROR(__xludf.DUMMYFUNCTION("""COMPUTED_VALUE"""),45922.4125765046)</f>
        <v>45922.412576504597</v>
      </c>
      <c r="G81" s="21" t="str">
        <f ca="1">IFERROR(__xludf.DUMMYFUNCTION("""COMPUTED_VALUE"""),"Earl")</f>
        <v>Earl</v>
      </c>
      <c r="H81" s="20" t="str">
        <f ca="1">IFERROR(__xludf.DUMMYFUNCTION("""COMPUTED_VALUE""")," ")</f>
        <v xml:space="preserve"> </v>
      </c>
      <c r="I81" s="22" t="str">
        <f ca="1">IFERROR(__xludf.DUMMYFUNCTION("""COMPUTED_VALUE"""),"https://docs.google.com/forms/d/e/1FAIpQLScKfK1Xq_AfFRyZkOlyT2n4Ugr8FdePyUxPct4kYLgKJ3YlMQ/viewform?edit2=2_ABaOnucwqywpbOhehWb_hRGv3iH7fBjYkd-bm7P_rKNcLL2CROHu5YVvp5s8tnLi4OXZoL4")</f>
        <v>https://docs.google.com/forms/d/e/1FAIpQLScKfK1Xq_AfFRyZkOlyT2n4Ugr8FdePyUxPct4kYLgKJ3YlMQ/viewform?edit2=2_ABaOnucwqywpbOhehWb_hRGv3iH7fBjYkd-bm7P_rKNcLL2CROHu5YVvp5s8tnLi4OXZoL4</v>
      </c>
    </row>
    <row r="82" spans="1:9" ht="13.2" x14ac:dyDescent="0.25">
      <c r="A82" s="17" t="str">
        <f ca="1">IFERROR(__xludf.DUMMYFUNCTION("""COMPUTED_VALUE"""),"Ordinations")</f>
        <v>Ordinations</v>
      </c>
      <c r="B82" s="18" t="str">
        <f ca="1">IFERROR(__xludf.DUMMYFUNCTION("""COMPUTED_VALUE"""),"Christopher Nye")</f>
        <v>Christopher Nye</v>
      </c>
      <c r="C82" s="17" t="str">
        <f ca="1">IFERROR(__xludf.DUMMYFUNCTION("""COMPUTED_VALUE"""),"High Priest")</f>
        <v>High Priest</v>
      </c>
      <c r="D82" s="17" t="str">
        <f ca="1">IFERROR(__xludf.DUMMYFUNCTION("""COMPUTED_VALUE"""),"St Johns")</f>
        <v>St Johns</v>
      </c>
      <c r="E82" s="19" t="str">
        <f ca="1">IFERROR(__xludf.DUMMYFUNCTION("""COMPUTED_VALUE"""),"Complete")</f>
        <v>Complete</v>
      </c>
      <c r="F82" s="20">
        <f ca="1">IFERROR(__xludf.DUMMYFUNCTION("""COMPUTED_VALUE"""),45917.4125331712)</f>
        <v>45917.412533171198</v>
      </c>
      <c r="G82" s="21" t="str">
        <f ca="1">IFERROR(__xludf.DUMMYFUNCTION("""COMPUTED_VALUE"""),"Earl")</f>
        <v>Earl</v>
      </c>
      <c r="H82" s="20" t="str">
        <f ca="1">IFERROR(__xludf.DUMMYFUNCTION("""COMPUTED_VALUE""")," ")</f>
        <v xml:space="preserve"> </v>
      </c>
      <c r="I82" s="22" t="str">
        <f ca="1">IFERROR(__xludf.DUMMYFUNCTION("""COMPUTED_VALUE"""),"https://docs.google.com/forms/d/e/1FAIpQLScKfK1Xq_AfFRyZkOlyT2n4Ugr8FdePyUxPct4kYLgKJ3YlMQ/viewform?edit2=2_ABaOnudJZTctoBjl3qpNdm6etTylzvWAKVofQalrPmPOeai9zwWd22Zw3UJLRe8nR1ufFZM")</f>
        <v>https://docs.google.com/forms/d/e/1FAIpQLScKfK1Xq_AfFRyZkOlyT2n4Ugr8FdePyUxPct4kYLgKJ3YlMQ/viewform?edit2=2_ABaOnudJZTctoBjl3qpNdm6etTylzvWAKVofQalrPmPOeai9zwWd22Zw3UJLRe8nR1ufFZM</v>
      </c>
    </row>
    <row r="83" spans="1:9" ht="13.2" x14ac:dyDescent="0.25">
      <c r="A83" s="17" t="str">
        <f ca="1">IFERROR(__xludf.DUMMYFUNCTION("""COMPUTED_VALUE"""),"Ordinations")</f>
        <v>Ordinations</v>
      </c>
      <c r="B83" s="18" t="str">
        <f ca="1">IFERROR(__xludf.DUMMYFUNCTION("""COMPUTED_VALUE"""),"Matthew Pace")</f>
        <v>Matthew Pace</v>
      </c>
      <c r="C83" s="17" t="str">
        <f ca="1">IFERROR(__xludf.DUMMYFUNCTION("""COMPUTED_VALUE"""),"High Priest")</f>
        <v>High Priest</v>
      </c>
      <c r="D83" s="17" t="str">
        <f ca="1">IFERROR(__xludf.DUMMYFUNCTION("""COMPUTED_VALUE"""),"St Johns")</f>
        <v>St Johns</v>
      </c>
      <c r="E83" s="19" t="str">
        <f ca="1">IFERROR(__xludf.DUMMYFUNCTION("""COMPUTED_VALUE"""),"Complete")</f>
        <v>Complete</v>
      </c>
      <c r="F83" s="20">
        <f ca="1">IFERROR(__xludf.DUMMYFUNCTION("""COMPUTED_VALUE"""),45917.4117437963)</f>
        <v>45917.4117437963</v>
      </c>
      <c r="G83" s="21" t="str">
        <f ca="1">IFERROR(__xludf.DUMMYFUNCTION("""COMPUTED_VALUE"""),"Earl")</f>
        <v>Earl</v>
      </c>
      <c r="H83" s="20" t="str">
        <f ca="1">IFERROR(__xludf.DUMMYFUNCTION("""COMPUTED_VALUE""")," ")</f>
        <v xml:space="preserve"> </v>
      </c>
      <c r="I83" s="22" t="str">
        <f ca="1">IFERROR(__xludf.DUMMYFUNCTION("""COMPUTED_VALUE"""),"https://docs.google.com/forms/d/e/1FAIpQLScKfK1Xq_AfFRyZkOlyT2n4Ugr8FdePyUxPct4kYLgKJ3YlMQ/viewform?edit2=2_ABaOnufb-nE9EbyKTT6hORhEbvi6L_6OXRGSycMy2mU8zEVI91IfHurcQico_VTO24ptdi4")</f>
        <v>https://docs.google.com/forms/d/e/1FAIpQLScKfK1Xq_AfFRyZkOlyT2n4Ugr8FdePyUxPct4kYLgKJ3YlMQ/viewform?edit2=2_ABaOnufb-nE9EbyKTT6hORhEbvi6L_6OXRGSycMy2mU8zEVI91IfHurcQico_VTO24ptdi4</v>
      </c>
    </row>
    <row r="84" spans="1:9" ht="13.2" x14ac:dyDescent="0.25">
      <c r="A84" s="17" t="str">
        <f ca="1">IFERROR(__xludf.DUMMYFUNCTION("""COMPUTED_VALUE"""),"Callings")</f>
        <v>Callings</v>
      </c>
      <c r="B84" s="18" t="str">
        <f ca="1">IFERROR(__xludf.DUMMYFUNCTION("""COMPUTED_VALUE"""),"David Quarnberg")</f>
        <v>David Quarnberg</v>
      </c>
      <c r="C84" s="17" t="str">
        <f ca="1">IFERROR(__xludf.DUMMYFUNCTION("""COMPUTED_VALUE"""),"Elders Quorum President")</f>
        <v>Elders Quorum President</v>
      </c>
      <c r="D84" s="17" t="str">
        <f ca="1">IFERROR(__xludf.DUMMYFUNCTION("""COMPUTED_VALUE"""),"Williamston")</f>
        <v>Williamston</v>
      </c>
      <c r="E84" s="19" t="str">
        <f ca="1">IFERROR(__xludf.DUMMYFUNCTION("""COMPUTED_VALUE"""),"Complete")</f>
        <v>Complete</v>
      </c>
      <c r="F84" s="20">
        <f ca="1">IFERROR(__xludf.DUMMYFUNCTION("""COMPUTED_VALUE"""),45914.5833250578)</f>
        <v>45914.5833250578</v>
      </c>
      <c r="G84" s="21" t="str">
        <f ca="1">IFERROR(__xludf.DUMMYFUNCTION("""COMPUTED_VALUE"""),"Rawson")</f>
        <v>Rawson</v>
      </c>
      <c r="H84" s="20" t="str">
        <f ca="1">IFERROR(__xludf.DUMMYFUNCTION("""COMPUTED_VALUE"""),"Ken Bills")</f>
        <v>Ken Bills</v>
      </c>
      <c r="I84" s="22" t="str">
        <f ca="1">IFERROR(__xludf.DUMMYFUNCTION("""COMPUTED_VALUE"""),"https://docs.google.com/forms/d/e/1FAIpQLSd37AKX0Ca1Yeje6eC6NuliFZj5Spn7I7mXRsa9kBsXMqB-Ag/viewform?edit2=2_ABaOnudBgyxTJ6kToGY4rlfeqEwvUp5513GXUlIoSe3bdgVChJDDj4v_uo4Rx0BqYlxPY9o")</f>
        <v>https://docs.google.com/forms/d/e/1FAIpQLSd37AKX0Ca1Yeje6eC6NuliFZj5Spn7I7mXRsa9kBsXMqB-Ag/viewform?edit2=2_ABaOnudBgyxTJ6kToGY4rlfeqEwvUp5513GXUlIoSe3bdgVChJDDj4v_uo4Rx0BqYlxPY9o</v>
      </c>
    </row>
    <row r="85" spans="1:9" ht="13.2" x14ac:dyDescent="0.25">
      <c r="A85" s="17" t="str">
        <f ca="1">IFERROR(__xludf.DUMMYFUNCTION("""COMPUTED_VALUE"""),"Callings")</f>
        <v>Callings</v>
      </c>
      <c r="B85" s="18" t="str">
        <f ca="1">IFERROR(__xludf.DUMMYFUNCTION("""COMPUTED_VALUE"""),"Dustin Horlacher")</f>
        <v>Dustin Horlacher</v>
      </c>
      <c r="C85" s="17" t="str">
        <f ca="1">IFERROR(__xludf.DUMMYFUNCTION("""COMPUTED_VALUE"""),"EQ 2nd Counselor")</f>
        <v>EQ 2nd Counselor</v>
      </c>
      <c r="D85" s="17" t="str">
        <f ca="1">IFERROR(__xludf.DUMMYFUNCTION("""COMPUTED_VALUE"""),"Williamston")</f>
        <v>Williamston</v>
      </c>
      <c r="E85" s="19" t="str">
        <f ca="1">IFERROR(__xludf.DUMMYFUNCTION("""COMPUTED_VALUE"""),"Complete")</f>
        <v>Complete</v>
      </c>
      <c r="F85" s="20">
        <f ca="1">IFERROR(__xludf.DUMMYFUNCTION("""COMPUTED_VALUE"""),45914.5830877199)</f>
        <v>45914.583087719897</v>
      </c>
      <c r="G85" s="21" t="str">
        <f ca="1">IFERROR(__xludf.DUMMYFUNCTION("""COMPUTED_VALUE"""),"Bills")</f>
        <v>Bills</v>
      </c>
      <c r="H85" s="20" t="str">
        <f ca="1">IFERROR(__xludf.DUMMYFUNCTION("""COMPUTED_VALUE"""),"Ken Bills")</f>
        <v>Ken Bills</v>
      </c>
      <c r="I85" s="22" t="str">
        <f ca="1">IFERROR(__xludf.DUMMYFUNCTION("""COMPUTED_VALUE"""),"https://docs.google.com/forms/d/e/1FAIpQLSd37AKX0Ca1Yeje6eC6NuliFZj5Spn7I7mXRsa9kBsXMqB-Ag/viewform?edit2=2_ABaOnuf3SCs4io_fGe1Nhck3rNXdmd477nS50ghm4oVtuN0fNt6Li8BYgDvLqtiN5R2o0NQ")</f>
        <v>https://docs.google.com/forms/d/e/1FAIpQLSd37AKX0Ca1Yeje6eC6NuliFZj5Spn7I7mXRsa9kBsXMqB-Ag/viewform?edit2=2_ABaOnuf3SCs4io_fGe1Nhck3rNXdmd477nS50ghm4oVtuN0fNt6Li8BYgDvLqtiN5R2o0NQ</v>
      </c>
    </row>
    <row r="86" spans="1:9" ht="13.2" x14ac:dyDescent="0.25">
      <c r="A86" s="17" t="str">
        <f ca="1">IFERROR(__xludf.DUMMYFUNCTION("""COMPUTED_VALUE"""),"Callings")</f>
        <v>Callings</v>
      </c>
      <c r="B86" s="18" t="str">
        <f ca="1">IFERROR(__xludf.DUMMYFUNCTION("""COMPUTED_VALUE"""),"Harrison McKnight")</f>
        <v>Harrison McKnight</v>
      </c>
      <c r="C86" s="17" t="str">
        <f ca="1">IFERROR(__xludf.DUMMYFUNCTION("""COMPUTED_VALUE"""),"EQ 1st Counselor")</f>
        <v>EQ 1st Counselor</v>
      </c>
      <c r="D86" s="17" t="str">
        <f ca="1">IFERROR(__xludf.DUMMYFUNCTION("""COMPUTED_VALUE"""),"Williamston")</f>
        <v>Williamston</v>
      </c>
      <c r="E86" s="19" t="str">
        <f ca="1">IFERROR(__xludf.DUMMYFUNCTION("""COMPUTED_VALUE"""),"Complete")</f>
        <v>Complete</v>
      </c>
      <c r="F86" s="20">
        <f ca="1">IFERROR(__xludf.DUMMYFUNCTION("""COMPUTED_VALUE"""),45914.5828198148)</f>
        <v>45914.582819814801</v>
      </c>
      <c r="G86" s="21" t="str">
        <f ca="1">IFERROR(__xludf.DUMMYFUNCTION("""COMPUTED_VALUE"""),"Bills")</f>
        <v>Bills</v>
      </c>
      <c r="H86" s="20" t="str">
        <f ca="1">IFERROR(__xludf.DUMMYFUNCTION("""COMPUTED_VALUE"""),"Ken Bills")</f>
        <v>Ken Bills</v>
      </c>
      <c r="I86" s="22" t="str">
        <f ca="1">IFERROR(__xludf.DUMMYFUNCTION("""COMPUTED_VALUE"""),"https://docs.google.com/forms/d/e/1FAIpQLSd37AKX0Ca1Yeje6eC6NuliFZj5Spn7I7mXRsa9kBsXMqB-Ag/viewform?edit2=2_ABaOnue-czhKjGPkXkZrV5eF95hFAUWCpn6FSAPg2JZFQ3_yooN-fESCvF2ydWi5RvfDF40")</f>
        <v>https://docs.google.com/forms/d/e/1FAIpQLSd37AKX0Ca1Yeje6eC6NuliFZj5Spn7I7mXRsa9kBsXMqB-Ag/viewform?edit2=2_ABaOnue-czhKjGPkXkZrV5eF95hFAUWCpn6FSAPg2JZFQ3_yooN-fESCvF2ydWi5RvfDF40</v>
      </c>
    </row>
    <row r="87" spans="1:9" ht="13.2" x14ac:dyDescent="0.25">
      <c r="A87" s="17" t="str">
        <f ca="1">IFERROR(__xludf.DUMMYFUNCTION("""COMPUTED_VALUE"""),"Callings")</f>
        <v>Callings</v>
      </c>
      <c r="B87" s="18" t="str">
        <f ca="1">IFERROR(__xludf.DUMMYFUNCTION("""COMPUTED_VALUE"""),"Amanda Jean Welch")</f>
        <v>Amanda Jean Welch</v>
      </c>
      <c r="C87" s="17" t="str">
        <f ca="1">IFERROR(__xludf.DUMMYFUNCTION("""COMPUTED_VALUE"""),"Stake Primary Secretary")</f>
        <v>Stake Primary Secretary</v>
      </c>
      <c r="D87" s="17" t="str">
        <f ca="1">IFERROR(__xludf.DUMMYFUNCTION("""COMPUTED_VALUE"""),"Holt")</f>
        <v>Holt</v>
      </c>
      <c r="E87" s="19" t="str">
        <f ca="1">IFERROR(__xludf.DUMMYFUNCTION("""COMPUTED_VALUE"""),"Declined")</f>
        <v>Declined</v>
      </c>
      <c r="F87" s="20">
        <f ca="1">IFERROR(__xludf.DUMMYFUNCTION("""COMPUTED_VALUE"""),45914.5765008101)</f>
        <v>45914.576500810101</v>
      </c>
      <c r="G87" s="21" t="str">
        <f ca="1">IFERROR(__xludf.DUMMYFUNCTION("""COMPUTED_VALUE"""),"Pierce")</f>
        <v>Pierce</v>
      </c>
      <c r="H87" s="20"/>
      <c r="I87" s="22" t="str">
        <f ca="1">IFERROR(__xludf.DUMMYFUNCTION("""COMPUTED_VALUE"""),"https://docs.google.com/forms/d/e/1FAIpQLSd37AKX0Ca1Yeje6eC6NuliFZj5Spn7I7mXRsa9kBsXMqB-Ag/viewform?edit2=2_ABaOnufoanDlczACBPN_cdZfkRzhGDeidnzQHXO7ba-esAKkYUlgvNYLHsVQh_6N8OgAazo")</f>
        <v>https://docs.google.com/forms/d/e/1FAIpQLSd37AKX0Ca1Yeje6eC6NuliFZj5Spn7I7mXRsa9kBsXMqB-Ag/viewform?edit2=2_ABaOnufoanDlczACBPN_cdZfkRzhGDeidnzQHXO7ba-esAKkYUlgvNYLHsVQh_6N8OgAazo</v>
      </c>
    </row>
    <row r="88" spans="1:9" ht="13.2" x14ac:dyDescent="0.25">
      <c r="A88" s="17" t="str">
        <f ca="1">IFERROR(__xludf.DUMMYFUNCTION("""COMPUTED_VALUE"""),"Ordinations")</f>
        <v>Ordinations</v>
      </c>
      <c r="B88" s="18" t="str">
        <f ca="1">IFERROR(__xludf.DUMMYFUNCTION("""COMPUTED_VALUE"""),"Brett Thorpe")</f>
        <v>Brett Thorpe</v>
      </c>
      <c r="C88" s="17" t="str">
        <f ca="1">IFERROR(__xludf.DUMMYFUNCTION("""COMPUTED_VALUE"""),"High Priest")</f>
        <v>High Priest</v>
      </c>
      <c r="D88" s="17" t="str">
        <f ca="1">IFERROR(__xludf.DUMMYFUNCTION("""COMPUTED_VALUE"""),"Williamston")</f>
        <v>Williamston</v>
      </c>
      <c r="E88" s="19" t="str">
        <f ca="1">IFERROR(__xludf.DUMMYFUNCTION("""COMPUTED_VALUE"""),"Complete")</f>
        <v>Complete</v>
      </c>
      <c r="F88" s="20">
        <f ca="1">IFERROR(__xludf.DUMMYFUNCTION("""COMPUTED_VALUE"""),45907.6039693634)</f>
        <v>45907.603969363401</v>
      </c>
      <c r="G88" s="21" t="str">
        <f ca="1">IFERROR(__xludf.DUMMYFUNCTION("""COMPUTED_VALUE"""),"Bills")</f>
        <v>Bills</v>
      </c>
      <c r="H88" s="20" t="str">
        <f ca="1">IFERROR(__xludf.DUMMYFUNCTION("""COMPUTED_VALUE""")," ")</f>
        <v xml:space="preserve"> </v>
      </c>
      <c r="I88" s="22" t="str">
        <f ca="1">IFERROR(__xludf.DUMMYFUNCTION("""COMPUTED_VALUE"""),"https://docs.google.com/forms/d/e/1FAIpQLScKfK1Xq_AfFRyZkOlyT2n4Ugr8FdePyUxPct4kYLgKJ3YlMQ/viewform?edit2=2_ABaOnuckX9HLj5QzQ9LwfrDlUIL7-AnDActIeviRvXP9cxFz8MIryFBflSpw7Rkwjz_xOdM")</f>
        <v>https://docs.google.com/forms/d/e/1FAIpQLScKfK1Xq_AfFRyZkOlyT2n4Ugr8FdePyUxPct4kYLgKJ3YlMQ/viewform?edit2=2_ABaOnuckX9HLj5QzQ9LwfrDlUIL7-AnDActIeviRvXP9cxFz8MIryFBflSpw7Rkwjz_xOdM</v>
      </c>
    </row>
    <row r="89" spans="1:9" ht="13.2" x14ac:dyDescent="0.25">
      <c r="A89" s="17" t="str">
        <f ca="1">IFERROR(__xludf.DUMMYFUNCTION("""COMPUTED_VALUE"""),"Callings")</f>
        <v>Callings</v>
      </c>
      <c r="B89" s="18" t="str">
        <f ca="1">IFERROR(__xludf.DUMMYFUNCTION("""COMPUTED_VALUE"""),"Caton Weiberger")</f>
        <v>Caton Weiberger</v>
      </c>
      <c r="C89" s="17" t="str">
        <f ca="1">IFERROR(__xludf.DUMMYFUNCTION("""COMPUTED_VALUE"""),"YSA Bishopric 1st Counselor")</f>
        <v>YSA Bishopric 1st Counselor</v>
      </c>
      <c r="D89" s="17" t="str">
        <f ca="1">IFERROR(__xludf.DUMMYFUNCTION("""COMPUTED_VALUE"""),"YSA")</f>
        <v>YSA</v>
      </c>
      <c r="E89" s="19" t="str">
        <f ca="1">IFERROR(__xludf.DUMMYFUNCTION("""COMPUTED_VALUE"""),"Complete")</f>
        <v>Complete</v>
      </c>
      <c r="F89" s="20">
        <f ca="1">IFERROR(__xludf.DUMMYFUNCTION("""COMPUTED_VALUE"""),45907.5951709837)</f>
        <v>45907.595170983703</v>
      </c>
      <c r="G89" s="21" t="str">
        <f ca="1">IFERROR(__xludf.DUMMYFUNCTION("""COMPUTED_VALUE"""),"Earl")</f>
        <v>Earl</v>
      </c>
      <c r="H89" s="20"/>
      <c r="I89" s="22" t="str">
        <f ca="1">IFERROR(__xludf.DUMMYFUNCTION("""COMPUTED_VALUE"""),"https://docs.google.com/forms/d/e/1FAIpQLSd37AKX0Ca1Yeje6eC6NuliFZj5Spn7I7mXRsa9kBsXMqB-Ag/viewform?edit2=2_ABaOnuewXCcvFlXhOgcuatfXfXCbnlU1jlU_B1S6DBUtQMER3HsVK1yN6hkKuzgrLcFEHRc")</f>
        <v>https://docs.google.com/forms/d/e/1FAIpQLSd37AKX0Ca1Yeje6eC6NuliFZj5Spn7I7mXRsa9kBsXMqB-Ag/viewform?edit2=2_ABaOnuewXCcvFlXhOgcuatfXfXCbnlU1jlU_B1S6DBUtQMER3HsVK1yN6hkKuzgrLcFEHRc</v>
      </c>
    </row>
    <row r="90" spans="1:9" ht="13.2" x14ac:dyDescent="0.25">
      <c r="A90" s="17" t="str">
        <f ca="1">IFERROR(__xludf.DUMMYFUNCTION("""COMPUTED_VALUE"""),"Ordinations")</f>
        <v>Ordinations</v>
      </c>
      <c r="B90" s="18" t="str">
        <f ca="1">IFERROR(__xludf.DUMMYFUNCTION("""COMPUTED_VALUE"""),"Nicholas Pomroy")</f>
        <v>Nicholas Pomroy</v>
      </c>
      <c r="C90" s="17" t="str">
        <f ca="1">IFERROR(__xludf.DUMMYFUNCTION("""COMPUTED_VALUE"""),"Elder")</f>
        <v>Elder</v>
      </c>
      <c r="D90" s="17" t="str">
        <f ca="1">IFERROR(__xludf.DUMMYFUNCTION("""COMPUTED_VALUE"""),"Owosso")</f>
        <v>Owosso</v>
      </c>
      <c r="E90" s="19" t="str">
        <f ca="1">IFERROR(__xludf.DUMMYFUNCTION("""COMPUTED_VALUE"""),"Complete")</f>
        <v>Complete</v>
      </c>
      <c r="F90" s="20">
        <f ca="1">IFERROR(__xludf.DUMMYFUNCTION("""COMPUTED_VALUE"""),45898.7551427893)</f>
        <v>45898.755142789298</v>
      </c>
      <c r="G90" s="21" t="str">
        <f ca="1">IFERROR(__xludf.DUMMYFUNCTION("""COMPUTED_VALUE"""),"Ward")</f>
        <v>Ward</v>
      </c>
      <c r="H90" s="20" t="str">
        <f ca="1">IFERROR(__xludf.DUMMYFUNCTION("""COMPUTED_VALUE""")," ")</f>
        <v xml:space="preserve"> </v>
      </c>
      <c r="I90" s="22" t="str">
        <f ca="1">IFERROR(__xludf.DUMMYFUNCTION("""COMPUTED_VALUE"""),"https://docs.google.com/forms/d/e/1FAIpQLScKfK1Xq_AfFRyZkOlyT2n4Ugr8FdePyUxPct4kYLgKJ3YlMQ/viewform?edit2=2_ABaOnue7ZcxSFV-kw8BD7ui03gHbtThwrlkt2O7khJQSu_Z13PplCE3CmnAuJqDwtrwMRHc")</f>
        <v>https://docs.google.com/forms/d/e/1FAIpQLScKfK1Xq_AfFRyZkOlyT2n4Ugr8FdePyUxPct4kYLgKJ3YlMQ/viewform?edit2=2_ABaOnue7ZcxSFV-kw8BD7ui03gHbtThwrlkt2O7khJQSu_Z13PplCE3CmnAuJqDwtrwMRHc</v>
      </c>
    </row>
    <row r="91" spans="1:9" ht="13.2" x14ac:dyDescent="0.25">
      <c r="A91" s="17" t="str">
        <f ca="1">IFERROR(__xludf.DUMMYFUNCTION("""COMPUTED_VALUE"""),"Callings")</f>
        <v>Callings</v>
      </c>
      <c r="B91" s="18" t="str">
        <f ca="1">IFERROR(__xludf.DUMMYFUNCTION("""COMPUTED_VALUE"""),"Rocky Shepard")</f>
        <v>Rocky Shepard</v>
      </c>
      <c r="C91" s="17" t="str">
        <f ca="1">IFERROR(__xludf.DUMMYFUNCTION("""COMPUTED_VALUE"""),"Assistant Ward Clerk - Finance")</f>
        <v>Assistant Ward Clerk - Finance</v>
      </c>
      <c r="D91" s="17" t="str">
        <f ca="1">IFERROR(__xludf.DUMMYFUNCTION("""COMPUTED_VALUE"""),"Williamston")</f>
        <v>Williamston</v>
      </c>
      <c r="E91" s="19" t="str">
        <f ca="1">IFERROR(__xludf.DUMMYFUNCTION("""COMPUTED_VALUE"""),"Complete")</f>
        <v>Complete</v>
      </c>
      <c r="F91" s="20">
        <f ca="1">IFERROR(__xludf.DUMMYFUNCTION("""COMPUTED_VALUE"""),45890.791339074)</f>
        <v>45890.791339074</v>
      </c>
      <c r="G91" s="21" t="str">
        <f ca="1">IFERROR(__xludf.DUMMYFUNCTION("""COMPUTED_VALUE"""),"Bills")</f>
        <v>Bills</v>
      </c>
      <c r="H91" s="20" t="str">
        <f ca="1">IFERROR(__xludf.DUMMYFUNCTION("""COMPUTED_VALUE"""),"Don Ward")</f>
        <v>Don Ward</v>
      </c>
      <c r="I91" s="22" t="str">
        <f ca="1">IFERROR(__xludf.DUMMYFUNCTION("""COMPUTED_VALUE"""),"https://docs.google.com/forms/d/e/1FAIpQLSd37AKX0Ca1Yeje6eC6NuliFZj5Spn7I7mXRsa9kBsXMqB-Ag/viewform?edit2=2_ABaOnuefQXgchmGfHlHiXbdb6sPT6GGyslPT96oOIPMDv1uLwmQZBf4hPhnSoQPXwSwwWCo")</f>
        <v>https://docs.google.com/forms/d/e/1FAIpQLSd37AKX0Ca1Yeje6eC6NuliFZj5Spn7I7mXRsa9kBsXMqB-Ag/viewform?edit2=2_ABaOnuefQXgchmGfHlHiXbdb6sPT6GGyslPT96oOIPMDv1uLwmQZBf4hPhnSoQPXwSwwWCo</v>
      </c>
    </row>
    <row r="92" spans="1:9" ht="13.2" x14ac:dyDescent="0.25">
      <c r="A92" s="17" t="str">
        <f ca="1">IFERROR(__xludf.DUMMYFUNCTION("""COMPUTED_VALUE"""),"Callings")</f>
        <v>Callings</v>
      </c>
      <c r="B92" s="18" t="str">
        <f ca="1">IFERROR(__xludf.DUMMYFUNCTION("""COMPUTED_VALUE"""),"Cheryl Smith")</f>
        <v>Cheryl Smith</v>
      </c>
      <c r="C92" s="17" t="str">
        <f ca="1">IFERROR(__xludf.DUMMYFUNCTION("""COMPUTED_VALUE"""),"Stake Food Delivery Coordinator")</f>
        <v>Stake Food Delivery Coordinator</v>
      </c>
      <c r="D92" s="17" t="str">
        <f ca="1">IFERROR(__xludf.DUMMYFUNCTION("""COMPUTED_VALUE"""),"Williamston")</f>
        <v>Williamston</v>
      </c>
      <c r="E92" s="19" t="str">
        <f ca="1">IFERROR(__xludf.DUMMYFUNCTION("""COMPUTED_VALUE"""),"Complete")</f>
        <v>Complete</v>
      </c>
      <c r="F92" s="20">
        <f ca="1">IFERROR(__xludf.DUMMYFUNCTION("""COMPUTED_VALUE"""),45890.790919155)</f>
        <v>45890.790919154999</v>
      </c>
      <c r="G92" s="21" t="str">
        <f ca="1">IFERROR(__xludf.DUMMYFUNCTION("""COMPUTED_VALUE"""),"Bills")</f>
        <v>Bills</v>
      </c>
      <c r="H92" s="20" t="str">
        <f ca="1">IFERROR(__xludf.DUMMYFUNCTION("""COMPUTED_VALUE"""),"Sandra Reed")</f>
        <v>Sandra Reed</v>
      </c>
      <c r="I92" s="22" t="str">
        <f ca="1">IFERROR(__xludf.DUMMYFUNCTION("""COMPUTED_VALUE"""),"https://docs.google.com/forms/d/e/1FAIpQLSd37AKX0Ca1Yeje6eC6NuliFZj5Spn7I7mXRsa9kBsXMqB-Ag/viewform?edit2=2_ABaOnuc6u94zQdric7ddkssmbIhd6cPvEDdWZoOXTRFNLEAy5slE11TDc2rCZnG698eeNHs")</f>
        <v>https://docs.google.com/forms/d/e/1FAIpQLSd37AKX0Ca1Yeje6eC6NuliFZj5Spn7I7mXRsa9kBsXMqB-Ag/viewform?edit2=2_ABaOnuc6u94zQdric7ddkssmbIhd6cPvEDdWZoOXTRFNLEAy5slE11TDc2rCZnG698eeNHs</v>
      </c>
    </row>
    <row r="93" spans="1:9" ht="13.2" x14ac:dyDescent="0.25">
      <c r="A93" s="17" t="str">
        <f ca="1">IFERROR(__xludf.DUMMYFUNCTION("""COMPUTED_VALUE"""),"Callings")</f>
        <v>Callings</v>
      </c>
      <c r="B93" s="18" t="str">
        <f ca="1">IFERROR(__xludf.DUMMYFUNCTION("""COMPUTED_VALUE"""),"Sarah Stradley")</f>
        <v>Sarah Stradley</v>
      </c>
      <c r="C93" s="17" t="str">
        <f ca="1">IFERROR(__xludf.DUMMYFUNCTION("""COMPUTED_VALUE"""),"Stake Seminary Teacher ")</f>
        <v xml:space="preserve">Stake Seminary Teacher </v>
      </c>
      <c r="D93" s="17" t="str">
        <f ca="1">IFERROR(__xludf.DUMMYFUNCTION("""COMPUTED_VALUE"""),"Owosso")</f>
        <v>Owosso</v>
      </c>
      <c r="E93" s="19" t="str">
        <f ca="1">IFERROR(__xludf.DUMMYFUNCTION("""COMPUTED_VALUE"""),"Complete")</f>
        <v>Complete</v>
      </c>
      <c r="F93" s="20">
        <f ca="1">IFERROR(__xludf.DUMMYFUNCTION("""COMPUTED_VALUE"""),45879.6476306481)</f>
        <v>45879.647630648098</v>
      </c>
      <c r="G93" s="21" t="str">
        <f ca="1">IFERROR(__xludf.DUMMYFUNCTION("""COMPUTED_VALUE"""),"Ward")</f>
        <v>Ward</v>
      </c>
      <c r="H93" s="20" t="str">
        <f ca="1">IFERROR(__xludf.DUMMYFUNCTION("""COMPUTED_VALUE"""),"Pres Gentile")</f>
        <v>Pres Gentile</v>
      </c>
      <c r="I93" s="22" t="str">
        <f ca="1">IFERROR(__xludf.DUMMYFUNCTION("""COMPUTED_VALUE"""),"https://docs.google.com/forms/d/e/1FAIpQLSd37AKX0Ca1Yeje6eC6NuliFZj5Spn7I7mXRsa9kBsXMqB-Ag/viewform?edit2=2_ABaOnufS-nreBWFxPOyC72eR9s3g4FxQB6CNDe1z4p8VG1C-Z8nxN3WTFe2eHFZhUKAg3ho")</f>
        <v>https://docs.google.com/forms/d/e/1FAIpQLSd37AKX0Ca1Yeje6eC6NuliFZj5Spn7I7mXRsa9kBsXMqB-Ag/viewform?edit2=2_ABaOnufS-nreBWFxPOyC72eR9s3g4FxQB6CNDe1z4p8VG1C-Z8nxN3WTFe2eHFZhUKAg3ho</v>
      </c>
    </row>
    <row r="94" spans="1:9" ht="13.2" x14ac:dyDescent="0.25">
      <c r="A94" s="17" t="str">
        <f ca="1">IFERROR(__xludf.DUMMYFUNCTION("""COMPUTED_VALUE"""),"Callings")</f>
        <v>Callings</v>
      </c>
      <c r="B94" s="18" t="str">
        <f ca="1">IFERROR(__xludf.DUMMYFUNCTION("""COMPUTED_VALUE"""),"Steven Stradley")</f>
        <v>Steven Stradley</v>
      </c>
      <c r="C94" s="17" t="str">
        <f ca="1">IFERROR(__xludf.DUMMYFUNCTION("""COMPUTED_VALUE"""),"Stake Seminary Teacher")</f>
        <v>Stake Seminary Teacher</v>
      </c>
      <c r="D94" s="17" t="str">
        <f ca="1">IFERROR(__xludf.DUMMYFUNCTION("""COMPUTED_VALUE"""),"Owosso")</f>
        <v>Owosso</v>
      </c>
      <c r="E94" s="19" t="str">
        <f ca="1">IFERROR(__xludf.DUMMYFUNCTION("""COMPUTED_VALUE"""),"Complete")</f>
        <v>Complete</v>
      </c>
      <c r="F94" s="20">
        <f ca="1">IFERROR(__xludf.DUMMYFUNCTION("""COMPUTED_VALUE"""),45879.6469440625)</f>
        <v>45879.646944062501</v>
      </c>
      <c r="G94" s="21" t="str">
        <f ca="1">IFERROR(__xludf.DUMMYFUNCTION("""COMPUTED_VALUE"""),"Ward")</f>
        <v>Ward</v>
      </c>
      <c r="H94" s="20" t="str">
        <f ca="1">IFERROR(__xludf.DUMMYFUNCTION("""COMPUTED_VALUE"""),"Pres Gentile")</f>
        <v>Pres Gentile</v>
      </c>
      <c r="I94" s="22" t="str">
        <f ca="1">IFERROR(__xludf.DUMMYFUNCTION("""COMPUTED_VALUE"""),"https://docs.google.com/forms/d/e/1FAIpQLSd37AKX0Ca1Yeje6eC6NuliFZj5Spn7I7mXRsa9kBsXMqB-Ag/viewform?edit2=2_ABaOnucYWY2zuzm8es8eJ_-9FH9ayjyExmMZeKjX4-wl6cCrL0uykZ7cB6-yj6uUc6HAYvM")</f>
        <v>https://docs.google.com/forms/d/e/1FAIpQLSd37AKX0Ca1Yeje6eC6NuliFZj5Spn7I7mXRsa9kBsXMqB-Ag/viewform?edit2=2_ABaOnucYWY2zuzm8es8eJ_-9FH9ayjyExmMZeKjX4-wl6cCrL0uykZ7cB6-yj6uUc6HAYvM</v>
      </c>
    </row>
    <row r="95" spans="1:9" ht="13.2" x14ac:dyDescent="0.25">
      <c r="A95" s="17" t="str">
        <f ca="1">IFERROR(__xludf.DUMMYFUNCTION("""COMPUTED_VALUE"""),"Callings")</f>
        <v>Callings</v>
      </c>
      <c r="B95" s="18" t="str">
        <f ca="1">IFERROR(__xludf.DUMMYFUNCTION("""COMPUTED_VALUE"""),"John Foltz")</f>
        <v>John Foltz</v>
      </c>
      <c r="C95" s="17" t="str">
        <f ca="1">IFERROR(__xludf.DUMMYFUNCTION("""COMPUTED_VALUE"""),"Asst Ward Clerk, Membership")</f>
        <v>Asst Ward Clerk, Membership</v>
      </c>
      <c r="D95" s="17" t="str">
        <f ca="1">IFERROR(__xludf.DUMMYFUNCTION("""COMPUTED_VALUE"""),"Owosso")</f>
        <v>Owosso</v>
      </c>
      <c r="E95" s="19" t="str">
        <f ca="1">IFERROR(__xludf.DUMMYFUNCTION("""COMPUTED_VALUE"""),"Complete")</f>
        <v>Complete</v>
      </c>
      <c r="F95" s="20">
        <f ca="1">IFERROR(__xludf.DUMMYFUNCTION("""COMPUTED_VALUE"""),45877.4943863078)</f>
        <v>45877.494386307801</v>
      </c>
      <c r="G95" s="21" t="str">
        <f ca="1">IFERROR(__xludf.DUMMYFUNCTION("""COMPUTED_VALUE"""),"Earl")</f>
        <v>Earl</v>
      </c>
      <c r="H95" s="20" t="str">
        <f ca="1">IFERROR(__xludf.DUMMYFUNCTION("""COMPUTED_VALUE"""),"Kirk Leifson")</f>
        <v>Kirk Leifson</v>
      </c>
      <c r="I95" s="22" t="str">
        <f ca="1">IFERROR(__xludf.DUMMYFUNCTION("""COMPUTED_VALUE"""),"https://docs.google.com/forms/d/e/1FAIpQLSd37AKX0Ca1Yeje6eC6NuliFZj5Spn7I7mXRsa9kBsXMqB-Ag/viewform?edit2=2_ABaOnufqRJ9CZA1DZgXIPmBFI39RgSvBKjemJ5gdv9VfzXE2Y63oUhBQwgRKwJdOH8lyyeE")</f>
        <v>https://docs.google.com/forms/d/e/1FAIpQLSd37AKX0Ca1Yeje6eC6NuliFZj5Spn7I7mXRsa9kBsXMqB-Ag/viewform?edit2=2_ABaOnufqRJ9CZA1DZgXIPmBFI39RgSvBKjemJ5gdv9VfzXE2Y63oUhBQwgRKwJdOH8lyyeE</v>
      </c>
    </row>
    <row r="96" spans="1:9" ht="13.2" x14ac:dyDescent="0.25">
      <c r="A96" s="17" t="str">
        <f ca="1">IFERROR(__xludf.DUMMYFUNCTION("""COMPUTED_VALUE"""),"Callings")</f>
        <v>Callings</v>
      </c>
      <c r="B96" s="18" t="str">
        <f ca="1">IFERROR(__xludf.DUMMYFUNCTION("""COMPUTED_VALUE"""),"William Tombs")</f>
        <v>William Tombs</v>
      </c>
      <c r="C96" s="17" t="str">
        <f ca="1">IFERROR(__xludf.DUMMYFUNCTION("""COMPUTED_VALUE"""),"EQP 2nd Counselor")</f>
        <v>EQP 2nd Counselor</v>
      </c>
      <c r="D96" s="17" t="str">
        <f ca="1">IFERROR(__xludf.DUMMYFUNCTION("""COMPUTED_VALUE"""),"Lansing")</f>
        <v>Lansing</v>
      </c>
      <c r="E96" s="19" t="str">
        <f ca="1">IFERROR(__xludf.DUMMYFUNCTION("""COMPUTED_VALUE"""),"Complete")</f>
        <v>Complete</v>
      </c>
      <c r="F96" s="20">
        <f ca="1">IFERROR(__xludf.DUMMYFUNCTION("""COMPUTED_VALUE"""),45877.4799799305)</f>
        <v>45877.479979930496</v>
      </c>
      <c r="G96" s="21" t="str">
        <f ca="1">IFERROR(__xludf.DUMMYFUNCTION("""COMPUTED_VALUE"""),"Pierce")</f>
        <v>Pierce</v>
      </c>
      <c r="H96" s="20" t="str">
        <f ca="1">IFERROR(__xludf.DUMMYFUNCTION("""COMPUTED_VALUE"""),"Bro McCrary")</f>
        <v>Bro McCrary</v>
      </c>
      <c r="I96" s="22" t="str">
        <f ca="1">IFERROR(__xludf.DUMMYFUNCTION("""COMPUTED_VALUE"""),"https://docs.google.com/forms/d/e/1FAIpQLSd37AKX0Ca1Yeje6eC6NuliFZj5Spn7I7mXRsa9kBsXMqB-Ag/viewform?edit2=2_ABaOnud2OSKDZ02P_FamB8A30V_EW5FSbmzrAiHrkA835GgcC9c2YW-Rd4hKonIS6U_zBHE")</f>
        <v>https://docs.google.com/forms/d/e/1FAIpQLSd37AKX0Ca1Yeje6eC6NuliFZj5Spn7I7mXRsa9kBsXMqB-Ag/viewform?edit2=2_ABaOnud2OSKDZ02P_FamB8A30V_EW5FSbmzrAiHrkA835GgcC9c2YW-Rd4hKonIS6U_zBHE</v>
      </c>
    </row>
    <row r="97" spans="1:9" ht="13.2" x14ac:dyDescent="0.25">
      <c r="A97" s="17" t="str">
        <f ca="1">IFERROR(__xludf.DUMMYFUNCTION("""COMPUTED_VALUE"""),"Callings")</f>
        <v>Callings</v>
      </c>
      <c r="B97" s="18" t="str">
        <f ca="1">IFERROR(__xludf.DUMMYFUNCTION("""COMPUTED_VALUE"""),"Donald Ward")</f>
        <v>Donald Ward</v>
      </c>
      <c r="C97" s="17" t="str">
        <f ca="1">IFERROR(__xludf.DUMMYFUNCTION("""COMPUTED_VALUE"""),"Stake High Councilor/Sunday School Pres")</f>
        <v>Stake High Councilor/Sunday School Pres</v>
      </c>
      <c r="D97" s="17" t="str">
        <f ca="1">IFERROR(__xludf.DUMMYFUNCTION("""COMPUTED_VALUE"""),"Williamston")</f>
        <v>Williamston</v>
      </c>
      <c r="E97" s="19" t="str">
        <f ca="1">IFERROR(__xludf.DUMMYFUNCTION("""COMPUTED_VALUE"""),"Complete")</f>
        <v>Complete</v>
      </c>
      <c r="F97" s="20">
        <f ca="1">IFERROR(__xludf.DUMMYFUNCTION("""COMPUTED_VALUE"""),45877.4685106597)</f>
        <v>45877.468510659703</v>
      </c>
      <c r="G97" s="21" t="str">
        <f ca="1">IFERROR(__xludf.DUMMYFUNCTION("""COMPUTED_VALUE"""),"Rawson")</f>
        <v>Rawson</v>
      </c>
      <c r="H97" s="20" t="str">
        <f ca="1">IFERROR(__xludf.DUMMYFUNCTION("""COMPUTED_VALUE"""),"President Earl")</f>
        <v>President Earl</v>
      </c>
      <c r="I97" s="22" t="str">
        <f ca="1">IFERROR(__xludf.DUMMYFUNCTION("""COMPUTED_VALUE"""),"https://docs.google.com/forms/d/e/1FAIpQLSd37AKX0Ca1Yeje6eC6NuliFZj5Spn7I7mXRsa9kBsXMqB-Ag/viewform?edit2=2_ABaOnue1ZmkVCQ73gZfMpVV9jAOeECCSJOVWPkZUJbuX-UjITF8G09k3HqoNLPJR5YOovSg")</f>
        <v>https://docs.google.com/forms/d/e/1FAIpQLSd37AKX0Ca1Yeje6eC6NuliFZj5Spn7I7mXRsa9kBsXMqB-Ag/viewform?edit2=2_ABaOnue1ZmkVCQ73gZfMpVV9jAOeECCSJOVWPkZUJbuX-UjITF8G09k3HqoNLPJR5YOovSg</v>
      </c>
    </row>
    <row r="98" spans="1:9" ht="13.2" x14ac:dyDescent="0.25">
      <c r="A98" s="17" t="str">
        <f ca="1">IFERROR(__xludf.DUMMYFUNCTION("""COMPUTED_VALUE"""),"Callings")</f>
        <v>Callings</v>
      </c>
      <c r="B98" s="18" t="str">
        <f ca="1">IFERROR(__xludf.DUMMYFUNCTION("""COMPUTED_VALUE"""),"Earl Ruhf")</f>
        <v>Earl Ruhf</v>
      </c>
      <c r="C98" s="17" t="str">
        <f ca="1">IFERROR(__xludf.DUMMYFUNCTION("""COMPUTED_VALUE"""),"Asst Ward Clerk - Finance")</f>
        <v>Asst Ward Clerk - Finance</v>
      </c>
      <c r="D98" s="17" t="str">
        <f ca="1">IFERROR(__xludf.DUMMYFUNCTION("""COMPUTED_VALUE"""),"Lansing")</f>
        <v>Lansing</v>
      </c>
      <c r="E98" s="19" t="str">
        <f ca="1">IFERROR(__xludf.DUMMYFUNCTION("""COMPUTED_VALUE"""),"Complete")</f>
        <v>Complete</v>
      </c>
      <c r="F98" s="20">
        <f ca="1">IFERROR(__xludf.DUMMYFUNCTION("""COMPUTED_VALUE"""),45877.4673780208)</f>
        <v>45877.467378020803</v>
      </c>
      <c r="G98" s="21" t="str">
        <f ca="1">IFERROR(__xludf.DUMMYFUNCTION("""COMPUTED_VALUE"""),"McCrary")</f>
        <v>McCrary</v>
      </c>
      <c r="H98" s="20" t="str">
        <f ca="1">IFERROR(__xludf.DUMMYFUNCTION("""COMPUTED_VALUE"""),"Bro Ward")</f>
        <v>Bro Ward</v>
      </c>
      <c r="I98" s="22" t="str">
        <f ca="1">IFERROR(__xludf.DUMMYFUNCTION("""COMPUTED_VALUE"""),"https://docs.google.com/forms/d/e/1FAIpQLSd37AKX0Ca1Yeje6eC6NuliFZj5Spn7I7mXRsa9kBsXMqB-Ag/viewform?edit2=2_ABaOnueEghC04Vykviesh9gQbyNMpFYEkj1GRRGToZI5mp9gsmCgkZq4p94y2qdwIg6X4oE")</f>
        <v>https://docs.google.com/forms/d/e/1FAIpQLSd37AKX0Ca1Yeje6eC6NuliFZj5Spn7I7mXRsa9kBsXMqB-Ag/viewform?edit2=2_ABaOnueEghC04Vykviesh9gQbyNMpFYEkj1GRRGToZI5mp9gsmCgkZq4p94y2qdwIg6X4oE</v>
      </c>
    </row>
    <row r="99" spans="1:9" ht="13.2" x14ac:dyDescent="0.25">
      <c r="A99" s="17" t="str">
        <f ca="1">IFERROR(__xludf.DUMMYFUNCTION("""COMPUTED_VALUE"""),"Callings")</f>
        <v>Callings</v>
      </c>
      <c r="B99" s="18" t="str">
        <f ca="1">IFERROR(__xludf.DUMMYFUNCTION("""COMPUTED_VALUE"""),"Renee Solomon")</f>
        <v>Renee Solomon</v>
      </c>
      <c r="C99" s="17" t="str">
        <f ca="1">IFERROR(__xludf.DUMMYFUNCTION("""COMPUTED_VALUE"""),"Seminary Teacher")</f>
        <v>Seminary Teacher</v>
      </c>
      <c r="D99" s="17" t="str">
        <f ca="1">IFERROR(__xludf.DUMMYFUNCTION("""COMPUTED_VALUE"""),"St Johns")</f>
        <v>St Johns</v>
      </c>
      <c r="E99" s="19" t="str">
        <f ca="1">IFERROR(__xludf.DUMMYFUNCTION("""COMPUTED_VALUE"""),"Complete")</f>
        <v>Complete</v>
      </c>
      <c r="F99" s="20">
        <f ca="1">IFERROR(__xludf.DUMMYFUNCTION("""COMPUTED_VALUE"""),45865.572893912)</f>
        <v>45865.572893912002</v>
      </c>
      <c r="G99" s="21" t="str">
        <f ca="1">IFERROR(__xludf.DUMMYFUNCTION("""COMPUTED_VALUE"""),"Earl")</f>
        <v>Earl</v>
      </c>
      <c r="H99" s="20" t="str">
        <f ca="1">IFERROR(__xludf.DUMMYFUNCTION("""COMPUTED_VALUE"""),"Pres Gentile")</f>
        <v>Pres Gentile</v>
      </c>
      <c r="I99" s="22" t="str">
        <f ca="1">IFERROR(__xludf.DUMMYFUNCTION("""COMPUTED_VALUE"""),"https://docs.google.com/forms/d/e/1FAIpQLSd37AKX0Ca1Yeje6eC6NuliFZj5Spn7I7mXRsa9kBsXMqB-Ag/viewform?edit2=2_ABaOnueGu3sNZznE7OqaXdAANpC8VT8XqSdh3n-bztGtY8XN2ssDtclEFdzfW9yyi36Ubu0")</f>
        <v>https://docs.google.com/forms/d/e/1FAIpQLSd37AKX0Ca1Yeje6eC6NuliFZj5Spn7I7mXRsa9kBsXMqB-Ag/viewform?edit2=2_ABaOnueGu3sNZznE7OqaXdAANpC8VT8XqSdh3n-bztGtY8XN2ssDtclEFdzfW9yyi36Ubu0</v>
      </c>
    </row>
    <row r="100" spans="1:9" ht="13.2" x14ac:dyDescent="0.25">
      <c r="A100" s="17" t="str">
        <f ca="1">IFERROR(__xludf.DUMMYFUNCTION("""COMPUTED_VALUE"""),"Callings")</f>
        <v>Callings</v>
      </c>
      <c r="B100" s="18" t="str">
        <f ca="1">IFERROR(__xludf.DUMMYFUNCTION("""COMPUTED_VALUE"""),"Don Solomon")</f>
        <v>Don Solomon</v>
      </c>
      <c r="C100" s="17" t="str">
        <f ca="1">IFERROR(__xludf.DUMMYFUNCTION("""COMPUTED_VALUE"""),"Seminary Teacher ")</f>
        <v xml:space="preserve">Seminary Teacher </v>
      </c>
      <c r="D100" s="17" t="str">
        <f ca="1">IFERROR(__xludf.DUMMYFUNCTION("""COMPUTED_VALUE"""),"St Johns")</f>
        <v>St Johns</v>
      </c>
      <c r="E100" s="19" t="str">
        <f ca="1">IFERROR(__xludf.DUMMYFUNCTION("""COMPUTED_VALUE"""),"Complete")</f>
        <v>Complete</v>
      </c>
      <c r="F100" s="20">
        <f ca="1">IFERROR(__xludf.DUMMYFUNCTION("""COMPUTED_VALUE"""),45865.5720460648)</f>
        <v>45865.572046064801</v>
      </c>
      <c r="G100" s="21" t="str">
        <f ca="1">IFERROR(__xludf.DUMMYFUNCTION("""COMPUTED_VALUE"""),"Earl")</f>
        <v>Earl</v>
      </c>
      <c r="H100" s="20" t="str">
        <f ca="1">IFERROR(__xludf.DUMMYFUNCTION("""COMPUTED_VALUE"""),"Pres Gentile")</f>
        <v>Pres Gentile</v>
      </c>
      <c r="I100" s="22" t="str">
        <f ca="1">IFERROR(__xludf.DUMMYFUNCTION("""COMPUTED_VALUE"""),"https://docs.google.com/forms/d/e/1FAIpQLSd37AKX0Ca1Yeje6eC6NuliFZj5Spn7I7mXRsa9kBsXMqB-Ag/viewform?edit2=2_ABaOnudMJvxTFQOdCluj0DW5gkN7siHYmo2cFZLQs-CNLK5s164lyZmuEgOv1Nnl33EhZng")</f>
        <v>https://docs.google.com/forms/d/e/1FAIpQLSd37AKX0Ca1Yeje6eC6NuliFZj5Spn7I7mXRsa9kBsXMqB-Ag/viewform?edit2=2_ABaOnudMJvxTFQOdCluj0DW5gkN7siHYmo2cFZLQs-CNLK5s164lyZmuEgOv1Nnl33EhZng</v>
      </c>
    </row>
    <row r="101" spans="1:9" ht="13.2" x14ac:dyDescent="0.25">
      <c r="A101" s="17" t="str">
        <f ca="1">IFERROR(__xludf.DUMMYFUNCTION("""COMPUTED_VALUE"""),"Callings")</f>
        <v>Callings</v>
      </c>
      <c r="B101" s="18" t="str">
        <f ca="1">IFERROR(__xludf.DUMMYFUNCTION("""COMPUTED_VALUE"""),"Derek Thorpe")</f>
        <v>Derek Thorpe</v>
      </c>
      <c r="C101" s="17" t="str">
        <f ca="1">IFERROR(__xludf.DUMMYFUNCTION("""COMPUTED_VALUE"""),"Stake High Councilor")</f>
        <v>Stake High Councilor</v>
      </c>
      <c r="D101" s="17" t="str">
        <f ca="1">IFERROR(__xludf.DUMMYFUNCTION("""COMPUTED_VALUE"""),"Williamston")</f>
        <v>Williamston</v>
      </c>
      <c r="E101" s="19" t="str">
        <f ca="1">IFERROR(__xludf.DUMMYFUNCTION("""COMPUTED_VALUE"""),"Complete")</f>
        <v>Complete</v>
      </c>
      <c r="F101" s="20">
        <f ca="1">IFERROR(__xludf.DUMMYFUNCTION("""COMPUTED_VALUE"""),45858.6360357523)</f>
        <v>45858.636035752301</v>
      </c>
      <c r="G101" s="21" t="str">
        <f ca="1">IFERROR(__xludf.DUMMYFUNCTION("""COMPUTED_VALUE"""),"Rawson")</f>
        <v>Rawson</v>
      </c>
      <c r="H101" s="20" t="str">
        <f ca="1">IFERROR(__xludf.DUMMYFUNCTION("""COMPUTED_VALUE"""),"Pres Pierce")</f>
        <v>Pres Pierce</v>
      </c>
      <c r="I101" s="22" t="str">
        <f ca="1">IFERROR(__xludf.DUMMYFUNCTION("""COMPUTED_VALUE"""),"https://docs.google.com/forms/d/e/1FAIpQLSd37AKX0Ca1Yeje6eC6NuliFZj5Spn7I7mXRsa9kBsXMqB-Ag/viewform?edit2=2_ABaOnucjjv5_rTobnMm4ik6SidIvkk-2PeScJNL7aeMG456YOKbsbhP67njMT5uBHLUCZvY")</f>
        <v>https://docs.google.com/forms/d/e/1FAIpQLSd37AKX0Ca1Yeje6eC6NuliFZj5Spn7I7mXRsa9kBsXMqB-Ag/viewform?edit2=2_ABaOnucjjv5_rTobnMm4ik6SidIvkk-2PeScJNL7aeMG456YOKbsbhP67njMT5uBHLUCZvY</v>
      </c>
    </row>
    <row r="102" spans="1:9" ht="13.2" x14ac:dyDescent="0.25">
      <c r="A102" s="17" t="str">
        <f ca="1">IFERROR(__xludf.DUMMYFUNCTION("""COMPUTED_VALUE"""),"Callings")</f>
        <v>Callings</v>
      </c>
      <c r="B102" s="18" t="str">
        <f ca="1">IFERROR(__xludf.DUMMYFUNCTION("""COMPUTED_VALUE"""),"Trinette Bartlett")</f>
        <v>Trinette Bartlett</v>
      </c>
      <c r="C102" s="17" t="str">
        <f ca="1">IFERROR(__xludf.DUMMYFUNCTION("""COMPUTED_VALUE"""),"Seminary Teacher ")</f>
        <v xml:space="preserve">Seminary Teacher </v>
      </c>
      <c r="D102" s="17" t="str">
        <f ca="1">IFERROR(__xludf.DUMMYFUNCTION("""COMPUTED_VALUE"""),"Williamston")</f>
        <v>Williamston</v>
      </c>
      <c r="E102" s="19" t="str">
        <f ca="1">IFERROR(__xludf.DUMMYFUNCTION("""COMPUTED_VALUE"""),"Complete")</f>
        <v>Complete</v>
      </c>
      <c r="F102" s="20">
        <f ca="1">IFERROR(__xludf.DUMMYFUNCTION("""COMPUTED_VALUE"""),45858.6351679745)</f>
        <v>45858.635167974498</v>
      </c>
      <c r="G102" s="21" t="str">
        <f ca="1">IFERROR(__xludf.DUMMYFUNCTION("""COMPUTED_VALUE"""),"Pierce")</f>
        <v>Pierce</v>
      </c>
      <c r="H102" s="20" t="str">
        <f ca="1">IFERROR(__xludf.DUMMYFUNCTION("""COMPUTED_VALUE"""),"Pres Gentile")</f>
        <v>Pres Gentile</v>
      </c>
      <c r="I102" s="22" t="str">
        <f ca="1">IFERROR(__xludf.DUMMYFUNCTION("""COMPUTED_VALUE"""),"https://docs.google.com/forms/d/e/1FAIpQLSd37AKX0Ca1Yeje6eC6NuliFZj5Spn7I7mXRsa9kBsXMqB-Ag/viewform?edit2=2_ABaOnudMvc4nYTck6z1P6LL-5zj5DgoxtiEgnPIpsxaQHqe255RgBZ_3yNiixA0o_EgsNpw")</f>
        <v>https://docs.google.com/forms/d/e/1FAIpQLSd37AKX0Ca1Yeje6eC6NuliFZj5Spn7I7mXRsa9kBsXMqB-Ag/viewform?edit2=2_ABaOnudMvc4nYTck6z1P6LL-5zj5DgoxtiEgnPIpsxaQHqe255RgBZ_3yNiixA0o_EgsNpw</v>
      </c>
    </row>
    <row r="103" spans="1:9" ht="13.2" x14ac:dyDescent="0.25">
      <c r="A103" s="17" t="str">
        <f ca="1">IFERROR(__xludf.DUMMYFUNCTION("""COMPUTED_VALUE"""),"Callings")</f>
        <v>Callings</v>
      </c>
      <c r="B103" s="18" t="str">
        <f ca="1">IFERROR(__xludf.DUMMYFUNCTION("""COMPUTED_VALUE"""),"John Cochran")</f>
        <v>John Cochran</v>
      </c>
      <c r="C103" s="17" t="str">
        <f ca="1">IFERROR(__xludf.DUMMYFUNCTION("""COMPUTED_VALUE"""),"S.S. 1st Counselor")</f>
        <v>S.S. 1st Counselor</v>
      </c>
      <c r="D103" s="17" t="str">
        <f ca="1">IFERROR(__xludf.DUMMYFUNCTION("""COMPUTED_VALUE"""),"Owosso")</f>
        <v>Owosso</v>
      </c>
      <c r="E103" s="19" t="str">
        <f ca="1">IFERROR(__xludf.DUMMYFUNCTION("""COMPUTED_VALUE"""),"Declined")</f>
        <v>Declined</v>
      </c>
      <c r="F103" s="20">
        <f ca="1">IFERROR(__xludf.DUMMYFUNCTION("""COMPUTED_VALUE"""),45851.835340868)</f>
        <v>45851.835340867998</v>
      </c>
      <c r="G103" s="21" t="str">
        <f ca="1">IFERROR(__xludf.DUMMYFUNCTION("""COMPUTED_VALUE"""),"Ward")</f>
        <v>Ward</v>
      </c>
      <c r="H103" s="20"/>
      <c r="I103" s="22" t="str">
        <f ca="1">IFERROR(__xludf.DUMMYFUNCTION("""COMPUTED_VALUE"""),"https://docs.google.com/forms/d/e/1FAIpQLSd37AKX0Ca1Yeje6eC6NuliFZj5Spn7I7mXRsa9kBsXMqB-Ag/viewform?edit2=2_ABaOnuekMbJPwsBIgdmAqSZzHZqSYnVxvFNd3_I1BoI0oDlFKWMmDFbCIIaJoVZa5M1B63U")</f>
        <v>https://docs.google.com/forms/d/e/1FAIpQLSd37AKX0Ca1Yeje6eC6NuliFZj5Spn7I7mXRsa9kBsXMqB-Ag/viewform?edit2=2_ABaOnuekMbJPwsBIgdmAqSZzHZqSYnVxvFNd3_I1BoI0oDlFKWMmDFbCIIaJoVZa5M1B63U</v>
      </c>
    </row>
    <row r="104" spans="1:9" ht="13.2" x14ac:dyDescent="0.25">
      <c r="A104" s="17" t="str">
        <f ca="1">IFERROR(__xludf.DUMMYFUNCTION("""COMPUTED_VALUE"""),"Callings")</f>
        <v>Callings</v>
      </c>
      <c r="B104" s="18" t="str">
        <f ca="1">IFERROR(__xludf.DUMMYFUNCTION("""COMPUTED_VALUE"""),"Chris Schafer")</f>
        <v>Chris Schafer</v>
      </c>
      <c r="C104" s="17" t="str">
        <f ca="1">IFERROR(__xludf.DUMMYFUNCTION("""COMPUTED_VALUE"""),"Assistant Ward Clerk - Membership")</f>
        <v>Assistant Ward Clerk - Membership</v>
      </c>
      <c r="D104" s="17" t="str">
        <f ca="1">IFERROR(__xludf.DUMMYFUNCTION("""COMPUTED_VALUE"""),"Lansing")</f>
        <v>Lansing</v>
      </c>
      <c r="E104" s="19" t="str">
        <f ca="1">IFERROR(__xludf.DUMMYFUNCTION("""COMPUTED_VALUE"""),"Complete")</f>
        <v>Complete</v>
      </c>
      <c r="F104" s="20">
        <f ca="1">IFERROR(__xludf.DUMMYFUNCTION("""COMPUTED_VALUE"""),45830.6616633564)</f>
        <v>45830.661663356397</v>
      </c>
      <c r="G104" s="21" t="str">
        <f ca="1">IFERROR(__xludf.DUMMYFUNCTION("""COMPUTED_VALUE"""),"Rawson")</f>
        <v>Rawson</v>
      </c>
      <c r="H104" s="20" t="str">
        <f ca="1">IFERROR(__xludf.DUMMYFUNCTION("""COMPUTED_VALUE"""),"Kirk Leifson")</f>
        <v>Kirk Leifson</v>
      </c>
      <c r="I104" s="22" t="str">
        <f ca="1">IFERROR(__xludf.DUMMYFUNCTION("""COMPUTED_VALUE"""),"https://docs.google.com/forms/d/e/1FAIpQLSd37AKX0Ca1Yeje6eC6NuliFZj5Spn7I7mXRsa9kBsXMqB-Ag/viewform?edit2=2_ABaOnue3S7SYaNWgEAznt3mTxRzvQxotTavY8JjGD9KRM2eqycfhYKXIiPmrHTmwMZ24hFE")</f>
        <v>https://docs.google.com/forms/d/e/1FAIpQLSd37AKX0Ca1Yeje6eC6NuliFZj5Spn7I7mXRsa9kBsXMqB-Ag/viewform?edit2=2_ABaOnue3S7SYaNWgEAznt3mTxRzvQxotTavY8JjGD9KRM2eqycfhYKXIiPmrHTmwMZ24hFE</v>
      </c>
    </row>
    <row r="105" spans="1:9" ht="13.2" x14ac:dyDescent="0.25">
      <c r="A105" s="17" t="str">
        <f ca="1">IFERROR(__xludf.DUMMYFUNCTION("""COMPUTED_VALUE"""),"Callings")</f>
        <v>Callings</v>
      </c>
      <c r="B105" s="18" t="str">
        <f ca="1">IFERROR(__xludf.DUMMYFUNCTION("""COMPUTED_VALUE"""),"Samuel Casellas")</f>
        <v>Samuel Casellas</v>
      </c>
      <c r="C105" s="17" t="str">
        <f ca="1">IFERROR(__xludf.DUMMYFUNCTION("""COMPUTED_VALUE"""),"Stake YM Secretary")</f>
        <v>Stake YM Secretary</v>
      </c>
      <c r="D105" s="17" t="str">
        <f ca="1">IFERROR(__xludf.DUMMYFUNCTION("""COMPUTED_VALUE"""),"YSA")</f>
        <v>YSA</v>
      </c>
      <c r="E105" s="19" t="str">
        <f ca="1">IFERROR(__xludf.DUMMYFUNCTION("""COMPUTED_VALUE"""),"Complete")</f>
        <v>Complete</v>
      </c>
      <c r="F105" s="20">
        <f ca="1">IFERROR(__xludf.DUMMYFUNCTION("""COMPUTED_VALUE"""),45830.6313028588)</f>
        <v>45830.631302858797</v>
      </c>
      <c r="G105" s="21" t="str">
        <f ca="1">IFERROR(__xludf.DUMMYFUNCTION("""COMPUTED_VALUE"""),"Ferrin")</f>
        <v>Ferrin</v>
      </c>
      <c r="H105" s="20" t="str">
        <f ca="1">IFERROR(__xludf.DUMMYFUNCTION("""COMPUTED_VALUE"""),"President Ferrin")</f>
        <v>President Ferrin</v>
      </c>
      <c r="I105" s="22" t="str">
        <f ca="1">IFERROR(__xludf.DUMMYFUNCTION("""COMPUTED_VALUE"""),"https://docs.google.com/forms/d/e/1FAIpQLSd37AKX0Ca1Yeje6eC6NuliFZj5Spn7I7mXRsa9kBsXMqB-Ag/viewform?edit2=2_ABaOnuc9aPDoW6LgjCUsuHRny8nvvfgwUoe3-JYI93_0801K5cI0OOym4pS-MOQRTXsp9Ks")</f>
        <v>https://docs.google.com/forms/d/e/1FAIpQLSd37AKX0Ca1Yeje6eC6NuliFZj5Spn7I7mXRsa9kBsXMqB-Ag/viewform?edit2=2_ABaOnuc9aPDoW6LgjCUsuHRny8nvvfgwUoe3-JYI93_0801K5cI0OOym4pS-MOQRTXsp9Ks</v>
      </c>
    </row>
    <row r="106" spans="1:9" ht="13.2" x14ac:dyDescent="0.25">
      <c r="A106" s="17" t="str">
        <f ca="1">IFERROR(__xludf.DUMMYFUNCTION("""COMPUTED_VALUE"""),"Callings")</f>
        <v>Callings</v>
      </c>
      <c r="B106" s="18" t="str">
        <f ca="1">IFERROR(__xludf.DUMMYFUNCTION("""COMPUTED_VALUE"""),"James Lewis")</f>
        <v>James Lewis</v>
      </c>
      <c r="C106" s="17" t="str">
        <f ca="1">IFERROR(__xludf.DUMMYFUNCTION("""COMPUTED_VALUE"""),"Prison Ministry Leader")</f>
        <v>Prison Ministry Leader</v>
      </c>
      <c r="D106" s="17" t="str">
        <f ca="1">IFERROR(__xludf.DUMMYFUNCTION("""COMPUTED_VALUE"""),"Jackson")</f>
        <v>Jackson</v>
      </c>
      <c r="E106" s="19" t="str">
        <f ca="1">IFERROR(__xludf.DUMMYFUNCTION("""COMPUTED_VALUE"""),"Complete")</f>
        <v>Complete</v>
      </c>
      <c r="F106" s="20">
        <f ca="1">IFERROR(__xludf.DUMMYFUNCTION("""COMPUTED_VALUE"""),45816.6101482175)</f>
        <v>45816.6101482175</v>
      </c>
      <c r="G106" s="21" t="str">
        <f ca="1">IFERROR(__xludf.DUMMYFUNCTION("""COMPUTED_VALUE"""),"Lewis")</f>
        <v>Lewis</v>
      </c>
      <c r="H106" s="20" t="str">
        <f ca="1">IFERROR(__xludf.DUMMYFUNCTION("""COMPUTED_VALUE"""),"President Call")</f>
        <v>President Call</v>
      </c>
      <c r="I106" s="22" t="str">
        <f ca="1">IFERROR(__xludf.DUMMYFUNCTION("""COMPUTED_VALUE"""),"https://docs.google.com/forms/d/e/1FAIpQLSd37AKX0Ca1Yeje6eC6NuliFZj5Spn7I7mXRsa9kBsXMqB-Ag/viewform?edit2=2_ABaOnucaVkMPdH2aGVZIm0f1zpF_bCXekQWJWdFbytk8dMhXHHX1wDYUQqMxTB2Ogxjv0WQ")</f>
        <v>https://docs.google.com/forms/d/e/1FAIpQLSd37AKX0Ca1Yeje6eC6NuliFZj5Spn7I7mXRsa9kBsXMqB-Ag/viewform?edit2=2_ABaOnucaVkMPdH2aGVZIm0f1zpF_bCXekQWJWdFbytk8dMhXHHX1wDYUQqMxTB2Ogxjv0WQ</v>
      </c>
    </row>
    <row r="107" spans="1:9" ht="13.2" x14ac:dyDescent="0.25">
      <c r="A107" s="17" t="str">
        <f ca="1">IFERROR(__xludf.DUMMYFUNCTION("""COMPUTED_VALUE"""),"Callings")</f>
        <v>Callings</v>
      </c>
      <c r="B107" s="18" t="str">
        <f ca="1">IFERROR(__xludf.DUMMYFUNCTION("""COMPUTED_VALUE"""),"Thomas Erekson")</f>
        <v>Thomas Erekson</v>
      </c>
      <c r="C107" s="17" t="str">
        <f ca="1">IFERROR(__xludf.DUMMYFUNCTION("""COMPUTED_VALUE"""),"Prison Ministry Leader")</f>
        <v>Prison Ministry Leader</v>
      </c>
      <c r="D107" s="17" t="str">
        <f ca="1">IFERROR(__xludf.DUMMYFUNCTION("""COMPUTED_VALUE"""),"Jackson")</f>
        <v>Jackson</v>
      </c>
      <c r="E107" s="19" t="str">
        <f ca="1">IFERROR(__xludf.DUMMYFUNCTION("""COMPUTED_VALUE"""),"Complete")</f>
        <v>Complete</v>
      </c>
      <c r="F107" s="20">
        <f ca="1">IFERROR(__xludf.DUMMYFUNCTION("""COMPUTED_VALUE"""),45816.6097899652)</f>
        <v>45816.609789965201</v>
      </c>
      <c r="G107" s="21" t="str">
        <f ca="1">IFERROR(__xludf.DUMMYFUNCTION("""COMPUTED_VALUE"""),"Bell")</f>
        <v>Bell</v>
      </c>
      <c r="H107" s="20" t="str">
        <f ca="1">IFERROR(__xludf.DUMMYFUNCTION("""COMPUTED_VALUE"""),"President Call")</f>
        <v>President Call</v>
      </c>
      <c r="I107" s="22" t="str">
        <f ca="1">IFERROR(__xludf.DUMMYFUNCTION("""COMPUTED_VALUE"""),"https://docs.google.com/forms/d/e/1FAIpQLSd37AKX0Ca1Yeje6eC6NuliFZj5Spn7I7mXRsa9kBsXMqB-Ag/viewform?edit2=2_ABaOnufThh1TB_IPf892J9xyxWhVaOvlulLXH8qQXSglTo6N8V11IP2XJ95JCc8HQufUTrM")</f>
        <v>https://docs.google.com/forms/d/e/1FAIpQLSd37AKX0Ca1Yeje6eC6NuliFZj5Spn7I7mXRsa9kBsXMqB-Ag/viewform?edit2=2_ABaOnufThh1TB_IPf892J9xyxWhVaOvlulLXH8qQXSglTo6N8V11IP2XJ95JCc8HQufUTrM</v>
      </c>
    </row>
    <row r="108" spans="1:9" ht="13.2" x14ac:dyDescent="0.25">
      <c r="A108" s="17" t="str">
        <f ca="1">IFERROR(__xludf.DUMMYFUNCTION("""COMPUTED_VALUE"""),"Callings")</f>
        <v>Callings</v>
      </c>
      <c r="B108" s="18" t="str">
        <f ca="1">IFERROR(__xludf.DUMMYFUNCTION("""COMPUTED_VALUE"""),"Michael Pokorny")</f>
        <v>Michael Pokorny</v>
      </c>
      <c r="C108" s="17" t="str">
        <f ca="1">IFERROR(__xludf.DUMMYFUNCTION("""COMPUTED_VALUE"""),"EQ presidency 2nd Counselor")</f>
        <v>EQ presidency 2nd Counselor</v>
      </c>
      <c r="D108" s="17" t="str">
        <f ca="1">IFERROR(__xludf.DUMMYFUNCTION("""COMPUTED_VALUE"""),"YSA")</f>
        <v>YSA</v>
      </c>
      <c r="E108" s="19" t="str">
        <f ca="1">IFERROR(__xludf.DUMMYFUNCTION("""COMPUTED_VALUE"""),"Complete")</f>
        <v>Complete</v>
      </c>
      <c r="F108" s="20">
        <f ca="1">IFERROR(__xludf.DUMMYFUNCTION("""COMPUTED_VALUE"""),45816.5803464699)</f>
        <v>45816.580346469898</v>
      </c>
      <c r="G108" s="21" t="str">
        <f ca="1">IFERROR(__xludf.DUMMYFUNCTION("""COMPUTED_VALUE"""),"Rinner")</f>
        <v>Rinner</v>
      </c>
      <c r="H108" s="20" t="str">
        <f ca="1">IFERROR(__xludf.DUMMYFUNCTION("""COMPUTED_VALUE"""),"Brother Rinner")</f>
        <v>Brother Rinner</v>
      </c>
      <c r="I108" s="22" t="str">
        <f ca="1">IFERROR(__xludf.DUMMYFUNCTION("""COMPUTED_VALUE"""),"https://docs.google.com/forms/d/e/1FAIpQLSd37AKX0Ca1Yeje6eC6NuliFZj5Spn7I7mXRsa9kBsXMqB-Ag/viewform?edit2=2_ABaOnudby-4veylhoBJyUaYsIzJl4nkQgy_XwWHmiPDS3UFh8dVuo4NR6X7BJ5cnZ2a2SqQ")</f>
        <v>https://docs.google.com/forms/d/e/1FAIpQLSd37AKX0Ca1Yeje6eC6NuliFZj5Spn7I7mXRsa9kBsXMqB-Ag/viewform?edit2=2_ABaOnudby-4veylhoBJyUaYsIzJl4nkQgy_XwWHmiPDS3UFh8dVuo4NR6X7BJ5cnZ2a2SqQ</v>
      </c>
    </row>
    <row r="109" spans="1:9" ht="13.2" x14ac:dyDescent="0.25">
      <c r="A109" s="17" t="str">
        <f ca="1">IFERROR(__xludf.DUMMYFUNCTION("""COMPUTED_VALUE"""),"Callings")</f>
        <v>Callings</v>
      </c>
      <c r="B109" s="18" t="str">
        <f ca="1">IFERROR(__xludf.DUMMYFUNCTION("""COMPUTED_VALUE"""),"Max Fernandez")</f>
        <v>Max Fernandez</v>
      </c>
      <c r="C109" s="17" t="str">
        <f ca="1">IFERROR(__xludf.DUMMYFUNCTION("""COMPUTED_VALUE"""),"Elders Quorum presidency 1st Counselor")</f>
        <v>Elders Quorum presidency 1st Counselor</v>
      </c>
      <c r="D109" s="17" t="str">
        <f ca="1">IFERROR(__xludf.DUMMYFUNCTION("""COMPUTED_VALUE"""),"YSA")</f>
        <v>YSA</v>
      </c>
      <c r="E109" s="19" t="str">
        <f ca="1">IFERROR(__xludf.DUMMYFUNCTION("""COMPUTED_VALUE"""),"Complete")</f>
        <v>Complete</v>
      </c>
      <c r="F109" s="20">
        <f ca="1">IFERROR(__xludf.DUMMYFUNCTION("""COMPUTED_VALUE"""),45816.5796688657)</f>
        <v>45816.579668865699</v>
      </c>
      <c r="G109" s="21" t="str">
        <f ca="1">IFERROR(__xludf.DUMMYFUNCTION("""COMPUTED_VALUE"""),"Rinner")</f>
        <v>Rinner</v>
      </c>
      <c r="H109" s="20" t="str">
        <f ca="1">IFERROR(__xludf.DUMMYFUNCTION("""COMPUTED_VALUE"""),"Brother Rinner")</f>
        <v>Brother Rinner</v>
      </c>
      <c r="I109" s="22" t="str">
        <f ca="1">IFERROR(__xludf.DUMMYFUNCTION("""COMPUTED_VALUE"""),"https://docs.google.com/forms/d/e/1FAIpQLSd37AKX0Ca1Yeje6eC6NuliFZj5Spn7I7mXRsa9kBsXMqB-Ag/viewform?edit2=2_ABaOnudfb438iuRcTi97tc8h6ySeNFg1cWEUVOsVnxcGBUML2QyhQq8GjQTeRQOnS8J8mCI")</f>
        <v>https://docs.google.com/forms/d/e/1FAIpQLSd37AKX0Ca1Yeje6eC6NuliFZj5Spn7I7mXRsa9kBsXMqB-Ag/viewform?edit2=2_ABaOnudfb438iuRcTi97tc8h6ySeNFg1cWEUVOsVnxcGBUML2QyhQq8GjQTeRQOnS8J8mCI</v>
      </c>
    </row>
    <row r="110" spans="1:9" ht="13.2" x14ac:dyDescent="0.25">
      <c r="A110" s="17" t="str">
        <f ca="1">IFERROR(__xludf.DUMMYFUNCTION("""COMPUTED_VALUE"""),"Callings")</f>
        <v>Callings</v>
      </c>
      <c r="B110" s="18" t="str">
        <f ca="1">IFERROR(__xludf.DUMMYFUNCTION("""COMPUTED_VALUE"""),"Steven Wright")</f>
        <v>Steven Wright</v>
      </c>
      <c r="C110" s="17" t="str">
        <f ca="1">IFERROR(__xludf.DUMMYFUNCTION("""COMPUTED_VALUE"""),"EQ President")</f>
        <v>EQ President</v>
      </c>
      <c r="D110" s="17" t="str">
        <f ca="1">IFERROR(__xludf.DUMMYFUNCTION("""COMPUTED_VALUE"""),"YSA")</f>
        <v>YSA</v>
      </c>
      <c r="E110" s="19" t="str">
        <f ca="1">IFERROR(__xludf.DUMMYFUNCTION("""COMPUTED_VALUE"""),"Complete")</f>
        <v>Complete</v>
      </c>
      <c r="F110" s="20">
        <f ca="1">IFERROR(__xludf.DUMMYFUNCTION("""COMPUTED_VALUE"""),45816.566429699)</f>
        <v>45816.566429699</v>
      </c>
      <c r="G110" s="21" t="str">
        <f ca="1">IFERROR(__xludf.DUMMYFUNCTION("""COMPUTED_VALUE"""),"Rawson")</f>
        <v>Rawson</v>
      </c>
      <c r="H110" s="20" t="str">
        <f ca="1">IFERROR(__xludf.DUMMYFUNCTION("""COMPUTED_VALUE"""),"Brother Rinner")</f>
        <v>Brother Rinner</v>
      </c>
      <c r="I110" s="22" t="str">
        <f ca="1">IFERROR(__xludf.DUMMYFUNCTION("""COMPUTED_VALUE"""),"https://docs.google.com/forms/d/e/1FAIpQLSd37AKX0Ca1Yeje6eC6NuliFZj5Spn7I7mXRsa9kBsXMqB-Ag/viewform?edit2=2_ABaOnuckIBKsSimnFjncb-wBKkjl74JnMIIMe9avQ_J1MIPd2zhy-sQZN8WX_vqZjEs15TI")</f>
        <v>https://docs.google.com/forms/d/e/1FAIpQLSd37AKX0Ca1Yeje6eC6NuliFZj5Spn7I7mXRsa9kBsXMqB-Ag/viewform?edit2=2_ABaOnuckIBKsSimnFjncb-wBKkjl74JnMIIMe9avQ_J1MIPd2zhy-sQZN8WX_vqZjEs15TI</v>
      </c>
    </row>
    <row r="111" spans="1:9" ht="13.2" x14ac:dyDescent="0.25">
      <c r="A111" s="17" t="str">
        <f ca="1">IFERROR(__xludf.DUMMYFUNCTION("""COMPUTED_VALUE"""),"Callings")</f>
        <v>Callings</v>
      </c>
      <c r="B111" s="18" t="str">
        <f ca="1">IFERROR(__xludf.DUMMYFUNCTION("""COMPUTED_VALUE"""),"Rocky Shephard")</f>
        <v>Rocky Shephard</v>
      </c>
      <c r="C111" s="17" t="str">
        <f ca="1">IFERROR(__xludf.DUMMYFUNCTION("""COMPUTED_VALUE"""),"Elders Quorum President")</f>
        <v>Elders Quorum President</v>
      </c>
      <c r="D111" s="17" t="str">
        <f ca="1">IFERROR(__xludf.DUMMYFUNCTION("""COMPUTED_VALUE"""),"Williamston")</f>
        <v>Williamston</v>
      </c>
      <c r="E111" s="19" t="str">
        <f ca="1">IFERROR(__xludf.DUMMYFUNCTION("""COMPUTED_VALUE"""),"Declined")</f>
        <v>Declined</v>
      </c>
      <c r="F111" s="20">
        <f ca="1">IFERROR(__xludf.DUMMYFUNCTION("""COMPUTED_VALUE"""),45793.4296689236)</f>
        <v>45793.4296689236</v>
      </c>
      <c r="G111" s="21" t="str">
        <f ca="1">IFERROR(__xludf.DUMMYFUNCTION("""COMPUTED_VALUE"""),"Rawson")</f>
        <v>Rawson</v>
      </c>
      <c r="H111" s="20" t="str">
        <f ca="1">IFERROR(__xludf.DUMMYFUNCTION("""COMPUTED_VALUE"""),"Brother Bills")</f>
        <v>Brother Bills</v>
      </c>
      <c r="I111" s="22" t="str">
        <f ca="1">IFERROR(__xludf.DUMMYFUNCTION("""COMPUTED_VALUE"""),"https://docs.google.com/forms/d/e/1FAIpQLSd37AKX0Ca1Yeje6eC6NuliFZj5Spn7I7mXRsa9kBsXMqB-Ag/viewform?edit2=2_ABaOnudzaqiBgDs_DOUKSFclW-NDR1KV6fEm8JRNGbocyIUF0Tfs8PzyvxT-Vfr92SeFeOc")</f>
        <v>https://docs.google.com/forms/d/e/1FAIpQLSd37AKX0Ca1Yeje6eC6NuliFZj5Spn7I7mXRsa9kBsXMqB-Ag/viewform?edit2=2_ABaOnudzaqiBgDs_DOUKSFclW-NDR1KV6fEm8JRNGbocyIUF0Tfs8PzyvxT-Vfr92SeFeOc</v>
      </c>
    </row>
    <row r="112" spans="1:9" ht="13.2" x14ac:dyDescent="0.25">
      <c r="A112" s="17" t="str">
        <f ca="1">IFERROR(__xludf.DUMMYFUNCTION("""COMPUTED_VALUE"""),"Callings")</f>
        <v>Callings</v>
      </c>
      <c r="B112" s="18" t="str">
        <f ca="1">IFERROR(__xludf.DUMMYFUNCTION("""COMPUTED_VALUE"""),"Maggie Gambill")</f>
        <v>Maggie Gambill</v>
      </c>
      <c r="C112" s="17" t="str">
        <f ca="1">IFERROR(__xludf.DUMMYFUNCTION("""COMPUTED_VALUE"""),"Stake JustServe Coordinator")</f>
        <v>Stake JustServe Coordinator</v>
      </c>
      <c r="D112" s="17" t="str">
        <f ca="1">IFERROR(__xludf.DUMMYFUNCTION("""COMPUTED_VALUE"""),"Williamston")</f>
        <v>Williamston</v>
      </c>
      <c r="E112" s="19" t="str">
        <f ca="1">IFERROR(__xludf.DUMMYFUNCTION("""COMPUTED_VALUE"""),"Complete")</f>
        <v>Complete</v>
      </c>
      <c r="F112" s="20">
        <f ca="1">IFERROR(__xludf.DUMMYFUNCTION("""COMPUTED_VALUE"""),45793.4284787037)</f>
        <v>45793.428478703703</v>
      </c>
      <c r="G112" s="21" t="str">
        <f ca="1">IFERROR(__xludf.DUMMYFUNCTION("""COMPUTED_VALUE"""),"Pierce")</f>
        <v>Pierce</v>
      </c>
      <c r="H112" s="20" t="str">
        <f ca="1">IFERROR(__xludf.DUMMYFUNCTION("""COMPUTED_VALUE"""),"Stephanie Farero")</f>
        <v>Stephanie Farero</v>
      </c>
      <c r="I112" s="22" t="str">
        <f ca="1">IFERROR(__xludf.DUMMYFUNCTION("""COMPUTED_VALUE"""),"https://docs.google.com/forms/d/e/1FAIpQLSd37AKX0Ca1Yeje6eC6NuliFZj5Spn7I7mXRsa9kBsXMqB-Ag/viewform?edit2=2_ABaOnufU7zcEy1svoPRIsre-wqkORHjiO3utFOjpKOKt7U0ohXLZpYLjHzv5UNS84SmGULc")</f>
        <v>https://docs.google.com/forms/d/e/1FAIpQLSd37AKX0Ca1Yeje6eC6NuliFZj5Spn7I7mXRsa9kBsXMqB-Ag/viewform?edit2=2_ABaOnufU7zcEy1svoPRIsre-wqkORHjiO3utFOjpKOKt7U0ohXLZpYLjHzv5UNS84SmGULc</v>
      </c>
    </row>
    <row r="113" spans="1:9" ht="13.2" x14ac:dyDescent="0.25">
      <c r="A113" s="17" t="str">
        <f ca="1">IFERROR(__xludf.DUMMYFUNCTION("""COMPUTED_VALUE"""),"Releasings")</f>
        <v>Releasings</v>
      </c>
      <c r="B113" s="18" t="str">
        <f ca="1">IFERROR(__xludf.DUMMYFUNCTION("""COMPUTED_VALUE"""),"Lynda Redding")</f>
        <v>Lynda Redding</v>
      </c>
      <c r="C113" s="17" t="str">
        <f ca="1">IFERROR(__xludf.DUMMYFUNCTION("""COMPUTED_VALUE"""),"Stake Food Assignment Specialist")</f>
        <v>Stake Food Assignment Specialist</v>
      </c>
      <c r="D113" s="17" t="str">
        <f ca="1">IFERROR(__xludf.DUMMYFUNCTION("""COMPUTED_VALUE"""),"Lansing")</f>
        <v>Lansing</v>
      </c>
      <c r="E113" s="19" t="str">
        <f ca="1">IFERROR(__xludf.DUMMYFUNCTION("""COMPUTED_VALUE"""),"Complete")</f>
        <v>Complete</v>
      </c>
      <c r="F113" s="20">
        <f ca="1">IFERROR(__xludf.DUMMYFUNCTION("""COMPUTED_VALUE"""),45783.2814286921)</f>
        <v>45783.281428692098</v>
      </c>
      <c r="G113" s="21" t="str">
        <f ca="1">IFERROR(__xludf.DUMMYFUNCTION("""COMPUTED_VALUE"""),"McCrary")</f>
        <v>McCrary</v>
      </c>
      <c r="H113" s="20" t="str">
        <f ca="1">IFERROR(__xludf.DUMMYFUNCTION("""COMPUTED_VALUE""")," ")</f>
        <v xml:space="preserve"> </v>
      </c>
      <c r="I113" s="22" t="str">
        <f ca="1">IFERROR(__xludf.DUMMYFUNCTION("""COMPUTED_VALUE"""),"https://docs.google.com/forms/d/e/1FAIpQLSeAkkqnSqisXk0g5wDtTZwQpSKdxgBvUG9NhZjoIJxKcGoYyw/viewform?edit2=2_ABaOnufNWMXmwmsvaklQPKKywxKvSY2IKqCzH4IMwnbQWMspXLQJvoEmEYYJCa8PPi0aqVE")</f>
        <v>https://docs.google.com/forms/d/e/1FAIpQLSeAkkqnSqisXk0g5wDtTZwQpSKdxgBvUG9NhZjoIJxKcGoYyw/viewform?edit2=2_ABaOnufNWMXmwmsvaklQPKKywxKvSY2IKqCzH4IMwnbQWMspXLQJvoEmEYYJCa8PPi0aqVE</v>
      </c>
    </row>
    <row r="114" spans="1:9" ht="13.2" x14ac:dyDescent="0.25">
      <c r="A114" s="17" t="str">
        <f ca="1">IFERROR(__xludf.DUMMYFUNCTION("""COMPUTED_VALUE"""),"Callings")</f>
        <v>Callings</v>
      </c>
      <c r="B114" s="18" t="str">
        <f ca="1">IFERROR(__xludf.DUMMYFUNCTION("""COMPUTED_VALUE"""),"Kirk Leifson")</f>
        <v>Kirk Leifson</v>
      </c>
      <c r="C114" s="17" t="str">
        <f ca="1">IFERROR(__xludf.DUMMYFUNCTION("""COMPUTED_VALUE"""),"Stake Clerk")</f>
        <v>Stake Clerk</v>
      </c>
      <c r="D114" s="17" t="str">
        <f ca="1">IFERROR(__xludf.DUMMYFUNCTION("""COMPUTED_VALUE"""),"Williamston")</f>
        <v>Williamston</v>
      </c>
      <c r="E114" s="19" t="str">
        <f ca="1">IFERROR(__xludf.DUMMYFUNCTION("""COMPUTED_VALUE"""),"Complete")</f>
        <v>Complete</v>
      </c>
      <c r="F114" s="20">
        <f ca="1">IFERROR(__xludf.DUMMYFUNCTION("""COMPUTED_VALUE"""),45781.522499155)</f>
        <v>45781.522499154999</v>
      </c>
      <c r="G114" s="21" t="str">
        <f ca="1">IFERROR(__xludf.DUMMYFUNCTION("""COMPUTED_VALUE"""),"Rawson")</f>
        <v>Rawson</v>
      </c>
      <c r="H114" s="20" t="str">
        <f ca="1">IFERROR(__xludf.DUMMYFUNCTION("""COMPUTED_VALUE"""),"George Owen")</f>
        <v>George Owen</v>
      </c>
      <c r="I114" s="22" t="str">
        <f ca="1">IFERROR(__xludf.DUMMYFUNCTION("""COMPUTED_VALUE"""),"https://docs.google.com/forms/d/e/1FAIpQLSd37AKX0Ca1Yeje6eC6NuliFZj5Spn7I7mXRsa9kBsXMqB-Ag/viewform?edit2=2_ABaOnud4EW4LFxUd09IvrAVJvMmxyr4QpglJt4SslXHdPbfb3rzw4wp069gzgRTYavKNjhg")</f>
        <v>https://docs.google.com/forms/d/e/1FAIpQLSd37AKX0Ca1Yeje6eC6NuliFZj5Spn7I7mXRsa9kBsXMqB-Ag/viewform?edit2=2_ABaOnud4EW4LFxUd09IvrAVJvMmxyr4QpglJt4SslXHdPbfb3rzw4wp069gzgRTYavKNjhg</v>
      </c>
    </row>
    <row r="115" spans="1:9" ht="13.2" x14ac:dyDescent="0.25">
      <c r="A115" s="17" t="str">
        <f ca="1">IFERROR(__xludf.DUMMYFUNCTION("""COMPUTED_VALUE"""),"Callings")</f>
        <v>Callings</v>
      </c>
      <c r="B115" s="18" t="str">
        <f ca="1">IFERROR(__xludf.DUMMYFUNCTION("""COMPUTED_VALUE"""),"Scot Moncur")</f>
        <v>Scot Moncur</v>
      </c>
      <c r="C115" s="17" t="str">
        <f ca="1">IFERROR(__xludf.DUMMYFUNCTION("""COMPUTED_VALUE"""),"Bishopric 2nd Counselor")</f>
        <v>Bishopric 2nd Counselor</v>
      </c>
      <c r="D115" s="17" t="str">
        <f ca="1">IFERROR(__xludf.DUMMYFUNCTION("""COMPUTED_VALUE"""),"Owosso")</f>
        <v>Owosso</v>
      </c>
      <c r="E115" s="19" t="str">
        <f ca="1">IFERROR(__xludf.DUMMYFUNCTION("""COMPUTED_VALUE"""),"Complete")</f>
        <v>Complete</v>
      </c>
      <c r="F115" s="20">
        <f ca="1">IFERROR(__xludf.DUMMYFUNCTION("""COMPUTED_VALUE"""),45774.6947369097)</f>
        <v>45774.694736909703</v>
      </c>
      <c r="G115" s="21" t="str">
        <f ca="1">IFERROR(__xludf.DUMMYFUNCTION("""COMPUTED_VALUE"""),"Earl")</f>
        <v>Earl</v>
      </c>
      <c r="H115" s="20" t="str">
        <f ca="1">IFERROR(__xludf.DUMMYFUNCTION("""COMPUTED_VALUE"""),"President Earl")</f>
        <v>President Earl</v>
      </c>
      <c r="I115" s="22" t="str">
        <f ca="1">IFERROR(__xludf.DUMMYFUNCTION("""COMPUTED_VALUE"""),"https://docs.google.com/forms/d/e/1FAIpQLSd37AKX0Ca1Yeje6eC6NuliFZj5Spn7I7mXRsa9kBsXMqB-Ag/viewform?edit2=2_ABaOnue8yF5k2g-A4YmMjFEroZTXPs21RlviJCb9l-8HQlydMe29OUNnwxbF1iHXhgVdNtk")</f>
        <v>https://docs.google.com/forms/d/e/1FAIpQLSd37AKX0Ca1Yeje6eC6NuliFZj5Spn7I7mXRsa9kBsXMqB-Ag/viewform?edit2=2_ABaOnue8yF5k2g-A4YmMjFEroZTXPs21RlviJCb9l-8HQlydMe29OUNnwxbF1iHXhgVdNtk</v>
      </c>
    </row>
    <row r="116" spans="1:9" ht="13.2" x14ac:dyDescent="0.25">
      <c r="A116" s="17" t="str">
        <f ca="1">IFERROR(__xludf.DUMMYFUNCTION("""COMPUTED_VALUE"""),"Callings")</f>
        <v>Callings</v>
      </c>
      <c r="B116" s="18" t="str">
        <f ca="1">IFERROR(__xludf.DUMMYFUNCTION("""COMPUTED_VALUE"""),"Steven Stradley")</f>
        <v>Steven Stradley</v>
      </c>
      <c r="C116" s="17" t="str">
        <f ca="1">IFERROR(__xludf.DUMMYFUNCTION("""COMPUTED_VALUE"""),"Bishopric 1st Counselor")</f>
        <v>Bishopric 1st Counselor</v>
      </c>
      <c r="D116" s="17" t="str">
        <f ca="1">IFERROR(__xludf.DUMMYFUNCTION("""COMPUTED_VALUE"""),"Owosso")</f>
        <v>Owosso</v>
      </c>
      <c r="E116" s="19" t="str">
        <f ca="1">IFERROR(__xludf.DUMMYFUNCTION("""COMPUTED_VALUE"""),"Complete")</f>
        <v>Complete</v>
      </c>
      <c r="F116" s="20">
        <f ca="1">IFERROR(__xludf.DUMMYFUNCTION("""COMPUTED_VALUE"""),45774.6932468865)</f>
        <v>45774.693246886498</v>
      </c>
      <c r="G116" s="21" t="str">
        <f ca="1">IFERROR(__xludf.DUMMYFUNCTION("""COMPUTED_VALUE"""),"Earl")</f>
        <v>Earl</v>
      </c>
      <c r="H116" s="20" t="str">
        <f ca="1">IFERROR(__xludf.DUMMYFUNCTION("""COMPUTED_VALUE"""),"President Earl")</f>
        <v>President Earl</v>
      </c>
      <c r="I116" s="22" t="str">
        <f ca="1">IFERROR(__xludf.DUMMYFUNCTION("""COMPUTED_VALUE"""),"https://docs.google.com/forms/d/e/1FAIpQLSd37AKX0Ca1Yeje6eC6NuliFZj5Spn7I7mXRsa9kBsXMqB-Ag/viewform?edit2=2_ABaOnuc7PoC32VWoVEXH39DpjDebesaOvr_iNaYtsXDOxvzp87gNXySbFIOrZ6dZmDhAV1o")</f>
        <v>https://docs.google.com/forms/d/e/1FAIpQLSd37AKX0Ca1Yeje6eC6NuliFZj5Spn7I7mXRsa9kBsXMqB-Ag/viewform?edit2=2_ABaOnuc7PoC32VWoVEXH39DpjDebesaOvr_iNaYtsXDOxvzp87gNXySbFIOrZ6dZmDhAV1o</v>
      </c>
    </row>
    <row r="117" spans="1:9" ht="13.2" x14ac:dyDescent="0.25">
      <c r="A117" s="17" t="str">
        <f ca="1">IFERROR(__xludf.DUMMYFUNCTION("""COMPUTED_VALUE"""),"Callings")</f>
        <v>Callings</v>
      </c>
      <c r="B117" s="18" t="str">
        <f ca="1">IFERROR(__xludf.DUMMYFUNCTION("""COMPUTED_VALUE"""),"David Knighton")</f>
        <v>David Knighton</v>
      </c>
      <c r="C117" s="17" t="str">
        <f ca="1">IFERROR(__xludf.DUMMYFUNCTION("""COMPUTED_VALUE"""),"EQ 1st Counselor")</f>
        <v>EQ 1st Counselor</v>
      </c>
      <c r="D117" s="17" t="str">
        <f ca="1">IFERROR(__xludf.DUMMYFUNCTION("""COMPUTED_VALUE"""),"Jackson")</f>
        <v>Jackson</v>
      </c>
      <c r="E117" s="19" t="str">
        <f ca="1">IFERROR(__xludf.DUMMYFUNCTION("""COMPUTED_VALUE"""),"Complete")</f>
        <v>Complete</v>
      </c>
      <c r="F117" s="20">
        <f ca="1">IFERROR(__xludf.DUMMYFUNCTION("""COMPUTED_VALUE"""),45774.6895447337)</f>
        <v>45774.689544733701</v>
      </c>
      <c r="G117" s="21" t="str">
        <f ca="1">IFERROR(__xludf.DUMMYFUNCTION("""COMPUTED_VALUE"""),"Pierce")</f>
        <v>Pierce</v>
      </c>
      <c r="H117" s="20" t="str">
        <f ca="1">IFERROR(__xludf.DUMMYFUNCTION("""COMPUTED_VALUE"""),"President Erekson")</f>
        <v>President Erekson</v>
      </c>
      <c r="I117" s="22" t="str">
        <f ca="1">IFERROR(__xludf.DUMMYFUNCTION("""COMPUTED_VALUE"""),"https://docs.google.com/forms/d/e/1FAIpQLSd37AKX0Ca1Yeje6eC6NuliFZj5Spn7I7mXRsa9kBsXMqB-Ag/viewform?edit2=2_ABaOnuf0gWV5fOQOOVcysZnGnOx8CQlIGmS0bibqswYqIObp5hpU7HDk02089aULsPc5lPk&amp;edit2=2_ABaOnuf0gWV5fOQOOVcysZnGnOx8CQlIGmS0bibqswYqIObp5hpU7HDk02089aULsPc"&amp;"5lPk")</f>
        <v>https://docs.google.com/forms/d/e/1FAIpQLSd37AKX0Ca1Yeje6eC6NuliFZj5Spn7I7mXRsa9kBsXMqB-Ag/viewform?edit2=2_ABaOnuf0gWV5fOQOOVcysZnGnOx8CQlIGmS0bibqswYqIObp5hpU7HDk02089aULsPc5lPk&amp;edit2=2_ABaOnuf0gWV5fOQOOVcysZnGnOx8CQlIGmS0bibqswYqIObp5hpU7HDk02089aULsPc5lPk</v>
      </c>
    </row>
    <row r="118" spans="1:9" ht="13.2" x14ac:dyDescent="0.25">
      <c r="A118" s="17" t="str">
        <f ca="1">IFERROR(__xludf.DUMMYFUNCTION("""COMPUTED_VALUE"""),"Ordinations")</f>
        <v>Ordinations</v>
      </c>
      <c r="B118" s="18" t="str">
        <f ca="1">IFERROR(__xludf.DUMMYFUNCTION("""COMPUTED_VALUE"""),"Steven Stradley")</f>
        <v>Steven Stradley</v>
      </c>
      <c r="C118" s="17" t="str">
        <f ca="1">IFERROR(__xludf.DUMMYFUNCTION("""COMPUTED_VALUE"""),"High Priest")</f>
        <v>High Priest</v>
      </c>
      <c r="D118" s="17" t="str">
        <f ca="1">IFERROR(__xludf.DUMMYFUNCTION("""COMPUTED_VALUE"""),"Owosso")</f>
        <v>Owosso</v>
      </c>
      <c r="E118" s="19" t="str">
        <f ca="1">IFERROR(__xludf.DUMMYFUNCTION("""COMPUTED_VALUE"""),"Complete")</f>
        <v>Complete</v>
      </c>
      <c r="F118" s="20">
        <f ca="1">IFERROR(__xludf.DUMMYFUNCTION("""COMPUTED_VALUE"""),45770.8615028819)</f>
        <v>45770.861502881897</v>
      </c>
      <c r="G118" s="21"/>
      <c r="H118" s="20" t="str">
        <f ca="1">IFERROR(__xludf.DUMMYFUNCTION("""COMPUTED_VALUE""")," ")</f>
        <v xml:space="preserve"> </v>
      </c>
      <c r="I118" s="22" t="str">
        <f ca="1">IFERROR(__xludf.DUMMYFUNCTION("""COMPUTED_VALUE"""),"https://docs.google.com/forms/d/e/1FAIpQLScKfK1Xq_AfFRyZkOlyT2n4Ugr8FdePyUxPct4kYLgKJ3YlMQ/viewform?edit2=2_ABaOnue7CDFJ-DLFszfXQgMJoyTYzlSz5vwYZhgFnuGWxLIc-RFbEe3y7lSVyIgRNwQnRds")</f>
        <v>https://docs.google.com/forms/d/e/1FAIpQLScKfK1Xq_AfFRyZkOlyT2n4Ugr8FdePyUxPct4kYLgKJ3YlMQ/viewform?edit2=2_ABaOnue7CDFJ-DLFszfXQgMJoyTYzlSz5vwYZhgFnuGWxLIc-RFbEe3y7lSVyIgRNwQnRds</v>
      </c>
    </row>
    <row r="119" spans="1:9" ht="13.2" x14ac:dyDescent="0.25">
      <c r="A119" s="17" t="str">
        <f ca="1">IFERROR(__xludf.DUMMYFUNCTION("""COMPUTED_VALUE"""),"Callings")</f>
        <v>Callings</v>
      </c>
      <c r="B119" s="18" t="str">
        <f ca="1">IFERROR(__xludf.DUMMYFUNCTION("""COMPUTED_VALUE"""),"Taylor Smith")</f>
        <v>Taylor Smith</v>
      </c>
      <c r="C119" s="17" t="str">
        <f ca="1">IFERROR(__xludf.DUMMYFUNCTION("""COMPUTED_VALUE"""),"Ward Clerk")</f>
        <v>Ward Clerk</v>
      </c>
      <c r="D119" s="17" t="str">
        <f ca="1">IFERROR(__xludf.DUMMYFUNCTION("""COMPUTED_VALUE"""),"Lansing")</f>
        <v>Lansing</v>
      </c>
      <c r="E119" s="19" t="str">
        <f ca="1">IFERROR(__xludf.DUMMYFUNCTION("""COMPUTED_VALUE"""),"Complete")</f>
        <v>Complete</v>
      </c>
      <c r="F119" s="20">
        <f ca="1">IFERROR(__xludf.DUMMYFUNCTION("""COMPUTED_VALUE"""),45750.9387459027)</f>
        <v>45750.938745902698</v>
      </c>
      <c r="G119" s="21" t="str">
        <f ca="1">IFERROR(__xludf.DUMMYFUNCTION("""COMPUTED_VALUE"""),"McCrary")</f>
        <v>McCrary</v>
      </c>
      <c r="H119" s="20" t="str">
        <f ca="1">IFERROR(__xludf.DUMMYFUNCTION("""COMPUTED_VALUE"""),"George Owen")</f>
        <v>George Owen</v>
      </c>
      <c r="I119" s="22" t="str">
        <f ca="1">IFERROR(__xludf.DUMMYFUNCTION("""COMPUTED_VALUE"""),"https://docs.google.com/forms/d/e/1FAIpQLSd37AKX0Ca1Yeje6eC6NuliFZj5Spn7I7mXRsa9kBsXMqB-Ag/viewform?edit2=2_ABaOnuf4gGW7vsnNociziZsApjFJbJZT_TLYvuMaE1eQPoPBd85HoRkCBziarUwQkMTOZas")</f>
        <v>https://docs.google.com/forms/d/e/1FAIpQLSd37AKX0Ca1Yeje6eC6NuliFZj5Spn7I7mXRsa9kBsXMqB-Ag/viewform?edit2=2_ABaOnuf4gGW7vsnNociziZsApjFJbJZT_TLYvuMaE1eQPoPBd85HoRkCBziarUwQkMTOZas</v>
      </c>
    </row>
    <row r="120" spans="1:9" ht="13.2" x14ac:dyDescent="0.25">
      <c r="A120" s="17" t="str">
        <f ca="1">IFERROR(__xludf.DUMMYFUNCTION("""COMPUTED_VALUE"""),"Releasings")</f>
        <v>Releasings</v>
      </c>
      <c r="B120" s="18" t="str">
        <f ca="1">IFERROR(__xludf.DUMMYFUNCTION("""COMPUTED_VALUE"""),"Elizabeth Shawl")</f>
        <v>Elizabeth Shawl</v>
      </c>
      <c r="C120" s="17" t="str">
        <f ca="1">IFERROR(__xludf.DUMMYFUNCTION("""COMPUTED_VALUE"""),"Stake Disability Specialist")</f>
        <v>Stake Disability Specialist</v>
      </c>
      <c r="D120" s="17" t="str">
        <f ca="1">IFERROR(__xludf.DUMMYFUNCTION("""COMPUTED_VALUE"""),"Williamston")</f>
        <v>Williamston</v>
      </c>
      <c r="E120" s="19" t="str">
        <f ca="1">IFERROR(__xludf.DUMMYFUNCTION("""COMPUTED_VALUE"""),"Complete")</f>
        <v>Complete</v>
      </c>
      <c r="F120" s="20">
        <f ca="1">IFERROR(__xludf.DUMMYFUNCTION("""COMPUTED_VALUE"""),45746.0626820023)</f>
        <v>45746.062682002303</v>
      </c>
      <c r="G120" s="21" t="str">
        <f ca="1">IFERROR(__xludf.DUMMYFUNCTION("""COMPUTED_VALUE"""),"Bills")</f>
        <v>Bills</v>
      </c>
      <c r="H120" s="20" t="str">
        <f ca="1">IFERROR(__xludf.DUMMYFUNCTION("""COMPUTED_VALUE""")," ")</f>
        <v xml:space="preserve"> </v>
      </c>
      <c r="I120" s="22" t="str">
        <f ca="1">IFERROR(__xludf.DUMMYFUNCTION("""COMPUTED_VALUE"""),"https://docs.google.com/forms/d/e/1FAIpQLSeAkkqnSqisXk0g5wDtTZwQpSKdxgBvUG9NhZjoIJxKcGoYyw/viewform?edit2=2_ABaOnuebNk365shfw_GXARw4ModPprWlVT-FfeGSr4N76dgL67fe1uA1Okb6W5sRaF7dM5s")</f>
        <v>https://docs.google.com/forms/d/e/1FAIpQLSeAkkqnSqisXk0g5wDtTZwQpSKdxgBvUG9NhZjoIJxKcGoYyw/viewform?edit2=2_ABaOnuebNk365shfw_GXARw4ModPprWlVT-FfeGSr4N76dgL67fe1uA1Okb6W5sRaF7dM5s</v>
      </c>
    </row>
    <row r="121" spans="1:9" ht="13.2" x14ac:dyDescent="0.25">
      <c r="A121" s="17" t="str">
        <f ca="1">IFERROR(__xludf.DUMMYFUNCTION("""COMPUTED_VALUE"""),"Releasings")</f>
        <v>Releasings</v>
      </c>
      <c r="B121" s="18" t="str">
        <f ca="1">IFERROR(__xludf.DUMMYFUNCTION("""COMPUTED_VALUE"""),"Christopher Jones")</f>
        <v>Christopher Jones</v>
      </c>
      <c r="C121" s="17" t="str">
        <f ca="1">IFERROR(__xludf.DUMMYFUNCTION("""COMPUTED_VALUE"""),"Stake Technology Specialist")</f>
        <v>Stake Technology Specialist</v>
      </c>
      <c r="D121" s="17" t="str">
        <f ca="1">IFERROR(__xludf.DUMMYFUNCTION("""COMPUTED_VALUE"""),"Lansing")</f>
        <v>Lansing</v>
      </c>
      <c r="E121" s="19" t="str">
        <f ca="1">IFERROR(__xludf.DUMMYFUNCTION("""COMPUTED_VALUE"""),"Complete")</f>
        <v>Complete</v>
      </c>
      <c r="F121" s="20">
        <f ca="1">IFERROR(__xludf.DUMMYFUNCTION("""COMPUTED_VALUE"""),45736.9969664467)</f>
        <v>45736.996966446699</v>
      </c>
      <c r="G121" s="21"/>
      <c r="H121" s="20" t="str">
        <f ca="1">IFERROR(__xludf.DUMMYFUNCTION("""COMPUTED_VALUE""")," ")</f>
        <v xml:space="preserve"> </v>
      </c>
      <c r="I121" s="22" t="str">
        <f ca="1">IFERROR(__xludf.DUMMYFUNCTION("""COMPUTED_VALUE"""),"https://docs.google.com/forms/d/e/1FAIpQLSeAkkqnSqisXk0g5wDtTZwQpSKdxgBvUG9NhZjoIJxKcGoYyw/viewform?edit2=2_ABaOnufLTenH_kMb604Ots-N46e3zV-iq1fDjEHod37Ph3QLyI5E1nU6g6lWbYzONAhG-NI")</f>
        <v>https://docs.google.com/forms/d/e/1FAIpQLSeAkkqnSqisXk0g5wDtTZwQpSKdxgBvUG9NhZjoIJxKcGoYyw/viewform?edit2=2_ABaOnufLTenH_kMb604Ots-N46e3zV-iq1fDjEHod37Ph3QLyI5E1nU6g6lWbYzONAhG-NI</v>
      </c>
    </row>
    <row r="122" spans="1:9" ht="13.2" x14ac:dyDescent="0.25">
      <c r="A122" s="17" t="str">
        <f ca="1">IFERROR(__xludf.DUMMYFUNCTION("""COMPUTED_VALUE"""),"Callings")</f>
        <v>Callings</v>
      </c>
      <c r="B122" s="18" t="str">
        <f ca="1">IFERROR(__xludf.DUMMYFUNCTION("""COMPUTED_VALUE"""),"John Ropp")</f>
        <v>John Ropp</v>
      </c>
      <c r="C122" s="17" t="str">
        <f ca="1">IFERROR(__xludf.DUMMYFUNCTION("""COMPUTED_VALUE"""),"EQ President")</f>
        <v>EQ President</v>
      </c>
      <c r="D122" s="17" t="str">
        <f ca="1">IFERROR(__xludf.DUMMYFUNCTION("""COMPUTED_VALUE"""),"Lansing")</f>
        <v>Lansing</v>
      </c>
      <c r="E122" s="19" t="str">
        <f ca="1">IFERROR(__xludf.DUMMYFUNCTION("""COMPUTED_VALUE"""),"Complete")</f>
        <v>Complete</v>
      </c>
      <c r="F122" s="20">
        <f ca="1">IFERROR(__xludf.DUMMYFUNCTION("""COMPUTED_VALUE"""),45736.9882215162)</f>
        <v>45736.9882215162</v>
      </c>
      <c r="G122" s="21" t="str">
        <f ca="1">IFERROR(__xludf.DUMMYFUNCTION("""COMPUTED_VALUE"""),"Rawson")</f>
        <v>Rawson</v>
      </c>
      <c r="H122" s="20" t="str">
        <f ca="1">IFERROR(__xludf.DUMMYFUNCTION("""COMPUTED_VALUE"""),"Bro Mcrary")</f>
        <v>Bro Mcrary</v>
      </c>
      <c r="I122" s="22" t="str">
        <f ca="1">IFERROR(__xludf.DUMMYFUNCTION("""COMPUTED_VALUE"""),"https://docs.google.com/forms/d/e/1FAIpQLSd37AKX0Ca1Yeje6eC6NuliFZj5Spn7I7mXRsa9kBsXMqB-Ag/viewform?edit2=2_ABaOnueaXMb4XYS3RWn2-BXXNnu28TyZ16N3ePYMzYhGrI-8lFAGcswIksYU9WyEuO0nWEk")</f>
        <v>https://docs.google.com/forms/d/e/1FAIpQLSd37AKX0Ca1Yeje6eC6NuliFZj5Spn7I7mXRsa9kBsXMqB-Ag/viewform?edit2=2_ABaOnueaXMb4XYS3RWn2-BXXNnu28TyZ16N3ePYMzYhGrI-8lFAGcswIksYU9WyEuO0nWEk</v>
      </c>
    </row>
    <row r="123" spans="1:9" ht="13.2" x14ac:dyDescent="0.25">
      <c r="A123" s="17" t="str">
        <f ca="1">IFERROR(__xludf.DUMMYFUNCTION("""COMPUTED_VALUE"""),"Callings")</f>
        <v>Callings</v>
      </c>
      <c r="B123" s="18" t="str">
        <f ca="1">IFERROR(__xludf.DUMMYFUNCTION("""COMPUTED_VALUE"""),"Colton Prete")</f>
        <v>Colton Prete</v>
      </c>
      <c r="C123" s="17" t="str">
        <f ca="1">IFERROR(__xludf.DUMMYFUNCTION("""COMPUTED_VALUE"""),"EQP 1st Counselor")</f>
        <v>EQP 1st Counselor</v>
      </c>
      <c r="D123" s="17" t="str">
        <f ca="1">IFERROR(__xludf.DUMMYFUNCTION("""COMPUTED_VALUE"""),"Lansing")</f>
        <v>Lansing</v>
      </c>
      <c r="E123" s="19" t="str">
        <f ca="1">IFERROR(__xludf.DUMMYFUNCTION("""COMPUTED_VALUE"""),"Complete")</f>
        <v>Complete</v>
      </c>
      <c r="F123" s="20">
        <f ca="1">IFERROR(__xludf.DUMMYFUNCTION("""COMPUTED_VALUE"""),45736.8716629166)</f>
        <v>45736.871662916601</v>
      </c>
      <c r="G123" s="21" t="str">
        <f ca="1">IFERROR(__xludf.DUMMYFUNCTION("""COMPUTED_VALUE"""),"Pierce")</f>
        <v>Pierce</v>
      </c>
      <c r="H123" s="20"/>
      <c r="I123" s="22" t="str">
        <f ca="1">IFERROR(__xludf.DUMMYFUNCTION("""COMPUTED_VALUE"""),"https://docs.google.com/forms/d/e/1FAIpQLSd37AKX0Ca1Yeje6eC6NuliFZj5Spn7I7mXRsa9kBsXMqB-Ag/viewform?edit2=2_ABaOnudRr4OfOQc206_1VGQKKNAwL3_5mHcQFyPdxmyU0LpjNnJxpD10PFBEf4ZDqoI0pHY")</f>
        <v>https://docs.google.com/forms/d/e/1FAIpQLSd37AKX0Ca1Yeje6eC6NuliFZj5Spn7I7mXRsa9kBsXMqB-Ag/viewform?edit2=2_ABaOnudRr4OfOQc206_1VGQKKNAwL3_5mHcQFyPdxmyU0LpjNnJxpD10PFBEf4ZDqoI0pHY</v>
      </c>
    </row>
    <row r="124" spans="1:9" ht="13.2" x14ac:dyDescent="0.25">
      <c r="A124" s="17" t="str">
        <f ca="1">IFERROR(__xludf.DUMMYFUNCTION("""COMPUTED_VALUE"""),"Callings")</f>
        <v>Callings</v>
      </c>
      <c r="B124" s="18" t="str">
        <f ca="1">IFERROR(__xludf.DUMMYFUNCTION("""COMPUTED_VALUE"""),"Charles Harper")</f>
        <v>Charles Harper</v>
      </c>
      <c r="C124" s="17" t="str">
        <f ca="1">IFERROR(__xludf.DUMMYFUNCTION("""COMPUTED_VALUE"""),"Asst Ward Clerk - Membership")</f>
        <v>Asst Ward Clerk - Membership</v>
      </c>
      <c r="D124" s="17" t="str">
        <f ca="1">IFERROR(__xludf.DUMMYFUNCTION("""COMPUTED_VALUE"""),"Lansing")</f>
        <v>Lansing</v>
      </c>
      <c r="E124" s="19" t="str">
        <f ca="1">IFERROR(__xludf.DUMMYFUNCTION("""COMPUTED_VALUE"""),"Declined")</f>
        <v>Declined</v>
      </c>
      <c r="F124" s="20">
        <f ca="1">IFERROR(__xludf.DUMMYFUNCTION("""COMPUTED_VALUE"""),45729.8794128356)</f>
        <v>45729.879412835602</v>
      </c>
      <c r="G124" s="21" t="str">
        <f ca="1">IFERROR(__xludf.DUMMYFUNCTION("""COMPUTED_VALUE"""),"McCrary")</f>
        <v>McCrary</v>
      </c>
      <c r="H124" s="20"/>
      <c r="I124" s="22" t="str">
        <f ca="1">IFERROR(__xludf.DUMMYFUNCTION("""COMPUTED_VALUE"""),"https://docs.google.com/forms/d/e/1FAIpQLSd37AKX0Ca1Yeje6eC6NuliFZj5Spn7I7mXRsa9kBsXMqB-Ag/viewform?edit2=2_ABaOnucurna4iUGUId5P1dorQjBWTSofvkBubdqMkaJj_AvgEOkkQQ9TNmWvnWyeYLIyWJQ")</f>
        <v>https://docs.google.com/forms/d/e/1FAIpQLSd37AKX0Ca1Yeje6eC6NuliFZj5Spn7I7mXRsa9kBsXMqB-Ag/viewform?edit2=2_ABaOnucurna4iUGUId5P1dorQjBWTSofvkBubdqMkaJj_AvgEOkkQQ9TNmWvnWyeYLIyWJQ</v>
      </c>
    </row>
    <row r="125" spans="1:9" ht="13.2" x14ac:dyDescent="0.25">
      <c r="A125" s="17" t="str">
        <f ca="1">IFERROR(__xludf.DUMMYFUNCTION("""COMPUTED_VALUE"""),"Callings")</f>
        <v>Callings</v>
      </c>
      <c r="B125" s="18" t="str">
        <f ca="1">IFERROR(__xludf.DUMMYFUNCTION("""COMPUTED_VALUE"""),"Ben McElroy")</f>
        <v>Ben McElroy</v>
      </c>
      <c r="C125" s="17" t="str">
        <f ca="1">IFERROR(__xludf.DUMMYFUNCTION("""COMPUTED_VALUE"""),"Stake High Councilor")</f>
        <v>Stake High Councilor</v>
      </c>
      <c r="D125" s="17" t="str">
        <f ca="1">IFERROR(__xludf.DUMMYFUNCTION("""COMPUTED_VALUE"""),"Williamston")</f>
        <v>Williamston</v>
      </c>
      <c r="E125" s="19" t="str">
        <f ca="1">IFERROR(__xludf.DUMMYFUNCTION("""COMPUTED_VALUE"""),"Declined")</f>
        <v>Declined</v>
      </c>
      <c r="F125" s="20">
        <f ca="1">IFERROR(__xludf.DUMMYFUNCTION("""COMPUTED_VALUE"""),45729.8790627546)</f>
        <v>45729.879062754597</v>
      </c>
      <c r="G125" s="21" t="str">
        <f ca="1">IFERROR(__xludf.DUMMYFUNCTION("""COMPUTED_VALUE"""),"Earl")</f>
        <v>Earl</v>
      </c>
      <c r="H125" s="20"/>
      <c r="I125" s="22" t="str">
        <f ca="1">IFERROR(__xludf.DUMMYFUNCTION("""COMPUTED_VALUE"""),"https://docs.google.com/forms/d/e/1FAIpQLSd37AKX0Ca1Yeje6eC6NuliFZj5Spn7I7mXRsa9kBsXMqB-Ag/viewform?edit2=2_ABaOnuf8i_1ibWFJ6VgMt4FuGmNrPF96K9_CH4hRbQxlUrz6bWdTHG729bKNmX5ajkrlmxY")</f>
        <v>https://docs.google.com/forms/d/e/1FAIpQLSd37AKX0Ca1Yeje6eC6NuliFZj5Spn7I7mXRsa9kBsXMqB-Ag/viewform?edit2=2_ABaOnuf8i_1ibWFJ6VgMt4FuGmNrPF96K9_CH4hRbQxlUrz6bWdTHG729bKNmX5ajkrlmxY</v>
      </c>
    </row>
    <row r="126" spans="1:9" ht="13.2" x14ac:dyDescent="0.25">
      <c r="A126" s="17" t="str">
        <f ca="1">IFERROR(__xludf.DUMMYFUNCTION("""COMPUTED_VALUE"""),"Releasings")</f>
        <v>Releasings</v>
      </c>
      <c r="B126" s="18" t="str">
        <f ca="1">IFERROR(__xludf.DUMMYFUNCTION("""COMPUTED_VALUE"""),"Angie Brantley")</f>
        <v>Angie Brantley</v>
      </c>
      <c r="C126" s="17" t="str">
        <f ca="1">IFERROR(__xludf.DUMMYFUNCTION("""COMPUTED_VALUE"""),"Stake Welfare and Self-Reliance Specialist")</f>
        <v>Stake Welfare and Self-Reliance Specialist</v>
      </c>
      <c r="D126" s="17" t="str">
        <f ca="1">IFERROR(__xludf.DUMMYFUNCTION("""COMPUTED_VALUE"""),"Jackson")</f>
        <v>Jackson</v>
      </c>
      <c r="E126" s="19" t="str">
        <f ca="1">IFERROR(__xludf.DUMMYFUNCTION("""COMPUTED_VALUE"""),"Complete")</f>
        <v>Complete</v>
      </c>
      <c r="F126" s="20">
        <f ca="1">IFERROR(__xludf.DUMMYFUNCTION("""COMPUTED_VALUE"""),45722.8168165277)</f>
        <v>45722.816816527702</v>
      </c>
      <c r="G126" s="21" t="str">
        <f ca="1">IFERROR(__xludf.DUMMYFUNCTION("""COMPUTED_VALUE"""),"Rawson")</f>
        <v>Rawson</v>
      </c>
      <c r="H126" s="20" t="str">
        <f ca="1">IFERROR(__xludf.DUMMYFUNCTION("""COMPUTED_VALUE""")," ")</f>
        <v xml:space="preserve"> </v>
      </c>
      <c r="I126" s="22" t="str">
        <f ca="1">IFERROR(__xludf.DUMMYFUNCTION("""COMPUTED_VALUE"""),"https://docs.google.com/forms/d/e/1FAIpQLSeAkkqnSqisXk0g5wDtTZwQpSKdxgBvUG9NhZjoIJxKcGoYyw/viewform?edit2=2_ABaOnueFqWyyIIvigZhaA-tiqJg1KB4hBuX-NGHRBpLNCYT777UlDtU6BQxQDUSBA9m1w9o")</f>
        <v>https://docs.google.com/forms/d/e/1FAIpQLSeAkkqnSqisXk0g5wDtTZwQpSKdxgBvUG9NhZjoIJxKcGoYyw/viewform?edit2=2_ABaOnueFqWyyIIvigZhaA-tiqJg1KB4hBuX-NGHRBpLNCYT777UlDtU6BQxQDUSBA9m1w9o</v>
      </c>
    </row>
    <row r="127" spans="1:9" ht="13.2" x14ac:dyDescent="0.25">
      <c r="A127" s="17" t="str">
        <f ca="1">IFERROR(__xludf.DUMMYFUNCTION("""COMPUTED_VALUE"""),"Callings")</f>
        <v>Callings</v>
      </c>
      <c r="B127" s="18" t="str">
        <f ca="1">IFERROR(__xludf.DUMMYFUNCTION("""COMPUTED_VALUE"""),"David Hall")</f>
        <v>David Hall</v>
      </c>
      <c r="C127" s="17" t="str">
        <f ca="1">IFERROR(__xludf.DUMMYFUNCTION("""COMPUTED_VALUE"""),"Stake YM Specialist - Camping Coordinator")</f>
        <v>Stake YM Specialist - Camping Coordinator</v>
      </c>
      <c r="D127" s="17" t="str">
        <f ca="1">IFERROR(__xludf.DUMMYFUNCTION("""COMPUTED_VALUE"""),"Williamston")</f>
        <v>Williamston</v>
      </c>
      <c r="E127" s="19" t="str">
        <f ca="1">IFERROR(__xludf.DUMMYFUNCTION("""COMPUTED_VALUE"""),"Complete")</f>
        <v>Complete</v>
      </c>
      <c r="F127" s="20">
        <f ca="1">IFERROR(__xludf.DUMMYFUNCTION("""COMPUTED_VALUE"""),45711.5390577314)</f>
        <v>45711.539057731403</v>
      </c>
      <c r="G127" s="21" t="str">
        <f ca="1">IFERROR(__xludf.DUMMYFUNCTION("""COMPUTED_VALUE"""),"Pierce")</f>
        <v>Pierce</v>
      </c>
      <c r="H127" s="20"/>
      <c r="I127" s="22" t="str">
        <f ca="1">IFERROR(__xludf.DUMMYFUNCTION("""COMPUTED_VALUE"""),"https://docs.google.com/forms/d/e/1FAIpQLSd37AKX0Ca1Yeje6eC6NuliFZj5Spn7I7mXRsa9kBsXMqB-Ag/viewform?edit2=2_ABaOnucrsJTyJA72tIls-EMRr9jmd2DO8yEsvqCQAshuZTl7gBFdTWbwF0EpY7-vg48QL2s")</f>
        <v>https://docs.google.com/forms/d/e/1FAIpQLSd37AKX0Ca1Yeje6eC6NuliFZj5Spn7I7mXRsa9kBsXMqB-Ag/viewform?edit2=2_ABaOnucrsJTyJA72tIls-EMRr9jmd2DO8yEsvqCQAshuZTl7gBFdTWbwF0EpY7-vg48QL2s</v>
      </c>
    </row>
    <row r="128" spans="1:9" ht="13.2" x14ac:dyDescent="0.25">
      <c r="A128" s="17" t="str">
        <f ca="1">IFERROR(__xludf.DUMMYFUNCTION("""COMPUTED_VALUE"""),"Callings")</f>
        <v>Callings</v>
      </c>
      <c r="B128" s="18" t="str">
        <f ca="1">IFERROR(__xludf.DUMMYFUNCTION("""COMPUTED_VALUE"""),"Mark and Susan Joseph")</f>
        <v>Mark and Susan Joseph</v>
      </c>
      <c r="C128" s="17" t="str">
        <f ca="1">IFERROR(__xludf.DUMMYFUNCTION("""COMPUTED_VALUE"""),"Stake Welfare and Self Reliance Specialists")</f>
        <v>Stake Welfare and Self Reliance Specialists</v>
      </c>
      <c r="D128" s="17" t="str">
        <f ca="1">IFERROR(__xludf.DUMMYFUNCTION("""COMPUTED_VALUE"""),"St Johns")</f>
        <v>St Johns</v>
      </c>
      <c r="E128" s="19" t="str">
        <f ca="1">IFERROR(__xludf.DUMMYFUNCTION("""COMPUTED_VALUE"""),"Complete")</f>
        <v>Complete</v>
      </c>
      <c r="F128" s="20">
        <f ca="1">IFERROR(__xludf.DUMMYFUNCTION("""COMPUTED_VALUE"""),45711.4141664236)</f>
        <v>45711.414166423601</v>
      </c>
      <c r="G128" s="21" t="str">
        <f ca="1">IFERROR(__xludf.DUMMYFUNCTION("""COMPUTED_VALUE"""),"Rawson")</f>
        <v>Rawson</v>
      </c>
      <c r="H128" s="20" t="str">
        <f ca="1">IFERROR(__xludf.DUMMYFUNCTION("""COMPUTED_VALUE"""),"?????")</f>
        <v>?????</v>
      </c>
      <c r="I128" s="22" t="str">
        <f ca="1">IFERROR(__xludf.DUMMYFUNCTION("""COMPUTED_VALUE"""),"https://docs.google.com/forms/d/e/1FAIpQLSd37AKX0Ca1Yeje6eC6NuliFZj5Spn7I7mXRsa9kBsXMqB-Ag/viewform?edit2=2_ABaOnuegoAWfQwCerkUBsKWgfPGSP28fjhF3W-rRTgX5F3rIj0vvB843QhnzBMblh_pdvGM")</f>
        <v>https://docs.google.com/forms/d/e/1FAIpQLSd37AKX0Ca1Yeje6eC6NuliFZj5Spn7I7mXRsa9kBsXMqB-Ag/viewform?edit2=2_ABaOnuegoAWfQwCerkUBsKWgfPGSP28fjhF3W-rRTgX5F3rIj0vvB843QhnzBMblh_pdvGM</v>
      </c>
    </row>
    <row r="129" spans="1:9" ht="13.2" x14ac:dyDescent="0.25">
      <c r="A129" s="17" t="str">
        <f ca="1">IFERROR(__xludf.DUMMYFUNCTION("""COMPUTED_VALUE"""),"Callings")</f>
        <v>Callings</v>
      </c>
      <c r="B129" s="18" t="str">
        <f ca="1">IFERROR(__xludf.DUMMYFUNCTION("""COMPUTED_VALUE"""),"Eric Royal")</f>
        <v>Eric Royal</v>
      </c>
      <c r="C129" s="17" t="str">
        <f ca="1">IFERROR(__xludf.DUMMYFUNCTION("""COMPUTED_VALUE"""),"Executive Secretary")</f>
        <v>Executive Secretary</v>
      </c>
      <c r="D129" s="17" t="str">
        <f ca="1">IFERROR(__xludf.DUMMYFUNCTION("""COMPUTED_VALUE"""),"St Johns")</f>
        <v>St Johns</v>
      </c>
      <c r="E129" s="19" t="str">
        <f ca="1">IFERROR(__xludf.DUMMYFUNCTION("""COMPUTED_VALUE"""),"Complete")</f>
        <v>Complete</v>
      </c>
      <c r="F129" s="20">
        <f ca="1">IFERROR(__xludf.DUMMYFUNCTION("""COMPUTED_VALUE"""),45697.8627674421)</f>
        <v>45697.8627674421</v>
      </c>
      <c r="G129" s="21" t="str">
        <f ca="1">IFERROR(__xludf.DUMMYFUNCTION("""COMPUTED_VALUE"""),"Earl")</f>
        <v>Earl</v>
      </c>
      <c r="H129" s="20" t="str">
        <f ca="1">IFERROR(__xludf.DUMMYFUNCTION("""COMPUTED_VALUE"""),"Chris Hilgendorf")</f>
        <v>Chris Hilgendorf</v>
      </c>
      <c r="I129" s="22" t="str">
        <f ca="1">IFERROR(__xludf.DUMMYFUNCTION("""COMPUTED_VALUE"""),"https://docs.google.com/forms/d/e/1FAIpQLSd37AKX0Ca1Yeje6eC6NuliFZj5Spn7I7mXRsa9kBsXMqB-Ag/viewform?edit2=2_ABaOnucMiljbr35PfZwRjVx85LAwudMBx-db5Mu3pfHltwd91T3sp9bh9qeD_lKprqhqhNA")</f>
        <v>https://docs.google.com/forms/d/e/1FAIpQLSd37AKX0Ca1Yeje6eC6NuliFZj5Spn7I7mXRsa9kBsXMqB-Ag/viewform?edit2=2_ABaOnucMiljbr35PfZwRjVx85LAwudMBx-db5Mu3pfHltwd91T3sp9bh9qeD_lKprqhqhNA</v>
      </c>
    </row>
    <row r="130" spans="1:9" ht="13.2" x14ac:dyDescent="0.25">
      <c r="A130" s="17" t="str">
        <f ca="1">IFERROR(__xludf.DUMMYFUNCTION("""COMPUTED_VALUE"""),"Callings")</f>
        <v>Callings</v>
      </c>
      <c r="B130" s="18" t="str">
        <f ca="1">IFERROR(__xludf.DUMMYFUNCTION("""COMPUTED_VALUE"""),"Christopher Nye")</f>
        <v>Christopher Nye</v>
      </c>
      <c r="C130" s="17" t="str">
        <f ca="1">IFERROR(__xludf.DUMMYFUNCTION("""COMPUTED_VALUE"""),"Branch Presidency 1st Counselor")</f>
        <v>Branch Presidency 1st Counselor</v>
      </c>
      <c r="D130" s="17" t="str">
        <f ca="1">IFERROR(__xludf.DUMMYFUNCTION("""COMPUTED_VALUE"""),"St Johns")</f>
        <v>St Johns</v>
      </c>
      <c r="E130" s="19" t="str">
        <f ca="1">IFERROR(__xludf.DUMMYFUNCTION("""COMPUTED_VALUE"""),"Complete")</f>
        <v>Complete</v>
      </c>
      <c r="F130" s="20">
        <f ca="1">IFERROR(__xludf.DUMMYFUNCTION("""COMPUTED_VALUE"""),45696.6701232523)</f>
        <v>45696.670123252297</v>
      </c>
      <c r="G130" s="21" t="str">
        <f ca="1">IFERROR(__xludf.DUMMYFUNCTION("""COMPUTED_VALUE"""),"Earl")</f>
        <v>Earl</v>
      </c>
      <c r="H130" s="20" t="str">
        <f ca="1">IFERROR(__xludf.DUMMYFUNCTION("""COMPUTED_VALUE"""),"stake presidency")</f>
        <v>stake presidency</v>
      </c>
      <c r="I130" s="22" t="str">
        <f ca="1">IFERROR(__xludf.DUMMYFUNCTION("""COMPUTED_VALUE"""),"https://docs.google.com/forms/d/e/1FAIpQLSd37AKX0Ca1Yeje6eC6NuliFZj5Spn7I7mXRsa9kBsXMqB-Ag/viewform?edit2=2_ABaOnufOQsWVxHBYkjQqm6CW3WVKnIJGYeQ3oSwoC0dqQOqZRxEXNc1ABw6_xA9WhrSYFRA")</f>
        <v>https://docs.google.com/forms/d/e/1FAIpQLSd37AKX0Ca1Yeje6eC6NuliFZj5Spn7I7mXRsa9kBsXMqB-Ag/viewform?edit2=2_ABaOnufOQsWVxHBYkjQqm6CW3WVKnIJGYeQ3oSwoC0dqQOqZRxEXNc1ABw6_xA9WhrSYFRA</v>
      </c>
    </row>
    <row r="131" spans="1:9" ht="13.2" x14ac:dyDescent="0.25">
      <c r="A131" s="17" t="str">
        <f ca="1">IFERROR(__xludf.DUMMYFUNCTION("""COMPUTED_VALUE"""),"Callings")</f>
        <v>Callings</v>
      </c>
      <c r="B131" s="18" t="str">
        <f ca="1">IFERROR(__xludf.DUMMYFUNCTION("""COMPUTED_VALUE"""),"Matthew Pace")</f>
        <v>Matthew Pace</v>
      </c>
      <c r="C131" s="17" t="str">
        <f ca="1">IFERROR(__xludf.DUMMYFUNCTION("""COMPUTED_VALUE"""),"Branch Presidency 2nd Counselor")</f>
        <v>Branch Presidency 2nd Counselor</v>
      </c>
      <c r="D131" s="17" t="str">
        <f ca="1">IFERROR(__xludf.DUMMYFUNCTION("""COMPUTED_VALUE"""),"St Johns")</f>
        <v>St Johns</v>
      </c>
      <c r="E131" s="19" t="str">
        <f ca="1">IFERROR(__xludf.DUMMYFUNCTION("""COMPUTED_VALUE"""),"Complete")</f>
        <v>Complete</v>
      </c>
      <c r="F131" s="20">
        <f ca="1">IFERROR(__xludf.DUMMYFUNCTION("""COMPUTED_VALUE"""),45694.7608674305)</f>
        <v>45694.760867430501</v>
      </c>
      <c r="G131" s="21" t="str">
        <f ca="1">IFERROR(__xludf.DUMMYFUNCTION("""COMPUTED_VALUE"""),"Earl")</f>
        <v>Earl</v>
      </c>
      <c r="H131" s="20" t="str">
        <f ca="1">IFERROR(__xludf.DUMMYFUNCTION("""COMPUTED_VALUE"""),"Stake Presidency")</f>
        <v>Stake Presidency</v>
      </c>
      <c r="I131" s="22" t="str">
        <f ca="1">IFERROR(__xludf.DUMMYFUNCTION("""COMPUTED_VALUE"""),"https://docs.google.com/forms/d/e/1FAIpQLSd37AKX0Ca1Yeje6eC6NuliFZj5Spn7I7mXRsa9kBsXMqB-Ag/viewform?edit2=2_ABaOnuc-JT1GZayK7lrMPPARVhylY7p1ujjmxGClJM-yseQdlWPcQe-6ojAPuPP62HQcSOQ")</f>
        <v>https://docs.google.com/forms/d/e/1FAIpQLSd37AKX0Ca1Yeje6eC6NuliFZj5Spn7I7mXRsa9kBsXMqB-Ag/viewform?edit2=2_ABaOnuc-JT1GZayK7lrMPPARVhylY7p1ujjmxGClJM-yseQdlWPcQe-6ojAPuPP62HQcSOQ</v>
      </c>
    </row>
    <row r="132" spans="1:9" ht="13.2" x14ac:dyDescent="0.25">
      <c r="A132" s="17" t="str">
        <f ca="1">IFERROR(__xludf.DUMMYFUNCTION("""COMPUTED_VALUE"""),"Callings")</f>
        <v>Callings</v>
      </c>
      <c r="B132" s="18" t="str">
        <f ca="1">IFERROR(__xludf.DUMMYFUNCTION("""COMPUTED_VALUE"""),"Steven Stradley")</f>
        <v>Steven Stradley</v>
      </c>
      <c r="C132" s="17" t="str">
        <f ca="1">IFERROR(__xludf.DUMMYFUNCTION("""COMPUTED_VALUE"""),"EQ Presidency 2nd Counselor")</f>
        <v>EQ Presidency 2nd Counselor</v>
      </c>
      <c r="D132" s="17" t="str">
        <f ca="1">IFERROR(__xludf.DUMMYFUNCTION("""COMPUTED_VALUE"""),"Owosso")</f>
        <v>Owosso</v>
      </c>
      <c r="E132" s="19" t="str">
        <f ca="1">IFERROR(__xludf.DUMMYFUNCTION("""COMPUTED_VALUE"""),"Complete")</f>
        <v>Complete</v>
      </c>
      <c r="F132" s="20">
        <f ca="1">IFERROR(__xludf.DUMMYFUNCTION("""COMPUTED_VALUE"""),45685.8942012384)</f>
        <v>45685.8942012384</v>
      </c>
      <c r="G132" s="21" t="str">
        <f ca="1">IFERROR(__xludf.DUMMYFUNCTION("""COMPUTED_VALUE"""),"Rivers")</f>
        <v>Rivers</v>
      </c>
      <c r="H132" s="20" t="str">
        <f ca="1">IFERROR(__xludf.DUMMYFUNCTION("""COMPUTED_VALUE"""),"Ernie Rivers")</f>
        <v>Ernie Rivers</v>
      </c>
      <c r="I132" s="22" t="str">
        <f ca="1">IFERROR(__xludf.DUMMYFUNCTION("""COMPUTED_VALUE"""),"https://docs.google.com/forms/d/e/1FAIpQLSd37AKX0Ca1Yeje6eC6NuliFZj5Spn7I7mXRsa9kBsXMqB-Ag/viewform?edit2=2_ABaOnufa7eUFuYcoCFwshX7gtJmW7OsbUSzBdTKp2g7AuWjOIKhYaY-90BnVUP57bpmAsFY")</f>
        <v>https://docs.google.com/forms/d/e/1FAIpQLSd37AKX0Ca1Yeje6eC6NuliFZj5Spn7I7mXRsa9kBsXMqB-Ag/viewform?edit2=2_ABaOnufa7eUFuYcoCFwshX7gtJmW7OsbUSzBdTKp2g7AuWjOIKhYaY-90BnVUP57bpmAsFY</v>
      </c>
    </row>
    <row r="133" spans="1:9" ht="13.2" x14ac:dyDescent="0.25">
      <c r="A133" s="17" t="str">
        <f ca="1">IFERROR(__xludf.DUMMYFUNCTION("""COMPUTED_VALUE"""),"Callings")</f>
        <v>Callings</v>
      </c>
      <c r="B133" s="18" t="str">
        <f ca="1">IFERROR(__xludf.DUMMYFUNCTION("""COMPUTED_VALUE"""),"Colton Prete")</f>
        <v>Colton Prete</v>
      </c>
      <c r="C133" s="17" t="str">
        <f ca="1">IFERROR(__xludf.DUMMYFUNCTION("""COMPUTED_VALUE"""),"EQP 1st Counselor")</f>
        <v>EQP 1st Counselor</v>
      </c>
      <c r="D133" s="17" t="str">
        <f ca="1">IFERROR(__xludf.DUMMYFUNCTION("""COMPUTED_VALUE"""),"Lansing")</f>
        <v>Lansing</v>
      </c>
      <c r="E133" s="19" t="str">
        <f ca="1">IFERROR(__xludf.DUMMYFUNCTION("""COMPUTED_VALUE"""),"Complete")</f>
        <v>Complete</v>
      </c>
      <c r="F133" s="20">
        <f ca="1">IFERROR(__xludf.DUMMYFUNCTION("""COMPUTED_VALUE"""),45685.8885520601)</f>
        <v>45685.888552060103</v>
      </c>
      <c r="G133" s="21" t="str">
        <f ca="1">IFERROR(__xludf.DUMMYFUNCTION("""COMPUTED_VALUE"""),"McCrary")</f>
        <v>McCrary</v>
      </c>
      <c r="H133" s="20" t="str">
        <f ca="1">IFERROR(__xludf.DUMMYFUNCTION("""COMPUTED_VALUE"""),"Ian McCrary")</f>
        <v>Ian McCrary</v>
      </c>
      <c r="I133" s="22" t="str">
        <f ca="1">IFERROR(__xludf.DUMMYFUNCTION("""COMPUTED_VALUE"""),"https://docs.google.com/forms/d/e/1FAIpQLSd37AKX0Ca1Yeje6eC6NuliFZj5Spn7I7mXRsa9kBsXMqB-Ag/viewform?edit2=2_ABaOnuctea7gRHjXs9C-4As1WGujWLSWwKZT7SS_3hLRawjPhjXJ3nyVsarAg2L_XmJJNeE")</f>
        <v>https://docs.google.com/forms/d/e/1FAIpQLSd37AKX0Ca1Yeje6eC6NuliFZj5Spn7I7mXRsa9kBsXMqB-Ag/viewform?edit2=2_ABaOnuctea7gRHjXs9C-4As1WGujWLSWwKZT7SS_3hLRawjPhjXJ3nyVsarAg2L_XmJJNeE</v>
      </c>
    </row>
    <row r="134" spans="1:9" ht="13.2" x14ac:dyDescent="0.25">
      <c r="A134" s="17" t="str">
        <f ca="1">IFERROR(__xludf.DUMMYFUNCTION("""COMPUTED_VALUE"""),"Callings")</f>
        <v>Callings</v>
      </c>
      <c r="B134" s="18" t="str">
        <f ca="1">IFERROR(__xludf.DUMMYFUNCTION("""COMPUTED_VALUE"""),"Dallas Burdick")</f>
        <v>Dallas Burdick</v>
      </c>
      <c r="C134" s="17" t="str">
        <f ca="1">IFERROR(__xludf.DUMMYFUNCTION("""COMPUTED_VALUE"""),"Branch President")</f>
        <v>Branch President</v>
      </c>
      <c r="D134" s="17" t="str">
        <f ca="1">IFERROR(__xludf.DUMMYFUNCTION("""COMPUTED_VALUE"""),"St Johns")</f>
        <v>St Johns</v>
      </c>
      <c r="E134" s="19" t="str">
        <f ca="1">IFERROR(__xludf.DUMMYFUNCTION("""COMPUTED_VALUE"""),"Complete")</f>
        <v>Complete</v>
      </c>
      <c r="F134" s="20">
        <f ca="1">IFERROR(__xludf.DUMMYFUNCTION("""COMPUTED_VALUE"""),45670.8560680902)</f>
        <v>45670.856068090201</v>
      </c>
      <c r="G134" s="21" t="str">
        <f ca="1">IFERROR(__xludf.DUMMYFUNCTION("""COMPUTED_VALUE"""),"Rawson")</f>
        <v>Rawson</v>
      </c>
      <c r="H134" s="20"/>
      <c r="I134" s="22" t="str">
        <f ca="1">IFERROR(__xludf.DUMMYFUNCTION("""COMPUTED_VALUE"""),"https://docs.google.com/forms/d/e/1FAIpQLSd37AKX0Ca1Yeje6eC6NuliFZj5Spn7I7mXRsa9kBsXMqB-Ag/viewform?edit2=2_ABaOnud5e4yCAN3vBJyUelXOmDUxVQehqVzTFbfoIpiYOPSY1h0k7YFm9pxhY7AwR4m58RY")</f>
        <v>https://docs.google.com/forms/d/e/1FAIpQLSd37AKX0Ca1Yeje6eC6NuliFZj5Spn7I7mXRsa9kBsXMqB-Ag/viewform?edit2=2_ABaOnud5e4yCAN3vBJyUelXOmDUxVQehqVzTFbfoIpiYOPSY1h0k7YFm9pxhY7AwR4m58RY</v>
      </c>
    </row>
    <row r="135" spans="1:9" ht="13.2" x14ac:dyDescent="0.25">
      <c r="A135" s="17" t="str">
        <f ca="1">IFERROR(__xludf.DUMMYFUNCTION("""COMPUTED_VALUE"""),"Callings")</f>
        <v>Callings</v>
      </c>
      <c r="B135" s="18" t="str">
        <f ca="1">IFERROR(__xludf.DUMMYFUNCTION("""COMPUTED_VALUE"""),"Gavin Johnson")</f>
        <v>Gavin Johnson</v>
      </c>
      <c r="C135" s="17" t="str">
        <f ca="1">IFERROR(__xludf.DUMMYFUNCTION("""COMPUTED_VALUE"""),"Ward Executive Secretary")</f>
        <v>Ward Executive Secretary</v>
      </c>
      <c r="D135" s="17" t="str">
        <f ca="1">IFERROR(__xludf.DUMMYFUNCTION("""COMPUTED_VALUE"""),"Lansing")</f>
        <v>Lansing</v>
      </c>
      <c r="E135" s="19" t="str">
        <f ca="1">IFERROR(__xludf.DUMMYFUNCTION("""COMPUTED_VALUE"""),"Complete")</f>
        <v>Complete</v>
      </c>
      <c r="F135" s="20">
        <f ca="1">IFERROR(__xludf.DUMMYFUNCTION("""COMPUTED_VALUE"""),45669.8541093518)</f>
        <v>45669.8541093518</v>
      </c>
      <c r="G135" s="21" t="str">
        <f ca="1">IFERROR(__xludf.DUMMYFUNCTION("""COMPUTED_VALUE"""),"McCrary")</f>
        <v>McCrary</v>
      </c>
      <c r="H135" s="20" t="str">
        <f ca="1">IFERROR(__xludf.DUMMYFUNCTION("""COMPUTED_VALUE"""),"Chris Hilgendorf")</f>
        <v>Chris Hilgendorf</v>
      </c>
      <c r="I135" s="22" t="str">
        <f ca="1">IFERROR(__xludf.DUMMYFUNCTION("""COMPUTED_VALUE"""),"https://docs.google.com/forms/d/e/1FAIpQLSd37AKX0Ca1Yeje6eC6NuliFZj5Spn7I7mXRsa9kBsXMqB-Ag/viewform?edit2=2_ABaOnucG-2sLWAop-_0dy4fC1KbTeQHy3N3jDDMU9_sndxZ95wNYLx3kzLO0JMQsOp_XPxw")</f>
        <v>https://docs.google.com/forms/d/e/1FAIpQLSd37AKX0Ca1Yeje6eC6NuliFZj5Spn7I7mXRsa9kBsXMqB-Ag/viewform?edit2=2_ABaOnucG-2sLWAop-_0dy4fC1KbTeQHy3N3jDDMU9_sndxZ95wNYLx3kzLO0JMQsOp_XPxw</v>
      </c>
    </row>
    <row r="136" spans="1:9" ht="13.2" x14ac:dyDescent="0.25">
      <c r="A136" s="17" t="str">
        <f ca="1">IFERROR(__xludf.DUMMYFUNCTION("""COMPUTED_VALUE"""),"Callings")</f>
        <v>Callings</v>
      </c>
      <c r="B136" s="18" t="str">
        <f ca="1">IFERROR(__xludf.DUMMYFUNCTION("""COMPUTED_VALUE"""),"Barry Fagan")</f>
        <v>Barry Fagan</v>
      </c>
      <c r="C136" s="17" t="str">
        <f ca="1">IFERROR(__xludf.DUMMYFUNCTION("""COMPUTED_VALUE"""),"Elders Quorum President")</f>
        <v>Elders Quorum President</v>
      </c>
      <c r="D136" s="17" t="str">
        <f ca="1">IFERROR(__xludf.DUMMYFUNCTION("""COMPUTED_VALUE"""),"Owosso")</f>
        <v>Owosso</v>
      </c>
      <c r="E136" s="19" t="str">
        <f ca="1">IFERROR(__xludf.DUMMYFUNCTION("""COMPUTED_VALUE"""),"Complete")</f>
        <v>Complete</v>
      </c>
      <c r="F136" s="20">
        <f ca="1">IFERROR(__xludf.DUMMYFUNCTION("""COMPUTED_VALUE"""),45666.8986510532)</f>
        <v>45666.898651053198</v>
      </c>
      <c r="G136" s="21" t="str">
        <f ca="1">IFERROR(__xludf.DUMMYFUNCTION("""COMPUTED_VALUE"""),"Rawson")</f>
        <v>Rawson</v>
      </c>
      <c r="H136" s="20" t="str">
        <f ca="1">IFERROR(__xludf.DUMMYFUNCTION("""COMPUTED_VALUE"""),"Ernie Rivers")</f>
        <v>Ernie Rivers</v>
      </c>
      <c r="I136" s="22" t="str">
        <f ca="1">IFERROR(__xludf.DUMMYFUNCTION("""COMPUTED_VALUE"""),"https://docs.google.com/forms/d/e/1FAIpQLSd37AKX0Ca1Yeje6eC6NuliFZj5Spn7I7mXRsa9kBsXMqB-Ag/viewform?edit2=2_ABaOnucbWnEnY3db-EanKrrQCykZllDVPJkRXkAuE5nXj5oFvDuGB21CBl3v9zZCpKpqIVA")</f>
        <v>https://docs.google.com/forms/d/e/1FAIpQLSd37AKX0Ca1Yeje6eC6NuliFZj5Spn7I7mXRsa9kBsXMqB-Ag/viewform?edit2=2_ABaOnucbWnEnY3db-EanKrrQCykZllDVPJkRXkAuE5nXj5oFvDuGB21CBl3v9zZCpKpqIVA</v>
      </c>
    </row>
    <row r="137" spans="1:9" ht="13.2" x14ac:dyDescent="0.25">
      <c r="A137" s="17" t="str">
        <f ca="1">IFERROR(__xludf.DUMMYFUNCTION("""COMPUTED_VALUE"""),"Callings")</f>
        <v>Callings</v>
      </c>
      <c r="B137" s="18" t="str">
        <f ca="1">IFERROR(__xludf.DUMMYFUNCTION("""COMPUTED_VALUE"""),"Skyler Roper")</f>
        <v>Skyler Roper</v>
      </c>
      <c r="C137" s="17" t="str">
        <f ca="1">IFERROR(__xludf.DUMMYFUNCTION("""COMPUTED_VALUE"""),"Branch Presidency 2nd Counselor")</f>
        <v>Branch Presidency 2nd Counselor</v>
      </c>
      <c r="D137" s="17" t="str">
        <f ca="1">IFERROR(__xludf.DUMMYFUNCTION("""COMPUTED_VALUE"""),"Portland")</f>
        <v>Portland</v>
      </c>
      <c r="E137" s="19" t="str">
        <f ca="1">IFERROR(__xludf.DUMMYFUNCTION("""COMPUTED_VALUE"""),"Complete")</f>
        <v>Complete</v>
      </c>
      <c r="F137" s="20">
        <f ca="1">IFERROR(__xludf.DUMMYFUNCTION("""COMPUTED_VALUE"""),45666.8981137384)</f>
        <v>45666.898113738403</v>
      </c>
      <c r="G137" s="21" t="str">
        <f ca="1">IFERROR(__xludf.DUMMYFUNCTION("""COMPUTED_VALUE"""),"Earl")</f>
        <v>Earl</v>
      </c>
      <c r="H137" s="20" t="str">
        <f ca="1">IFERROR(__xludf.DUMMYFUNCTION("""COMPUTED_VALUE"""),"Steve Doty/Mike Beam")</f>
        <v>Steve Doty/Mike Beam</v>
      </c>
      <c r="I137" s="22" t="str">
        <f ca="1">IFERROR(__xludf.DUMMYFUNCTION("""COMPUTED_VALUE"""),"https://docs.google.com/forms/d/e/1FAIpQLSd37AKX0Ca1Yeje6eC6NuliFZj5Spn7I7mXRsa9kBsXMqB-Ag/viewform?edit2=2_ABaOnucZRxbyszk6_Rqw4hqgSN_6qYa7mt4K9VnT_0YUP4cwuNl75Jenc2vysavqGAWrm4U")</f>
        <v>https://docs.google.com/forms/d/e/1FAIpQLSd37AKX0Ca1Yeje6eC6NuliFZj5Spn7I7mXRsa9kBsXMqB-Ag/viewform?edit2=2_ABaOnucZRxbyszk6_Rqw4hqgSN_6qYa7mt4K9VnT_0YUP4cwuNl75Jenc2vysavqGAWrm4U</v>
      </c>
    </row>
    <row r="138" spans="1:9" ht="13.2" x14ac:dyDescent="0.25">
      <c r="A138" s="17" t="str">
        <f ca="1">IFERROR(__xludf.DUMMYFUNCTION("""COMPUTED_VALUE"""),"Ordinations")</f>
        <v>Ordinations</v>
      </c>
      <c r="B138" s="18" t="str">
        <f ca="1">IFERROR(__xludf.DUMMYFUNCTION("""COMPUTED_VALUE"""),"Rusty Joseph King")</f>
        <v>Rusty Joseph King</v>
      </c>
      <c r="C138" s="17" t="str">
        <f ca="1">IFERROR(__xludf.DUMMYFUNCTION("""COMPUTED_VALUE"""),"Elder")</f>
        <v>Elder</v>
      </c>
      <c r="D138" s="17" t="str">
        <f ca="1">IFERROR(__xludf.DUMMYFUNCTION("""COMPUTED_VALUE"""),"Jackson")</f>
        <v>Jackson</v>
      </c>
      <c r="E138" s="19" t="str">
        <f ca="1">IFERROR(__xludf.DUMMYFUNCTION("""COMPUTED_VALUE"""),"Complete")</f>
        <v>Complete</v>
      </c>
      <c r="F138" s="20">
        <f ca="1">IFERROR(__xludf.DUMMYFUNCTION("""COMPUTED_VALUE"""),45666.769007118)</f>
        <v>45666.769007117997</v>
      </c>
      <c r="G138" s="21"/>
      <c r="H138" s="20" t="str">
        <f ca="1">IFERROR(__xludf.DUMMYFUNCTION("""COMPUTED_VALUE""")," ")</f>
        <v xml:space="preserve"> </v>
      </c>
      <c r="I138" s="22" t="str">
        <f ca="1">IFERROR(__xludf.DUMMYFUNCTION("""COMPUTED_VALUE"""),"https://docs.google.com/forms/d/e/1FAIpQLScKfK1Xq_AfFRyZkOlyT2n4Ugr8FdePyUxPct4kYLgKJ3YlMQ/viewform?edit2=2_ABaOnueEMnGSy-Ib83p88mIKnHigqyDDiDvfeqbgSSOoqZ2BLD1kh6gy_S8HH07a8Zqem5Q")</f>
        <v>https://docs.google.com/forms/d/e/1FAIpQLScKfK1Xq_AfFRyZkOlyT2n4Ugr8FdePyUxPct4kYLgKJ3YlMQ/viewform?edit2=2_ABaOnueEMnGSy-Ib83p88mIKnHigqyDDiDvfeqbgSSOoqZ2BLD1kh6gy_S8HH07a8Zqem5Q</v>
      </c>
    </row>
    <row r="139" spans="1:9" ht="13.2" x14ac:dyDescent="0.25">
      <c r="A139" s="17" t="str">
        <f ca="1">IFERROR(__xludf.DUMMYFUNCTION("""COMPUTED_VALUE"""),"Callings")</f>
        <v>Callings</v>
      </c>
      <c r="B139" s="18" t="str">
        <f ca="1">IFERROR(__xludf.DUMMYFUNCTION("""COMPUTED_VALUE"""),"Whitney Kirkham")</f>
        <v>Whitney Kirkham</v>
      </c>
      <c r="C139" s="17" t="str">
        <f ca="1">IFERROR(__xludf.DUMMYFUNCTION("""COMPUTED_VALUE"""),"Stake Young Women Assistant Camp Director")</f>
        <v>Stake Young Women Assistant Camp Director</v>
      </c>
      <c r="D139" s="17" t="str">
        <f ca="1">IFERROR(__xludf.DUMMYFUNCTION("""COMPUTED_VALUE"""),"St Johns")</f>
        <v>St Johns</v>
      </c>
      <c r="E139" s="19" t="str">
        <f ca="1">IFERROR(__xludf.DUMMYFUNCTION("""COMPUTED_VALUE"""),"Complete")</f>
        <v>Complete</v>
      </c>
      <c r="F139" s="20">
        <f ca="1">IFERROR(__xludf.DUMMYFUNCTION("""COMPUTED_VALUE"""),45666.7632688194)</f>
        <v>45666.763268819399</v>
      </c>
      <c r="G139" s="21" t="str">
        <f ca="1">IFERROR(__xludf.DUMMYFUNCTION("""COMPUTED_VALUE"""),"Solomon")</f>
        <v>Solomon</v>
      </c>
      <c r="H139" s="20" t="str">
        <f ca="1">IFERROR(__xludf.DUMMYFUNCTION("""COMPUTED_VALUE"""),"Sister Gentile")</f>
        <v>Sister Gentile</v>
      </c>
      <c r="I139" s="22" t="str">
        <f ca="1">IFERROR(__xludf.DUMMYFUNCTION("""COMPUTED_VALUE"""),"https://docs.google.com/forms/d/e/1FAIpQLSd37AKX0Ca1Yeje6eC6NuliFZj5Spn7I7mXRsa9kBsXMqB-Ag/viewform?edit2=2_ABaOnue3hK20gMAQU3kqmQIEdcTGrnNth9OadKx1kt5SNe1tmGC3XQsjkqYuzJr-5f33WiA")</f>
        <v>https://docs.google.com/forms/d/e/1FAIpQLSd37AKX0Ca1Yeje6eC6NuliFZj5Spn7I7mXRsa9kBsXMqB-Ag/viewform?edit2=2_ABaOnue3hK20gMAQU3kqmQIEdcTGrnNth9OadKx1kt5SNe1tmGC3XQsjkqYuzJr-5f33WiA</v>
      </c>
    </row>
    <row r="140" spans="1:9" ht="13.2" x14ac:dyDescent="0.25">
      <c r="A140" s="17" t="str">
        <f ca="1">IFERROR(__xludf.DUMMYFUNCTION("""COMPUTED_VALUE"""),"Callings")</f>
        <v>Callings</v>
      </c>
      <c r="B140" s="18" t="str">
        <f ca="1">IFERROR(__xludf.DUMMYFUNCTION("""COMPUTED_VALUE"""),"Michael Pokorny")</f>
        <v>Michael Pokorny</v>
      </c>
      <c r="C140" s="17" t="str">
        <f ca="1">IFERROR(__xludf.DUMMYFUNCTION("""COMPUTED_VALUE"""),"Assistant Ward Clerk")</f>
        <v>Assistant Ward Clerk</v>
      </c>
      <c r="D140" s="17" t="str">
        <f ca="1">IFERROR(__xludf.DUMMYFUNCTION("""COMPUTED_VALUE"""),"YSA")</f>
        <v>YSA</v>
      </c>
      <c r="E140" s="19" t="str">
        <f ca="1">IFERROR(__xludf.DUMMYFUNCTION("""COMPUTED_VALUE"""),"Complete")</f>
        <v>Complete</v>
      </c>
      <c r="F140" s="20">
        <f ca="1">IFERROR(__xludf.DUMMYFUNCTION("""COMPUTED_VALUE"""),45665.8796347222)</f>
        <v>45665.879634722201</v>
      </c>
      <c r="G140" s="21" t="str">
        <f ca="1">IFERROR(__xludf.DUMMYFUNCTION("""COMPUTED_VALUE"""),"Rinner")</f>
        <v>Rinner</v>
      </c>
      <c r="H140" s="20" t="str">
        <f ca="1">IFERROR(__xludf.DUMMYFUNCTION("""COMPUTED_VALUE"""),"George Owen")</f>
        <v>George Owen</v>
      </c>
      <c r="I140" s="22" t="str">
        <f ca="1">IFERROR(__xludf.DUMMYFUNCTION("""COMPUTED_VALUE"""),"https://docs.google.com/forms/d/e/1FAIpQLSd37AKX0Ca1Yeje6eC6NuliFZj5Spn7I7mXRsa9kBsXMqB-Ag/viewform?edit2=2_ABaOnuf5tuiudEnhEJew-XPr3xqbGuAhGyxpyUhVb10MnHPVVbG2MNMJ5Zydy4xzMNijPsI")</f>
        <v>https://docs.google.com/forms/d/e/1FAIpQLSd37AKX0Ca1Yeje6eC6NuliFZj5Spn7I7mXRsa9kBsXMqB-Ag/viewform?edit2=2_ABaOnuf5tuiudEnhEJew-XPr3xqbGuAhGyxpyUhVb10MnHPVVbG2MNMJ5Zydy4xzMNijPsI</v>
      </c>
    </row>
    <row r="141" spans="1:9" ht="13.2" x14ac:dyDescent="0.25">
      <c r="A141" s="17" t="str">
        <f ca="1">IFERROR(__xludf.DUMMYFUNCTION("""COMPUTED_VALUE"""),"Callings")</f>
        <v>Callings</v>
      </c>
      <c r="B141" s="18" t="str">
        <f ca="1">IFERROR(__xludf.DUMMYFUNCTION("""COMPUTED_VALUE"""),"Joseph Monsen")</f>
        <v>Joseph Monsen</v>
      </c>
      <c r="C141" s="17" t="str">
        <f ca="1">IFERROR(__xludf.DUMMYFUNCTION("""COMPUTED_VALUE"""),"Ward Clerk")</f>
        <v>Ward Clerk</v>
      </c>
      <c r="D141" s="17" t="str">
        <f ca="1">IFERROR(__xludf.DUMMYFUNCTION("""COMPUTED_VALUE"""),"YSA")</f>
        <v>YSA</v>
      </c>
      <c r="E141" s="19" t="str">
        <f ca="1">IFERROR(__xludf.DUMMYFUNCTION("""COMPUTED_VALUE"""),"Complete")</f>
        <v>Complete</v>
      </c>
      <c r="F141" s="20">
        <f ca="1">IFERROR(__xludf.DUMMYFUNCTION("""COMPUTED_VALUE"""),45665.8792976388)</f>
        <v>45665.879297638799</v>
      </c>
      <c r="G141" s="21" t="str">
        <f ca="1">IFERROR(__xludf.DUMMYFUNCTION("""COMPUTED_VALUE"""),"Rinner")</f>
        <v>Rinner</v>
      </c>
      <c r="H141" s="20" t="str">
        <f ca="1">IFERROR(__xludf.DUMMYFUNCTION("""COMPUTED_VALUE"""),"George Owen")</f>
        <v>George Owen</v>
      </c>
      <c r="I141" s="22" t="str">
        <f ca="1">IFERROR(__xludf.DUMMYFUNCTION("""COMPUTED_VALUE"""),"https://docs.google.com/forms/d/e/1FAIpQLSd37AKX0Ca1Yeje6eC6NuliFZj5Spn7I7mXRsa9kBsXMqB-Ag/viewform?edit2=2_ABaOnufYhz03tp6HspcR05pRdZxYBQuIwwxJC-pFZXJTqdDo_1OqxEgpB3ZPuo9kUR0bGDc")</f>
        <v>https://docs.google.com/forms/d/e/1FAIpQLSd37AKX0Ca1Yeje6eC6NuliFZj5Spn7I7mXRsa9kBsXMqB-Ag/viewform?edit2=2_ABaOnufYhz03tp6HspcR05pRdZxYBQuIwwxJC-pFZXJTqdDo_1OqxEgpB3ZPuo9kUR0bGDc</v>
      </c>
    </row>
    <row r="142" spans="1:9" ht="13.2" x14ac:dyDescent="0.25">
      <c r="A142" s="17" t="str">
        <f ca="1">IFERROR(__xludf.DUMMYFUNCTION("""COMPUTED_VALUE"""),"Callings")</f>
        <v>Callings</v>
      </c>
      <c r="B142" s="18" t="str">
        <f ca="1">IFERROR(__xludf.DUMMYFUNCTION("""COMPUTED_VALUE"""),"Israel Sheber")</f>
        <v>Israel Sheber</v>
      </c>
      <c r="C142" s="17" t="str">
        <f ca="1">IFERROR(__xludf.DUMMYFUNCTION("""COMPUTED_VALUE"""),"Branch Executive Secretary")</f>
        <v>Branch Executive Secretary</v>
      </c>
      <c r="D142" s="17" t="str">
        <f ca="1">IFERROR(__xludf.DUMMYFUNCTION("""COMPUTED_VALUE"""),"Portland")</f>
        <v>Portland</v>
      </c>
      <c r="E142" s="19" t="str">
        <f ca="1">IFERROR(__xludf.DUMMYFUNCTION("""COMPUTED_VALUE"""),"Complete")</f>
        <v>Complete</v>
      </c>
      <c r="F142" s="20">
        <f ca="1">IFERROR(__xludf.DUMMYFUNCTION("""COMPUTED_VALUE"""),45649.7514032407)</f>
        <v>45649.751403240698</v>
      </c>
      <c r="G142" s="21" t="str">
        <f ca="1">IFERROR(__xludf.DUMMYFUNCTION("""COMPUTED_VALUE"""),"Doty")</f>
        <v>Doty</v>
      </c>
      <c r="H142" s="20" t="str">
        <f ca="1">IFERROR(__xludf.DUMMYFUNCTION("""COMPUTED_VALUE"""),"Chris Hilgendorf")</f>
        <v>Chris Hilgendorf</v>
      </c>
      <c r="I142" s="22" t="str">
        <f ca="1">IFERROR(__xludf.DUMMYFUNCTION("""COMPUTED_VALUE"""),"https://docs.google.com/forms/d/e/1FAIpQLSd37AKX0Ca1Yeje6eC6NuliFZj5Spn7I7mXRsa9kBsXMqB-Ag/viewform?edit2=2_ABaOnucv7zjXsbMgf6n3RnmDCGbVOdqYS30WXIWXWaMP6UUNpED_-DVJqOBDYylKLiQABC0")</f>
        <v>https://docs.google.com/forms/d/e/1FAIpQLSd37AKX0Ca1Yeje6eC6NuliFZj5Spn7I7mXRsa9kBsXMqB-Ag/viewform?edit2=2_ABaOnucv7zjXsbMgf6n3RnmDCGbVOdqYS30WXIWXWaMP6UUNpED_-DVJqOBDYylKLiQABC0</v>
      </c>
    </row>
    <row r="143" spans="1:9" ht="13.2" x14ac:dyDescent="0.25">
      <c r="A143" s="17" t="str">
        <f ca="1">IFERROR(__xludf.DUMMYFUNCTION("""COMPUTED_VALUE"""),"Releasings")</f>
        <v>Releasings</v>
      </c>
      <c r="B143" s="18" t="str">
        <f ca="1">IFERROR(__xludf.DUMMYFUNCTION("""COMPUTED_VALUE"""),"David Knighton")</f>
        <v>David Knighton</v>
      </c>
      <c r="C143" s="17" t="str">
        <f ca="1">IFERROR(__xludf.DUMMYFUNCTION("""COMPUTED_VALUE"""),"Assistant Stake Clerk")</f>
        <v>Assistant Stake Clerk</v>
      </c>
      <c r="D143" s="17" t="str">
        <f ca="1">IFERROR(__xludf.DUMMYFUNCTION("""COMPUTED_VALUE"""),"Holt")</f>
        <v>Holt</v>
      </c>
      <c r="E143" s="19" t="str">
        <f ca="1">IFERROR(__xludf.DUMMYFUNCTION("""COMPUTED_VALUE"""),"Complete")</f>
        <v>Complete</v>
      </c>
      <c r="F143" s="20">
        <f ca="1">IFERROR(__xludf.DUMMYFUNCTION("""COMPUTED_VALUE"""),45634.5766354398)</f>
        <v>45634.5766354398</v>
      </c>
      <c r="G143" s="21"/>
      <c r="H143" s="20" t="str">
        <f ca="1">IFERROR(__xludf.DUMMYFUNCTION("""COMPUTED_VALUE""")," ")</f>
        <v xml:space="preserve"> </v>
      </c>
      <c r="I143" s="22" t="str">
        <f ca="1">IFERROR(__xludf.DUMMYFUNCTION("""COMPUTED_VALUE"""),"https://docs.google.com/forms/d/e/1FAIpQLSeAkkqnSqisXk0g5wDtTZwQpSKdxgBvUG9NhZjoIJxKcGoYyw/viewform?edit2=2_ABaOnufoQWvV1LRdZfAvgN00YY1KHnvwXPjPG7S95jJMMKwhicVKRatphX_GEd6ePdQBDC0")</f>
        <v>https://docs.google.com/forms/d/e/1FAIpQLSeAkkqnSqisXk0g5wDtTZwQpSKdxgBvUG9NhZjoIJxKcGoYyw/viewform?edit2=2_ABaOnufoQWvV1LRdZfAvgN00YY1KHnvwXPjPG7S95jJMMKwhicVKRatphX_GEd6ePdQBDC0</v>
      </c>
    </row>
    <row r="144" spans="1:9" ht="13.2" x14ac:dyDescent="0.25">
      <c r="A144" s="17" t="str">
        <f ca="1">IFERROR(__xludf.DUMMYFUNCTION("""COMPUTED_VALUE"""),"Releasings")</f>
        <v>Releasings</v>
      </c>
      <c r="B144" s="18" t="str">
        <f ca="1">IFERROR(__xludf.DUMMYFUNCTION("""COMPUTED_VALUE"""),"Barry Godwin")</f>
        <v>Barry Godwin</v>
      </c>
      <c r="C144" s="17" t="str">
        <f ca="1">IFERROR(__xludf.DUMMYFUNCTION("""COMPUTED_VALUE"""),"Stake Single Adult Representative")</f>
        <v>Stake Single Adult Representative</v>
      </c>
      <c r="D144" s="17" t="str">
        <f ca="1">IFERROR(__xludf.DUMMYFUNCTION("""COMPUTED_VALUE"""),"Williamston")</f>
        <v>Williamston</v>
      </c>
      <c r="E144" s="19" t="str">
        <f ca="1">IFERROR(__xludf.DUMMYFUNCTION("""COMPUTED_VALUE"""),"Complete")</f>
        <v>Complete</v>
      </c>
      <c r="F144" s="20">
        <f ca="1">IFERROR(__xludf.DUMMYFUNCTION("""COMPUTED_VALUE"""),45634.5754529745)</f>
        <v>45634.575452974503</v>
      </c>
      <c r="G144" s="21" t="str">
        <f ca="1">IFERROR(__xludf.DUMMYFUNCTION("""COMPUTED_VALUE"""),"Bills")</f>
        <v>Bills</v>
      </c>
      <c r="H144" s="20" t="str">
        <f ca="1">IFERROR(__xludf.DUMMYFUNCTION("""COMPUTED_VALUE""")," ")</f>
        <v xml:space="preserve"> </v>
      </c>
      <c r="I144" s="22" t="str">
        <f ca="1">IFERROR(__xludf.DUMMYFUNCTION("""COMPUTED_VALUE"""),"https://docs.google.com/forms/d/e/1FAIpQLSeAkkqnSqisXk0g5wDtTZwQpSKdxgBvUG9NhZjoIJxKcGoYyw/viewform?edit2=2_ABaOnufOs750n5SprfkNw40XljrSVyTuRQzqgJ-tg7D0FGpACtd7tQVNPLhwY8xSP8PkZqI")</f>
        <v>https://docs.google.com/forms/d/e/1FAIpQLSeAkkqnSqisXk0g5wDtTZwQpSKdxgBvUG9NhZjoIJxKcGoYyw/viewform?edit2=2_ABaOnufOs750n5SprfkNw40XljrSVyTuRQzqgJ-tg7D0FGpACtd7tQVNPLhwY8xSP8PkZqI</v>
      </c>
    </row>
    <row r="145" spans="1:9" ht="13.2" x14ac:dyDescent="0.25">
      <c r="A145" s="17" t="str">
        <f ca="1">IFERROR(__xludf.DUMMYFUNCTION("""COMPUTED_VALUE"""),"Releasings")</f>
        <v>Releasings</v>
      </c>
      <c r="B145" s="18" t="str">
        <f ca="1">IFERROR(__xludf.DUMMYFUNCTION("""COMPUTED_VALUE"""),"Stephanie Prosser")</f>
        <v>Stephanie Prosser</v>
      </c>
      <c r="C145" s="17" t="str">
        <f ca="1">IFERROR(__xludf.DUMMYFUNCTION("""COMPUTED_VALUE"""),"Stake YW Assistant Camp Director")</f>
        <v>Stake YW Assistant Camp Director</v>
      </c>
      <c r="D145" s="17" t="str">
        <f ca="1">IFERROR(__xludf.DUMMYFUNCTION("""COMPUTED_VALUE"""),"Holt")</f>
        <v>Holt</v>
      </c>
      <c r="E145" s="19" t="str">
        <f ca="1">IFERROR(__xludf.DUMMYFUNCTION("""COMPUTED_VALUE"""),"Complete")</f>
        <v>Complete</v>
      </c>
      <c r="F145" s="20">
        <f ca="1">IFERROR(__xludf.DUMMYFUNCTION("""COMPUTED_VALUE"""),45634.5470745601)</f>
        <v>45634.547074560098</v>
      </c>
      <c r="G145" s="21" t="str">
        <f ca="1">IFERROR(__xludf.DUMMYFUNCTION("""COMPUTED_VALUE"""),"Pierce")</f>
        <v>Pierce</v>
      </c>
      <c r="H145" s="20" t="str">
        <f ca="1">IFERROR(__xludf.DUMMYFUNCTION("""COMPUTED_VALUE""")," ")</f>
        <v xml:space="preserve"> </v>
      </c>
      <c r="I145" s="22" t="str">
        <f ca="1">IFERROR(__xludf.DUMMYFUNCTION("""COMPUTED_VALUE"""),"https://docs.google.com/forms/d/e/1FAIpQLSeAkkqnSqisXk0g5wDtTZwQpSKdxgBvUG9NhZjoIJxKcGoYyw/viewform?edit2=2_ABaOnufIbfFNPPGqEB7AhV5z2luR8T1Eq9R-6NzYQeV4WAMtS09cxiJOyeAHQ-TeoLbnXLk")</f>
        <v>https://docs.google.com/forms/d/e/1FAIpQLSeAkkqnSqisXk0g5wDtTZwQpSKdxgBvUG9NhZjoIJxKcGoYyw/viewform?edit2=2_ABaOnufIbfFNPPGqEB7AhV5z2luR8T1Eq9R-6NzYQeV4WAMtS09cxiJOyeAHQ-TeoLbnXLk</v>
      </c>
    </row>
    <row r="146" spans="1:9" ht="13.2" x14ac:dyDescent="0.25">
      <c r="A146" s="17" t="str">
        <f ca="1">IFERROR(__xludf.DUMMYFUNCTION("""COMPUTED_VALUE"""),"Callings")</f>
        <v>Callings</v>
      </c>
      <c r="B146" s="18" t="str">
        <f ca="1">IFERROR(__xludf.DUMMYFUNCTION("""COMPUTED_VALUE"""),"Steven Wright")</f>
        <v>Steven Wright</v>
      </c>
      <c r="C146" s="17" t="str">
        <f ca="1">IFERROR(__xludf.DUMMYFUNCTION("""COMPUTED_VALUE"""),"EQP 2nd Counselor")</f>
        <v>EQP 2nd Counselor</v>
      </c>
      <c r="D146" s="17" t="str">
        <f ca="1">IFERROR(__xludf.DUMMYFUNCTION("""COMPUTED_VALUE"""),"YSA")</f>
        <v>YSA</v>
      </c>
      <c r="E146" s="19" t="str">
        <f ca="1">IFERROR(__xludf.DUMMYFUNCTION("""COMPUTED_VALUE"""),"Complete")</f>
        <v>Complete</v>
      </c>
      <c r="F146" s="20">
        <f ca="1">IFERROR(__xludf.DUMMYFUNCTION("""COMPUTED_VALUE"""),45627.9206486805)</f>
        <v>45627.920648680498</v>
      </c>
      <c r="G146" s="21" t="str">
        <f ca="1">IFERROR(__xludf.DUMMYFUNCTION("""COMPUTED_VALUE"""),"Rinner")</f>
        <v>Rinner</v>
      </c>
      <c r="H146" s="20" t="str">
        <f ca="1">IFERROR(__xludf.DUMMYFUNCTION("""COMPUTED_VALUE"""),"Bro Rinner")</f>
        <v>Bro Rinner</v>
      </c>
      <c r="I146" s="22" t="str">
        <f ca="1">IFERROR(__xludf.DUMMYFUNCTION("""COMPUTED_VALUE"""),"https://docs.google.com/forms/d/e/1FAIpQLSd37AKX0Ca1Yeje6eC6NuliFZj5Spn7I7mXRsa9kBsXMqB-Ag/viewform?edit2=2_ABaOnuf0_Ys5OT03j8AL6ZsdKJ1VMu7pQpTWnCj2WDxhhm3HiAFt1Rb9VsicfNNSISCwTJE")</f>
        <v>https://docs.google.com/forms/d/e/1FAIpQLSd37AKX0Ca1Yeje6eC6NuliFZj5Spn7I7mXRsa9kBsXMqB-Ag/viewform?edit2=2_ABaOnuf0_Ys5OT03j8AL6ZsdKJ1VMu7pQpTWnCj2WDxhhm3HiAFt1Rb9VsicfNNSISCwTJE</v>
      </c>
    </row>
    <row r="147" spans="1:9" ht="13.2" x14ac:dyDescent="0.25">
      <c r="A147" s="17" t="str">
        <f ca="1">IFERROR(__xludf.DUMMYFUNCTION("""COMPUTED_VALUE"""),"Callings")</f>
        <v>Callings</v>
      </c>
      <c r="B147" s="18" t="str">
        <f ca="1">IFERROR(__xludf.DUMMYFUNCTION("""COMPUTED_VALUE"""),"Val Nelson")</f>
        <v>Val Nelson</v>
      </c>
      <c r="C147" s="17" t="str">
        <f ca="1">IFERROR(__xludf.DUMMYFUNCTION("""COMPUTED_VALUE"""),"Assistant Branch Clerk")</f>
        <v>Assistant Branch Clerk</v>
      </c>
      <c r="D147" s="17" t="str">
        <f ca="1">IFERROR(__xludf.DUMMYFUNCTION("""COMPUTED_VALUE"""),"Charlotte")</f>
        <v>Charlotte</v>
      </c>
      <c r="E147" s="19" t="str">
        <f ca="1">IFERROR(__xludf.DUMMYFUNCTION("""COMPUTED_VALUE"""),"Complete")</f>
        <v>Complete</v>
      </c>
      <c r="F147" s="20">
        <f ca="1">IFERROR(__xludf.DUMMYFUNCTION("""COMPUTED_VALUE"""),45626.8052187963)</f>
        <v>45626.805218796297</v>
      </c>
      <c r="G147" s="21" t="str">
        <f ca="1">IFERROR(__xludf.DUMMYFUNCTION("""COMPUTED_VALUE"""),"Swejkoski")</f>
        <v>Swejkoski</v>
      </c>
      <c r="H147" s="20" t="str">
        <f ca="1">IFERROR(__xludf.DUMMYFUNCTION("""COMPUTED_VALUE"""),"George Owen")</f>
        <v>George Owen</v>
      </c>
      <c r="I147" s="22" t="str">
        <f ca="1">IFERROR(__xludf.DUMMYFUNCTION("""COMPUTED_VALUE"""),"https://docs.google.com/forms/d/e/1FAIpQLSd37AKX0Ca1Yeje6eC6NuliFZj5Spn7I7mXRsa9kBsXMqB-Ag/viewform?edit2=2_ABaOnucAkaE5pGTSsOX36rlNw-NlGoLm0uWcJugpFOa7N3OuwuD7b_0Rdfp4z_3MZMALh0s")</f>
        <v>https://docs.google.com/forms/d/e/1FAIpQLSd37AKX0Ca1Yeje6eC6NuliFZj5Spn7I7mXRsa9kBsXMqB-Ag/viewform?edit2=2_ABaOnucAkaE5pGTSsOX36rlNw-NlGoLm0uWcJugpFOa7N3OuwuD7b_0Rdfp4z_3MZMALh0s</v>
      </c>
    </row>
    <row r="148" spans="1:9" ht="13.2" x14ac:dyDescent="0.25">
      <c r="A148" s="17" t="str">
        <f ca="1">IFERROR(__xludf.DUMMYFUNCTION("""COMPUTED_VALUE"""),"Callings")</f>
        <v>Callings</v>
      </c>
      <c r="B148" s="18" t="str">
        <f ca="1">IFERROR(__xludf.DUMMYFUNCTION("""COMPUTED_VALUE"""),"Bob Saterelli")</f>
        <v>Bob Saterelli</v>
      </c>
      <c r="C148" s="17" t="str">
        <f ca="1">IFERROR(__xludf.DUMMYFUNCTION("""COMPUTED_VALUE"""),"Elders Quorum Presidency 2nd Counselor")</f>
        <v>Elders Quorum Presidency 2nd Counselor</v>
      </c>
      <c r="D148" s="17" t="str">
        <f ca="1">IFERROR(__xludf.DUMMYFUNCTION("""COMPUTED_VALUE"""),"Jackson")</f>
        <v>Jackson</v>
      </c>
      <c r="E148" s="19" t="str">
        <f ca="1">IFERROR(__xludf.DUMMYFUNCTION("""COMPUTED_VALUE"""),"Complete")</f>
        <v>Complete</v>
      </c>
      <c r="F148" s="20">
        <f ca="1">IFERROR(__xludf.DUMMYFUNCTION("""COMPUTED_VALUE"""),45626.7257552662)</f>
        <v>45626.725755266198</v>
      </c>
      <c r="G148" s="21" t="str">
        <f ca="1">IFERROR(__xludf.DUMMYFUNCTION("""COMPUTED_VALUE"""),"Coutu")</f>
        <v>Coutu</v>
      </c>
      <c r="H148" s="20" t="str">
        <f ca="1">IFERROR(__xludf.DUMMYFUNCTION("""COMPUTED_VALUE"""),"Brendan Coutu")</f>
        <v>Brendan Coutu</v>
      </c>
      <c r="I148" s="22" t="str">
        <f ca="1">IFERROR(__xludf.DUMMYFUNCTION("""COMPUTED_VALUE"""),"https://docs.google.com/forms/d/e/1FAIpQLSd37AKX0Ca1Yeje6eC6NuliFZj5Spn7I7mXRsa9kBsXMqB-Ag/viewform?edit2=2_ABaOnueiJiidXdSDiyxCaSAKE7T1thpD_kpopXkUJbwzU_wYhEtxoBBGeLp8_3E0Pi7aqjU")</f>
        <v>https://docs.google.com/forms/d/e/1FAIpQLSd37AKX0Ca1Yeje6eC6NuliFZj5Spn7I7mXRsa9kBsXMqB-Ag/viewform?edit2=2_ABaOnueiJiidXdSDiyxCaSAKE7T1thpD_kpopXkUJbwzU_wYhEtxoBBGeLp8_3E0Pi7aqjU</v>
      </c>
    </row>
    <row r="149" spans="1:9" ht="13.2" x14ac:dyDescent="0.25">
      <c r="A149" s="17" t="str">
        <f ca="1">IFERROR(__xludf.DUMMYFUNCTION("""COMPUTED_VALUE"""),"Callings")</f>
        <v>Callings</v>
      </c>
      <c r="B149" s="18" t="str">
        <f ca="1">IFERROR(__xludf.DUMMYFUNCTION("""COMPUTED_VALUE"""),"Noah Wood")</f>
        <v>Noah Wood</v>
      </c>
      <c r="C149" s="17" t="str">
        <f ca="1">IFERROR(__xludf.DUMMYFUNCTION("""COMPUTED_VALUE"""),"Elders Quorum Presidency 1st Counselor")</f>
        <v>Elders Quorum Presidency 1st Counselor</v>
      </c>
      <c r="D149" s="17" t="str">
        <f ca="1">IFERROR(__xludf.DUMMYFUNCTION("""COMPUTED_VALUE"""),"Jackson")</f>
        <v>Jackson</v>
      </c>
      <c r="E149" s="19" t="str">
        <f ca="1">IFERROR(__xludf.DUMMYFUNCTION("""COMPUTED_VALUE"""),"Complete")</f>
        <v>Complete</v>
      </c>
      <c r="F149" s="20">
        <f ca="1">IFERROR(__xludf.DUMMYFUNCTION("""COMPUTED_VALUE"""),45626.7254138773)</f>
        <v>45626.725413877299</v>
      </c>
      <c r="G149" s="21" t="str">
        <f ca="1">IFERROR(__xludf.DUMMYFUNCTION("""COMPUTED_VALUE"""),"Coutu")</f>
        <v>Coutu</v>
      </c>
      <c r="H149" s="20" t="str">
        <f ca="1">IFERROR(__xludf.DUMMYFUNCTION("""COMPUTED_VALUE"""),"Brendan Coutu")</f>
        <v>Brendan Coutu</v>
      </c>
      <c r="I149" s="22" t="str">
        <f ca="1">IFERROR(__xludf.DUMMYFUNCTION("""COMPUTED_VALUE"""),"https://docs.google.com/forms/d/e/1FAIpQLSd37AKX0Ca1Yeje6eC6NuliFZj5Spn7I7mXRsa9kBsXMqB-Ag/viewform?edit2=2_ABaOnucwwT4Lk5AUltv8Gz0bpiWMfjIXotgxLEOvqucLRoJsxhTJUdL7bNxYY_oCOobTkBI")</f>
        <v>https://docs.google.com/forms/d/e/1FAIpQLSd37AKX0Ca1Yeje6eC6NuliFZj5Spn7I7mXRsa9kBsXMqB-Ag/viewform?edit2=2_ABaOnucwwT4Lk5AUltv8Gz0bpiWMfjIXotgxLEOvqucLRoJsxhTJUdL7bNxYY_oCOobTkBI</v>
      </c>
    </row>
    <row r="150" spans="1:9" ht="13.2" x14ac:dyDescent="0.25">
      <c r="A150" s="17" t="str">
        <f ca="1">IFERROR(__xludf.DUMMYFUNCTION("""COMPUTED_VALUE"""),"Callings")</f>
        <v>Callings</v>
      </c>
      <c r="B150" s="18" t="str">
        <f ca="1">IFERROR(__xludf.DUMMYFUNCTION("""COMPUTED_VALUE"""),"Will Tombs")</f>
        <v>Will Tombs</v>
      </c>
      <c r="C150" s="17" t="str">
        <f ca="1">IFERROR(__xludf.DUMMYFUNCTION("""COMPUTED_VALUE"""),"Ward Clerk")</f>
        <v>Ward Clerk</v>
      </c>
      <c r="D150" s="17" t="str">
        <f ca="1">IFERROR(__xludf.DUMMYFUNCTION("""COMPUTED_VALUE"""),"Lansing")</f>
        <v>Lansing</v>
      </c>
      <c r="E150" s="19" t="str">
        <f ca="1">IFERROR(__xludf.DUMMYFUNCTION("""COMPUTED_VALUE"""),"Complete")</f>
        <v>Complete</v>
      </c>
      <c r="F150" s="20">
        <f ca="1">IFERROR(__xludf.DUMMYFUNCTION("""COMPUTED_VALUE"""),45626.6944936805)</f>
        <v>45626.694493680501</v>
      </c>
      <c r="G150" s="21" t="str">
        <f ca="1">IFERROR(__xludf.DUMMYFUNCTION("""COMPUTED_VALUE"""),"McCrary")</f>
        <v>McCrary</v>
      </c>
      <c r="H150" s="20" t="str">
        <f ca="1">IFERROR(__xludf.DUMMYFUNCTION("""COMPUTED_VALUE"""),"Owen")</f>
        <v>Owen</v>
      </c>
      <c r="I150" s="22" t="str">
        <f ca="1">IFERROR(__xludf.DUMMYFUNCTION("""COMPUTED_VALUE"""),"https://docs.google.com/forms/d/e/1FAIpQLSd37AKX0Ca1Yeje6eC6NuliFZj5Spn7I7mXRsa9kBsXMqB-Ag/viewform?edit2=2_ABaOnud1u5q384R3Dv43HaKIkm82f0Q0qFCx8ZB8u4UWLdMVI1g-rUuDhznwzq2I8pvf9I8")</f>
        <v>https://docs.google.com/forms/d/e/1FAIpQLSd37AKX0Ca1Yeje6eC6NuliFZj5Spn7I7mXRsa9kBsXMqB-Ag/viewform?edit2=2_ABaOnud1u5q384R3Dv43HaKIkm82f0Q0qFCx8ZB8u4UWLdMVI1g-rUuDhznwzq2I8pvf9I8</v>
      </c>
    </row>
    <row r="151" spans="1:9" ht="13.2" x14ac:dyDescent="0.25">
      <c r="A151" s="17" t="str">
        <f ca="1">IFERROR(__xludf.DUMMYFUNCTION("""COMPUTED_VALUE"""),"Callings")</f>
        <v>Callings</v>
      </c>
      <c r="B151" s="18" t="str">
        <f ca="1">IFERROR(__xludf.DUMMYFUNCTION("""COMPUTED_VALUE"""),"Taylor Smith")</f>
        <v>Taylor Smith</v>
      </c>
      <c r="C151" s="17" t="str">
        <f ca="1">IFERROR(__xludf.DUMMYFUNCTION("""COMPUTED_VALUE"""),"Asst. Ward Clerk - Finance")</f>
        <v>Asst. Ward Clerk - Finance</v>
      </c>
      <c r="D151" s="17" t="str">
        <f ca="1">IFERROR(__xludf.DUMMYFUNCTION("""COMPUTED_VALUE"""),"Lansing")</f>
        <v>Lansing</v>
      </c>
      <c r="E151" s="19" t="str">
        <f ca="1">IFERROR(__xludf.DUMMYFUNCTION("""COMPUTED_VALUE"""),"Complete")</f>
        <v>Complete</v>
      </c>
      <c r="F151" s="20">
        <f ca="1">IFERROR(__xludf.DUMMYFUNCTION("""COMPUTED_VALUE"""),45626.6771317476)</f>
        <v>45626.677131747601</v>
      </c>
      <c r="G151" s="21" t="str">
        <f ca="1">IFERROR(__xludf.DUMMYFUNCTION("""COMPUTED_VALUE"""),"McCrary")</f>
        <v>McCrary</v>
      </c>
      <c r="H151" s="20" t="str">
        <f ca="1">IFERROR(__xludf.DUMMYFUNCTION("""COMPUTED_VALUE"""),"George Owen / Don Ward")</f>
        <v>George Owen / Don Ward</v>
      </c>
      <c r="I151" s="22" t="str">
        <f ca="1">IFERROR(__xludf.DUMMYFUNCTION("""COMPUTED_VALUE"""),"https://docs.google.com/forms/d/e/1FAIpQLSd37AKX0Ca1Yeje6eC6NuliFZj5Spn7I7mXRsa9kBsXMqB-Ag/viewform?edit2=2_ABaOnudm2vjmfShT_4DpiJ0iAsJn-R0mKsWsOiscUMMqRfHNRLqz-1ZMY2TjDd8K8hJT7Es")</f>
        <v>https://docs.google.com/forms/d/e/1FAIpQLSd37AKX0Ca1Yeje6eC6NuliFZj5Spn7I7mXRsa9kBsXMqB-Ag/viewform?edit2=2_ABaOnudm2vjmfShT_4DpiJ0iAsJn-R0mKsWsOiscUMMqRfHNRLqz-1ZMY2TjDd8K8hJT7Es</v>
      </c>
    </row>
    <row r="152" spans="1:9" ht="13.2" x14ac:dyDescent="0.25">
      <c r="A152" s="17" t="str">
        <f ca="1">IFERROR(__xludf.DUMMYFUNCTION("""COMPUTED_VALUE"""),"Ordinations")</f>
        <v>Ordinations</v>
      </c>
      <c r="B152" s="18" t="str">
        <f ca="1">IFERROR(__xludf.DUMMYFUNCTION("""COMPUTED_VALUE"""),"Jesse Ward")</f>
        <v>Jesse Ward</v>
      </c>
      <c r="C152" s="17" t="str">
        <f ca="1">IFERROR(__xludf.DUMMYFUNCTION("""COMPUTED_VALUE"""),"Elder")</f>
        <v>Elder</v>
      </c>
      <c r="D152" s="17" t="str">
        <f ca="1">IFERROR(__xludf.DUMMYFUNCTION("""COMPUTED_VALUE"""),"Portland")</f>
        <v>Portland</v>
      </c>
      <c r="E152" s="19" t="str">
        <f ca="1">IFERROR(__xludf.DUMMYFUNCTION("""COMPUTED_VALUE"""),"Complete")</f>
        <v>Complete</v>
      </c>
      <c r="F152" s="20">
        <f ca="1">IFERROR(__xludf.DUMMYFUNCTION("""COMPUTED_VALUE"""),45620.7876120486)</f>
        <v>45620.787612048603</v>
      </c>
      <c r="G152" s="21" t="str">
        <f ca="1">IFERROR(__xludf.DUMMYFUNCTION("""COMPUTED_VALUE"""),"Beam")</f>
        <v>Beam</v>
      </c>
      <c r="H152" s="20" t="str">
        <f ca="1">IFERROR(__xludf.DUMMYFUNCTION("""COMPUTED_VALUE""")," ")</f>
        <v xml:space="preserve"> </v>
      </c>
      <c r="I152" s="22" t="str">
        <f ca="1">IFERROR(__xludf.DUMMYFUNCTION("""COMPUTED_VALUE"""),"https://docs.google.com/forms/d/e/1FAIpQLScKfK1Xq_AfFRyZkOlyT2n4Ugr8FdePyUxPct4kYLgKJ3YlMQ/viewform?edit2=2_ABaOnufk8KX-0O4pwL1H97rUop8QABM8GJga19tD3RShvYnABmP5DuMvzjvMYWuhRdnXEEQ")</f>
        <v>https://docs.google.com/forms/d/e/1FAIpQLScKfK1Xq_AfFRyZkOlyT2n4Ugr8FdePyUxPct4kYLgKJ3YlMQ/viewform?edit2=2_ABaOnufk8KX-0O4pwL1H97rUop8QABM8GJga19tD3RShvYnABmP5DuMvzjvMYWuhRdnXEEQ</v>
      </c>
    </row>
    <row r="153" spans="1:9" ht="13.2" x14ac:dyDescent="0.25">
      <c r="A153" s="17" t="str">
        <f ca="1">IFERROR(__xludf.DUMMYFUNCTION("""COMPUTED_VALUE"""),"Callings")</f>
        <v>Callings</v>
      </c>
      <c r="B153" s="18" t="str">
        <f ca="1">IFERROR(__xludf.DUMMYFUNCTION("""COMPUTED_VALUE"""),"Teri Bell")</f>
        <v>Teri Bell</v>
      </c>
      <c r="C153" s="17" t="str">
        <f ca="1">IFERROR(__xludf.DUMMYFUNCTION("""COMPUTED_VALUE"""),"Stake Temple and Family History Consultant")</f>
        <v>Stake Temple and Family History Consultant</v>
      </c>
      <c r="D153" s="17" t="str">
        <f ca="1">IFERROR(__xludf.DUMMYFUNCTION("""COMPUTED_VALUE"""),"Williamston")</f>
        <v>Williamston</v>
      </c>
      <c r="E153" s="19" t="str">
        <f ca="1">IFERROR(__xludf.DUMMYFUNCTION("""COMPUTED_VALUE"""),"Complete")</f>
        <v>Complete</v>
      </c>
      <c r="F153" s="20">
        <f ca="1">IFERROR(__xludf.DUMMYFUNCTION("""COMPUTED_VALUE"""),45620.6197263888)</f>
        <v>45620.619726388803</v>
      </c>
      <c r="G153" s="21" t="str">
        <f ca="1">IFERROR(__xludf.DUMMYFUNCTION("""COMPUTED_VALUE"""),"Bills")</f>
        <v>Bills</v>
      </c>
      <c r="H153" s="20" t="str">
        <f ca="1">IFERROR(__xludf.DUMMYFUNCTION("""COMPUTED_VALUE"""),"Cassie Quarnberg")</f>
        <v>Cassie Quarnberg</v>
      </c>
      <c r="I153" s="22" t="str">
        <f ca="1">IFERROR(__xludf.DUMMYFUNCTION("""COMPUTED_VALUE"""),"https://docs.google.com/forms/d/e/1FAIpQLSd37AKX0Ca1Yeje6eC6NuliFZj5Spn7I7mXRsa9kBsXMqB-Ag/viewform?edit2=2_ABaOnucDw0yE-GsRBV82-aABpbm-UprdtAkaKKP87DYNM0IKcl9jBSBy9CwViCnJZzH_ZKk")</f>
        <v>https://docs.google.com/forms/d/e/1FAIpQLSd37AKX0Ca1Yeje6eC6NuliFZj5Spn7I7mXRsa9kBsXMqB-Ag/viewform?edit2=2_ABaOnucDw0yE-GsRBV82-aABpbm-UprdtAkaKKP87DYNM0IKcl9jBSBy9CwViCnJZzH_ZKk</v>
      </c>
    </row>
    <row r="154" spans="1:9" ht="13.2" x14ac:dyDescent="0.25">
      <c r="A154" s="17" t="str">
        <f ca="1">IFERROR(__xludf.DUMMYFUNCTION("""COMPUTED_VALUE"""),"Callings")</f>
        <v>Callings</v>
      </c>
      <c r="B154" s="18" t="str">
        <f ca="1">IFERROR(__xludf.DUMMYFUNCTION("""COMPUTED_VALUE"""),"Earl Ruhf")</f>
        <v>Earl Ruhf</v>
      </c>
      <c r="C154" s="17" t="str">
        <f ca="1">IFERROR(__xludf.DUMMYFUNCTION("""COMPUTED_VALUE"""),"Assistant Ward Clerk - Membership")</f>
        <v>Assistant Ward Clerk - Membership</v>
      </c>
      <c r="D154" s="17" t="str">
        <f ca="1">IFERROR(__xludf.DUMMYFUNCTION("""COMPUTED_VALUE"""),"Lansing")</f>
        <v>Lansing</v>
      </c>
      <c r="E154" s="19" t="str">
        <f ca="1">IFERROR(__xludf.DUMMYFUNCTION("""COMPUTED_VALUE"""),"Complete")</f>
        <v>Complete</v>
      </c>
      <c r="F154" s="20">
        <f ca="1">IFERROR(__xludf.DUMMYFUNCTION("""COMPUTED_VALUE"""),45594.8371876157)</f>
        <v>45594.837187615703</v>
      </c>
      <c r="G154" s="21" t="str">
        <f ca="1">IFERROR(__xludf.DUMMYFUNCTION("""COMPUTED_VALUE"""),"McCrary")</f>
        <v>McCrary</v>
      </c>
      <c r="H154" s="20" t="str">
        <f ca="1">IFERROR(__xludf.DUMMYFUNCTION("""COMPUTED_VALUE"""),"George Owen")</f>
        <v>George Owen</v>
      </c>
      <c r="I154" s="22" t="str">
        <f ca="1">IFERROR(__xludf.DUMMYFUNCTION("""COMPUTED_VALUE"""),"https://docs.google.com/forms/d/e/1FAIpQLSd37AKX0Ca1Yeje6eC6NuliFZj5Spn7I7mXRsa9kBsXMqB-Ag/viewform?edit2=2_ABaOnucHYcn9XOdTlz_Jq0THdsMAQGFRRBu5BzT06HRJ4lHgl76ySdga0M0RksHnAh22KGQ")</f>
        <v>https://docs.google.com/forms/d/e/1FAIpQLSd37AKX0Ca1Yeje6eC6NuliFZj5Spn7I7mXRsa9kBsXMqB-Ag/viewform?edit2=2_ABaOnucHYcn9XOdTlz_Jq0THdsMAQGFRRBu5BzT06HRJ4lHgl76ySdga0M0RksHnAh22KGQ</v>
      </c>
    </row>
    <row r="155" spans="1:9" ht="13.2" x14ac:dyDescent="0.25">
      <c r="A155" s="17" t="str">
        <f ca="1">IFERROR(__xludf.DUMMYFUNCTION("""COMPUTED_VALUE"""),"Callings")</f>
        <v>Callings</v>
      </c>
      <c r="B155" s="18" t="str">
        <f ca="1">IFERROR(__xludf.DUMMYFUNCTION("""COMPUTED_VALUE"""),"Matthew Donnellon")</f>
        <v>Matthew Donnellon</v>
      </c>
      <c r="C155" s="17" t="str">
        <f ca="1">IFERROR(__xludf.DUMMYFUNCTION("""COMPUTED_VALUE"""),"Asst Ward Clerk - Finance")</f>
        <v>Asst Ward Clerk - Finance</v>
      </c>
      <c r="D155" s="17" t="str">
        <f ca="1">IFERROR(__xludf.DUMMYFUNCTION("""COMPUTED_VALUE"""),"Jackson")</f>
        <v>Jackson</v>
      </c>
      <c r="E155" s="19" t="str">
        <f ca="1">IFERROR(__xludf.DUMMYFUNCTION("""COMPUTED_VALUE"""),"Complete")</f>
        <v>Complete</v>
      </c>
      <c r="F155" s="20">
        <f ca="1">IFERROR(__xludf.DUMMYFUNCTION("""COMPUTED_VALUE"""),45594.8341449999)</f>
        <v>45594.834144999899</v>
      </c>
      <c r="G155" s="21" t="str">
        <f ca="1">IFERROR(__xludf.DUMMYFUNCTION("""COMPUTED_VALUE"""),"Coutu")</f>
        <v>Coutu</v>
      </c>
      <c r="H155" s="20" t="str">
        <f ca="1">IFERROR(__xludf.DUMMYFUNCTION("""COMPUTED_VALUE"""),"Don Ward")</f>
        <v>Don Ward</v>
      </c>
      <c r="I155" s="22" t="str">
        <f ca="1">IFERROR(__xludf.DUMMYFUNCTION("""COMPUTED_VALUE"""),"https://docs.google.com/forms/d/e/1FAIpQLSd37AKX0Ca1Yeje6eC6NuliFZj5Spn7I7mXRsa9kBsXMqB-Ag/viewform?edit2=2_ABaOnuescUIQyNNpcmukx5aNYdXQ5QGyTQN0lEZVhcU7vfGS-omoV_XkogpJRV7bi3i4Vqs")</f>
        <v>https://docs.google.com/forms/d/e/1FAIpQLSd37AKX0Ca1Yeje6eC6NuliFZj5Spn7I7mXRsa9kBsXMqB-Ag/viewform?edit2=2_ABaOnuescUIQyNNpcmukx5aNYdXQ5QGyTQN0lEZVhcU7vfGS-omoV_XkogpJRV7bi3i4Vqs</v>
      </c>
    </row>
    <row r="156" spans="1:9" ht="13.2" x14ac:dyDescent="0.25">
      <c r="A156" s="17" t="str">
        <f ca="1">IFERROR(__xludf.DUMMYFUNCTION("""COMPUTED_VALUE"""),"Callings")</f>
        <v>Callings</v>
      </c>
      <c r="B156" s="18" t="str">
        <f ca="1">IFERROR(__xludf.DUMMYFUNCTION("""COMPUTED_VALUE"""),"William Tombs")</f>
        <v>William Tombs</v>
      </c>
      <c r="C156" s="17" t="str">
        <f ca="1">IFERROR(__xludf.DUMMYFUNCTION("""COMPUTED_VALUE"""),"Assistant Ward Clerk")</f>
        <v>Assistant Ward Clerk</v>
      </c>
      <c r="D156" s="17" t="str">
        <f ca="1">IFERROR(__xludf.DUMMYFUNCTION("""COMPUTED_VALUE"""),"Lansing")</f>
        <v>Lansing</v>
      </c>
      <c r="E156" s="19" t="str">
        <f ca="1">IFERROR(__xludf.DUMMYFUNCTION("""COMPUTED_VALUE"""),"Complete")</f>
        <v>Complete</v>
      </c>
      <c r="F156" s="20">
        <f ca="1">IFERROR(__xludf.DUMMYFUNCTION("""COMPUTED_VALUE"""),45594.833580324)</f>
        <v>45594.833580323997</v>
      </c>
      <c r="G156" s="21" t="str">
        <f ca="1">IFERROR(__xludf.DUMMYFUNCTION("""COMPUTED_VALUE"""),"McCrary")</f>
        <v>McCrary</v>
      </c>
      <c r="H156" s="20" t="str">
        <f ca="1">IFERROR(__xludf.DUMMYFUNCTION("""COMPUTED_VALUE"""),"George Owen")</f>
        <v>George Owen</v>
      </c>
      <c r="I156" s="22" t="str">
        <f ca="1">IFERROR(__xludf.DUMMYFUNCTION("""COMPUTED_VALUE"""),"https://docs.google.com/forms/d/e/1FAIpQLSd37AKX0Ca1Yeje6eC6NuliFZj5Spn7I7mXRsa9kBsXMqB-Ag/viewform?edit2=2_ABaOnue03xgaPLwDvKaM-ovsXst6TmaJxnFhvjZKdLzpi7zp-nNg7xaOER81LD6OjWfiGMg")</f>
        <v>https://docs.google.com/forms/d/e/1FAIpQLSd37AKX0Ca1Yeje6eC6NuliFZj5Spn7I7mXRsa9kBsXMqB-Ag/viewform?edit2=2_ABaOnue03xgaPLwDvKaM-ovsXst6TmaJxnFhvjZKdLzpi7zp-nNg7xaOER81LD6OjWfiGMg</v>
      </c>
    </row>
    <row r="157" spans="1:9" ht="13.2" x14ac:dyDescent="0.25">
      <c r="A157" s="17" t="str">
        <f ca="1">IFERROR(__xludf.DUMMYFUNCTION("""COMPUTED_VALUE"""),"Releasings")</f>
        <v>Releasings</v>
      </c>
      <c r="B157" s="18" t="str">
        <f ca="1">IFERROR(__xludf.DUMMYFUNCTION("""COMPUTED_VALUE"""),"Tyler Morton")</f>
        <v>Tyler Morton</v>
      </c>
      <c r="C157" s="17" t="str">
        <f ca="1">IFERROR(__xludf.DUMMYFUNCTION("""COMPUTED_VALUE"""),"Lansing Ward Assistant Cllerk - Finance")</f>
        <v>Lansing Ward Assistant Cllerk - Finance</v>
      </c>
      <c r="D157" s="17" t="str">
        <f ca="1">IFERROR(__xludf.DUMMYFUNCTION("""COMPUTED_VALUE"""),"Lansing")</f>
        <v>Lansing</v>
      </c>
      <c r="E157" s="19" t="str">
        <f ca="1">IFERROR(__xludf.DUMMYFUNCTION("""COMPUTED_VALUE"""),"Complete")</f>
        <v>Complete</v>
      </c>
      <c r="F157" s="20">
        <f ca="1">IFERROR(__xludf.DUMMYFUNCTION("""COMPUTED_VALUE"""),45585.8415062037)</f>
        <v>45585.841506203702</v>
      </c>
      <c r="G157" s="21" t="str">
        <f ca="1">IFERROR(__xludf.DUMMYFUNCTION("""COMPUTED_VALUE"""),"McCrary")</f>
        <v>McCrary</v>
      </c>
      <c r="H157" s="20" t="str">
        <f ca="1">IFERROR(__xludf.DUMMYFUNCTION("""COMPUTED_VALUE""")," ")</f>
        <v xml:space="preserve"> </v>
      </c>
      <c r="I157" s="22" t="str">
        <f ca="1">IFERROR(__xludf.DUMMYFUNCTION("""COMPUTED_VALUE"""),"https://docs.google.com/forms/d/e/1FAIpQLSeAkkqnSqisXk0g5wDtTZwQpSKdxgBvUG9NhZjoIJxKcGoYyw/viewform?edit2=2_ABaOnud6tHN184mnq-ugDic-fkx0469lLwZpTXMcPvPtQoW0TKaL0Bohp0jL3__EKQtyxgw")</f>
        <v>https://docs.google.com/forms/d/e/1FAIpQLSeAkkqnSqisXk0g5wDtTZwQpSKdxgBvUG9NhZjoIJxKcGoYyw/viewform?edit2=2_ABaOnud6tHN184mnq-ugDic-fkx0469lLwZpTXMcPvPtQoW0TKaL0Bohp0jL3__EKQtyxgw</v>
      </c>
    </row>
    <row r="158" spans="1:9" ht="13.2" x14ac:dyDescent="0.25">
      <c r="A158" s="17" t="str">
        <f ca="1">IFERROR(__xludf.DUMMYFUNCTION("""COMPUTED_VALUE"""),"Callings")</f>
        <v>Callings</v>
      </c>
      <c r="B158" s="18" t="str">
        <f ca="1">IFERROR(__xludf.DUMMYFUNCTION("""COMPUTED_VALUE"""),"Barry Godwin")</f>
        <v>Barry Godwin</v>
      </c>
      <c r="C158" s="17" t="str">
        <f ca="1">IFERROR(__xludf.DUMMYFUNCTION("""COMPUTED_VALUE"""),"Stake Single Adult Representative")</f>
        <v>Stake Single Adult Representative</v>
      </c>
      <c r="D158" s="17" t="str">
        <f ca="1">IFERROR(__xludf.DUMMYFUNCTION("""COMPUTED_VALUE"""),"Williamston")</f>
        <v>Williamston</v>
      </c>
      <c r="E158" s="19" t="str">
        <f ca="1">IFERROR(__xludf.DUMMYFUNCTION("""COMPUTED_VALUE"""),"Complete")</f>
        <v>Complete</v>
      </c>
      <c r="F158" s="20">
        <f ca="1">IFERROR(__xludf.DUMMYFUNCTION("""COMPUTED_VALUE"""),45585.6762799884)</f>
        <v>45585.676279988402</v>
      </c>
      <c r="G158" s="21" t="str">
        <f ca="1">IFERROR(__xludf.DUMMYFUNCTION("""COMPUTED_VALUE"""),"Bills")</f>
        <v>Bills</v>
      </c>
      <c r="H158" s="20" t="str">
        <f ca="1">IFERROR(__xludf.DUMMYFUNCTION("""COMPUTED_VALUE"""),"??")</f>
        <v>??</v>
      </c>
      <c r="I158" s="22" t="str">
        <f ca="1">IFERROR(__xludf.DUMMYFUNCTION("""COMPUTED_VALUE"""),"https://docs.google.com/forms/d/e/1FAIpQLSd37AKX0Ca1Yeje6eC6NuliFZj5Spn7I7mXRsa9kBsXMqB-Ag/viewform?edit2=2_ABaOnucNtSqDhiLK9at8g6g1wdhcrXJ_4tH4REsugv1uGIL6tnbuVwWItnOwBh2kLLu0S1U")</f>
        <v>https://docs.google.com/forms/d/e/1FAIpQLSd37AKX0Ca1Yeje6eC6NuliFZj5Spn7I7mXRsa9kBsXMqB-Ag/viewform?edit2=2_ABaOnucNtSqDhiLK9at8g6g1wdhcrXJ_4tH4REsugv1uGIL6tnbuVwWItnOwBh2kLLu0S1U</v>
      </c>
    </row>
    <row r="159" spans="1:9" ht="13.2" x14ac:dyDescent="0.25">
      <c r="A159" s="17" t="str">
        <f ca="1">IFERROR(__xludf.DUMMYFUNCTION("""COMPUTED_VALUE"""),"Callings")</f>
        <v>Callings</v>
      </c>
      <c r="B159" s="18" t="str">
        <f ca="1">IFERROR(__xludf.DUMMYFUNCTION("""COMPUTED_VALUE"""),"Ken Brown")</f>
        <v>Ken Brown</v>
      </c>
      <c r="C159" s="17" t="str">
        <f ca="1">IFERROR(__xludf.DUMMYFUNCTION("""COMPUTED_VALUE"""),"Ward Clerk")</f>
        <v>Ward Clerk</v>
      </c>
      <c r="D159" s="17" t="str">
        <f ca="1">IFERROR(__xludf.DUMMYFUNCTION("""COMPUTED_VALUE"""),"Jackson")</f>
        <v>Jackson</v>
      </c>
      <c r="E159" s="19" t="str">
        <f ca="1">IFERROR(__xludf.DUMMYFUNCTION("""COMPUTED_VALUE"""),"Complete")</f>
        <v>Complete</v>
      </c>
      <c r="F159" s="20">
        <f ca="1">IFERROR(__xludf.DUMMYFUNCTION("""COMPUTED_VALUE"""),45585.6742748032)</f>
        <v>45585.674274803197</v>
      </c>
      <c r="G159" s="21" t="str">
        <f ca="1">IFERROR(__xludf.DUMMYFUNCTION("""COMPUTED_VALUE"""),"Coutu")</f>
        <v>Coutu</v>
      </c>
      <c r="H159" s="20" t="str">
        <f ca="1">IFERROR(__xludf.DUMMYFUNCTION("""COMPUTED_VALUE"""),"George Owen")</f>
        <v>George Owen</v>
      </c>
      <c r="I159" s="22" t="str">
        <f ca="1">IFERROR(__xludf.DUMMYFUNCTION("""COMPUTED_VALUE"""),"https://docs.google.com/forms/d/e/1FAIpQLSd37AKX0Ca1Yeje6eC6NuliFZj5Spn7I7mXRsa9kBsXMqB-Ag/viewform?edit2=2_ABaOnue4DNeXWkKe8BALeiY__SeG6eJlZswzmwIChZMlvcMBoNRPNaWkxjWfQ1N-0oBKnJw")</f>
        <v>https://docs.google.com/forms/d/e/1FAIpQLSd37AKX0Ca1Yeje6eC6NuliFZj5Spn7I7mXRsa9kBsXMqB-Ag/viewform?edit2=2_ABaOnue4DNeXWkKe8BALeiY__SeG6eJlZswzmwIChZMlvcMBoNRPNaWkxjWfQ1N-0oBKnJw</v>
      </c>
    </row>
    <row r="160" spans="1:9" ht="13.2" x14ac:dyDescent="0.25">
      <c r="A160" s="17" t="str">
        <f ca="1">IFERROR(__xludf.DUMMYFUNCTION("""COMPUTED_VALUE"""),"Callings")</f>
        <v>Callings</v>
      </c>
      <c r="B160" s="18" t="str">
        <f ca="1">IFERROR(__xludf.DUMMYFUNCTION("""COMPUTED_VALUE"""),"Brian Collier")</f>
        <v>Brian Collier</v>
      </c>
      <c r="C160" s="17" t="str">
        <f ca="1">IFERROR(__xludf.DUMMYFUNCTION("""COMPUTED_VALUE"""),"Branch Clerk")</f>
        <v>Branch Clerk</v>
      </c>
      <c r="D160" s="17" t="str">
        <f ca="1">IFERROR(__xludf.DUMMYFUNCTION("""COMPUTED_VALUE"""),"Portland")</f>
        <v>Portland</v>
      </c>
      <c r="E160" s="19" t="str">
        <f ca="1">IFERROR(__xludf.DUMMYFUNCTION("""COMPUTED_VALUE"""),"Complete")</f>
        <v>Complete</v>
      </c>
      <c r="F160" s="20">
        <f ca="1">IFERROR(__xludf.DUMMYFUNCTION("""COMPUTED_VALUE"""),45585.672774074)</f>
        <v>45585.672774074003</v>
      </c>
      <c r="G160" s="21" t="str">
        <f ca="1">IFERROR(__xludf.DUMMYFUNCTION("""COMPUTED_VALUE"""),"Doty")</f>
        <v>Doty</v>
      </c>
      <c r="H160" s="20" t="str">
        <f ca="1">IFERROR(__xludf.DUMMYFUNCTION("""COMPUTED_VALUE"""),"George Owen")</f>
        <v>George Owen</v>
      </c>
      <c r="I160" s="22" t="str">
        <f ca="1">IFERROR(__xludf.DUMMYFUNCTION("""COMPUTED_VALUE"""),"https://docs.google.com/forms/u/0/d/e/1FAIpQLSd37AKX0Ca1Yeje6eC6NuliFZj5Spn7I7mXRsa9kBsXMqB-Ag/viewform?usp=form_confirm&amp;edit2=2_ABaOnueNoEwYPJsuB6Kl3gaw-KYlsDWhprFHvh89-d6RRzS1g6XA6IRL0S4Fd-NsldESoBI")</f>
        <v>https://docs.google.com/forms/u/0/d/e/1FAIpQLSd37AKX0Ca1Yeje6eC6NuliFZj5Spn7I7mXRsa9kBsXMqB-Ag/viewform?usp=form_confirm&amp;edit2=2_ABaOnueNoEwYPJsuB6Kl3gaw-KYlsDWhprFHvh89-d6RRzS1g6XA6IRL0S4Fd-NsldESoBI</v>
      </c>
    </row>
    <row r="161" spans="1:9" ht="13.2" x14ac:dyDescent="0.25">
      <c r="A161" s="17" t="str">
        <f ca="1">IFERROR(__xludf.DUMMYFUNCTION("""COMPUTED_VALUE"""),"Callings")</f>
        <v>Callings</v>
      </c>
      <c r="B161" s="18" t="str">
        <f ca="1">IFERROR(__xludf.DUMMYFUNCTION("""COMPUTED_VALUE"""),"Sue Zimmerlee")</f>
        <v>Sue Zimmerlee</v>
      </c>
      <c r="C161" s="17" t="str">
        <f ca="1">IFERROR(__xludf.DUMMYFUNCTION("""COMPUTED_VALUE"""),"Stake Temple and Family History Consultant")</f>
        <v>Stake Temple and Family History Consultant</v>
      </c>
      <c r="D161" s="17" t="str">
        <f ca="1">IFERROR(__xludf.DUMMYFUNCTION("""COMPUTED_VALUE"""),"Holt")</f>
        <v>Holt</v>
      </c>
      <c r="E161" s="19" t="str">
        <f ca="1">IFERROR(__xludf.DUMMYFUNCTION("""COMPUTED_VALUE"""),"Complete")</f>
        <v>Complete</v>
      </c>
      <c r="F161" s="20">
        <f ca="1">IFERROR(__xludf.DUMMYFUNCTION("""COMPUTED_VALUE"""),45584.4295640509)</f>
        <v>45584.429564050901</v>
      </c>
      <c r="G161" s="21" t="str">
        <f ca="1">IFERROR(__xludf.DUMMYFUNCTION("""COMPUTED_VALUE"""),"Lewis")</f>
        <v>Lewis</v>
      </c>
      <c r="H161" s="20" t="str">
        <f ca="1">IFERROR(__xludf.DUMMYFUNCTION("""COMPUTED_VALUE"""),"Cassie Quarnberg")</f>
        <v>Cassie Quarnberg</v>
      </c>
      <c r="I161" s="22" t="str">
        <f ca="1">IFERROR(__xludf.DUMMYFUNCTION("""COMPUTED_VALUE"""),"https://docs.google.com/forms/d/e/1FAIpQLSd37AKX0Ca1Yeje6eC6NuliFZj5Spn7I7mXRsa9kBsXMqB-Ag/viewform?edit2=2_ABaOnueqRQQwyCTmMGmcEQxas_9LhYhRotsAvf6q6FNyHT2PkAS00PXt6M4qBFCDWkpdnzo")</f>
        <v>https://docs.google.com/forms/d/e/1FAIpQLSd37AKX0Ca1Yeje6eC6NuliFZj5Spn7I7mXRsa9kBsXMqB-Ag/viewform?edit2=2_ABaOnueqRQQwyCTmMGmcEQxas_9LhYhRotsAvf6q6FNyHT2PkAS00PXt6M4qBFCDWkpdnzo</v>
      </c>
    </row>
    <row r="162" spans="1:9" ht="13.2" x14ac:dyDescent="0.25">
      <c r="A162" s="17" t="str">
        <f ca="1">IFERROR(__xludf.DUMMYFUNCTION("""COMPUTED_VALUE"""),"Callings")</f>
        <v>Callings</v>
      </c>
      <c r="B162" s="18" t="str">
        <f ca="1">IFERROR(__xludf.DUMMYFUNCTION("""COMPUTED_VALUE"""),"Brit Fathi")</f>
        <v>Brit Fathi</v>
      </c>
      <c r="C162" s="17" t="str">
        <f ca="1">IFERROR(__xludf.DUMMYFUNCTION("""COMPUTED_VALUE"""),"Stake Temple and Family History Consultant")</f>
        <v>Stake Temple and Family History Consultant</v>
      </c>
      <c r="D162" s="17" t="str">
        <f ca="1">IFERROR(__xludf.DUMMYFUNCTION("""COMPUTED_VALUE"""),"Holt")</f>
        <v>Holt</v>
      </c>
      <c r="E162" s="19" t="str">
        <f ca="1">IFERROR(__xludf.DUMMYFUNCTION("""COMPUTED_VALUE"""),"Complete")</f>
        <v>Complete</v>
      </c>
      <c r="F162" s="20">
        <f ca="1">IFERROR(__xludf.DUMMYFUNCTION("""COMPUTED_VALUE"""),45584.4280627199)</f>
        <v>45584.428062719897</v>
      </c>
      <c r="G162" s="21" t="str">
        <f ca="1">IFERROR(__xludf.DUMMYFUNCTION("""COMPUTED_VALUE"""),"Lewis")</f>
        <v>Lewis</v>
      </c>
      <c r="H162" s="20" t="str">
        <f ca="1">IFERROR(__xludf.DUMMYFUNCTION("""COMPUTED_VALUE"""),"Cassie Quarnberg")</f>
        <v>Cassie Quarnberg</v>
      </c>
      <c r="I162" s="22" t="str">
        <f ca="1">IFERROR(__xludf.DUMMYFUNCTION("""COMPUTED_VALUE"""),"https://docs.google.com/forms/d/e/1FAIpQLSd37AKX0Ca1Yeje6eC6NuliFZj5Spn7I7mXRsa9kBsXMqB-Ag/viewform?edit2=2_ABaOnudQsza_VbXO0RwEWsZEQXADe7f49eee5tp2F2uAWIcDG57CS-xL_1vjSZCf5JHZiSI")</f>
        <v>https://docs.google.com/forms/d/e/1FAIpQLSd37AKX0Ca1Yeje6eC6NuliFZj5Spn7I7mXRsa9kBsXMqB-Ag/viewform?edit2=2_ABaOnudQsza_VbXO0RwEWsZEQXADe7f49eee5tp2F2uAWIcDG57CS-xL_1vjSZCf5JHZiSI</v>
      </c>
    </row>
    <row r="163" spans="1:9" ht="13.2" x14ac:dyDescent="0.25">
      <c r="A163" s="17" t="str">
        <f ca="1">IFERROR(__xludf.DUMMYFUNCTION("""COMPUTED_VALUE"""),"Callings")</f>
        <v>Callings</v>
      </c>
      <c r="B163" s="18" t="str">
        <f ca="1">IFERROR(__xludf.DUMMYFUNCTION("""COMPUTED_VALUE"""),"Tyler Morton")</f>
        <v>Tyler Morton</v>
      </c>
      <c r="C163" s="17" t="str">
        <f ca="1">IFERROR(__xludf.DUMMYFUNCTION("""COMPUTED_VALUE"""),"Ward Asst Clerk - Finance")</f>
        <v>Ward Asst Clerk - Finance</v>
      </c>
      <c r="D163" s="17" t="str">
        <f ca="1">IFERROR(__xludf.DUMMYFUNCTION("""COMPUTED_VALUE"""),"Lansing")</f>
        <v>Lansing</v>
      </c>
      <c r="E163" s="19" t="str">
        <f ca="1">IFERROR(__xludf.DUMMYFUNCTION("""COMPUTED_VALUE"""),"Complete")</f>
        <v>Complete</v>
      </c>
      <c r="F163" s="20">
        <f ca="1">IFERROR(__xludf.DUMMYFUNCTION("""COMPUTED_VALUE"""),45581.9223092824)</f>
        <v>45581.922309282403</v>
      </c>
      <c r="G163" s="21" t="str">
        <f ca="1">IFERROR(__xludf.DUMMYFUNCTION("""COMPUTED_VALUE"""),"McCrary")</f>
        <v>McCrary</v>
      </c>
      <c r="H163" s="20" t="str">
        <f ca="1">IFERROR(__xludf.DUMMYFUNCTION("""COMPUTED_VALUE"""),"George Owen")</f>
        <v>George Owen</v>
      </c>
      <c r="I163" s="22" t="str">
        <f ca="1">IFERROR(__xludf.DUMMYFUNCTION("""COMPUTED_VALUE"""),"https://docs.google.com/forms/u/0/d/e/1FAIpQLSd37AKX0Ca1Yeje6eC6NuliFZj5Spn7I7mXRsa9kBsXMqB-Ag/viewform?usp=form_confirm&amp;edit2=2_ABaOnufCUj6Jh26hnEY6KttVZbfpPs81YMeQ1U5N2v890MEUclV_g8GVvxm5JuGZVkwIeXU")</f>
        <v>https://docs.google.com/forms/u/0/d/e/1FAIpQLSd37AKX0Ca1Yeje6eC6NuliFZj5Spn7I7mXRsa9kBsXMqB-Ag/viewform?usp=form_confirm&amp;edit2=2_ABaOnufCUj6Jh26hnEY6KttVZbfpPs81YMeQ1U5N2v890MEUclV_g8GVvxm5JuGZVkwIeXU</v>
      </c>
    </row>
    <row r="164" spans="1:9" ht="13.2" x14ac:dyDescent="0.25">
      <c r="A164" s="17" t="str">
        <f ca="1">IFERROR(__xludf.DUMMYFUNCTION("""COMPUTED_VALUE"""),"Callings")</f>
        <v>Callings</v>
      </c>
      <c r="B164" s="18" t="str">
        <f ca="1">IFERROR(__xludf.DUMMYFUNCTION("""COMPUTED_VALUE"""),"Sylvina Taylor")</f>
        <v>Sylvina Taylor</v>
      </c>
      <c r="C164" s="17" t="str">
        <f ca="1">IFERROR(__xludf.DUMMYFUNCTION("""COMPUTED_VALUE"""),"Stake BYU Pathway Specialist")</f>
        <v>Stake BYU Pathway Specialist</v>
      </c>
      <c r="D164" s="17" t="str">
        <f ca="1">IFERROR(__xludf.DUMMYFUNCTION("""COMPUTED_VALUE"""),"Lansing")</f>
        <v>Lansing</v>
      </c>
      <c r="E164" s="19" t="str">
        <f ca="1">IFERROR(__xludf.DUMMYFUNCTION("""COMPUTED_VALUE"""),"Complete")</f>
        <v>Complete</v>
      </c>
      <c r="F164" s="20">
        <f ca="1">IFERROR(__xludf.DUMMYFUNCTION("""COMPUTED_VALUE"""),45578.7385729629)</f>
        <v>45578.738572962902</v>
      </c>
      <c r="G164" s="21" t="str">
        <f ca="1">IFERROR(__xludf.DUMMYFUNCTION("""COMPUTED_VALUE"""),"Earl")</f>
        <v>Earl</v>
      </c>
      <c r="H164" s="20" t="str">
        <f ca="1">IFERROR(__xludf.DUMMYFUNCTION("""COMPUTED_VALUE"""),"??")</f>
        <v>??</v>
      </c>
      <c r="I164" s="22" t="str">
        <f ca="1">IFERROR(__xludf.DUMMYFUNCTION("""COMPUTED_VALUE"""),"https://docs.google.com/forms/d/e/1FAIpQLSd37AKX0Ca1Yeje6eC6NuliFZj5Spn7I7mXRsa9kBsXMqB-Ag/viewform?edit2=2_ABaOnudCB7iHAmCalqVoWLOQWBzFjuvmHUJS0mdYa1vrMJLeYtBRz9DMQJFcwCemO54sVQ0")</f>
        <v>https://docs.google.com/forms/d/e/1FAIpQLSd37AKX0Ca1Yeje6eC6NuliFZj5Spn7I7mXRsa9kBsXMqB-Ag/viewform?edit2=2_ABaOnudCB7iHAmCalqVoWLOQWBzFjuvmHUJS0mdYa1vrMJLeYtBRz9DMQJFcwCemO54sVQ0</v>
      </c>
    </row>
    <row r="165" spans="1:9" ht="13.2" x14ac:dyDescent="0.25">
      <c r="A165" s="17" t="str">
        <f ca="1">IFERROR(__xludf.DUMMYFUNCTION("""COMPUTED_VALUE"""),"Callings")</f>
        <v>Callings</v>
      </c>
      <c r="B165" s="18" t="str">
        <f ca="1">IFERROR(__xludf.DUMMYFUNCTION("""COMPUTED_VALUE"""),"Conan Heiselt")</f>
        <v>Conan Heiselt</v>
      </c>
      <c r="C165" s="17" t="str">
        <f ca="1">IFERROR(__xludf.DUMMYFUNCTION("""COMPUTED_VALUE"""),"Stake Technology Specialist")</f>
        <v>Stake Technology Specialist</v>
      </c>
      <c r="D165" s="17" t="str">
        <f ca="1">IFERROR(__xludf.DUMMYFUNCTION("""COMPUTED_VALUE"""),"Holt")</f>
        <v>Holt</v>
      </c>
      <c r="E165" s="19" t="str">
        <f ca="1">IFERROR(__xludf.DUMMYFUNCTION("""COMPUTED_VALUE"""),"Complete")</f>
        <v>Complete</v>
      </c>
      <c r="F165" s="20">
        <f ca="1">IFERROR(__xludf.DUMMYFUNCTION("""COMPUTED_VALUE"""),45564.6727893981)</f>
        <v>45564.672789398101</v>
      </c>
      <c r="G165" s="21" t="str">
        <f ca="1">IFERROR(__xludf.DUMMYFUNCTION("""COMPUTED_VALUE"""),"Pierce")</f>
        <v>Pierce</v>
      </c>
      <c r="H165" s="20" t="str">
        <f ca="1">IFERROR(__xludf.DUMMYFUNCTION("""COMPUTED_VALUE"""),"Allen Scheck")</f>
        <v>Allen Scheck</v>
      </c>
      <c r="I165" s="22" t="str">
        <f ca="1">IFERROR(__xludf.DUMMYFUNCTION("""COMPUTED_VALUE"""),"https://docs.google.com/forms/u/0/d/e/1FAIpQLSd37AKX0Ca1Yeje6eC6NuliFZj5Spn7I7mXRsa9kBsXMqB-Ag/viewform?usp=form_confirm&amp;edit2=2_ABaOnueQ5nfdfxsukLPVCBtlypArFnEk9UTqezuPTFocB9ckgCV84ReKcTvLdiTp80fn4Lk")</f>
        <v>https://docs.google.com/forms/u/0/d/e/1FAIpQLSd37AKX0Ca1Yeje6eC6NuliFZj5Spn7I7mXRsa9kBsXMqB-Ag/viewform?usp=form_confirm&amp;edit2=2_ABaOnueQ5nfdfxsukLPVCBtlypArFnEk9UTqezuPTFocB9ckgCV84ReKcTvLdiTp80fn4Lk</v>
      </c>
    </row>
    <row r="166" spans="1:9" ht="13.2" x14ac:dyDescent="0.25">
      <c r="A166" s="17" t="str">
        <f ca="1">IFERROR(__xludf.DUMMYFUNCTION("""COMPUTED_VALUE"""),"Callings")</f>
        <v>Callings</v>
      </c>
      <c r="B166" s="18" t="str">
        <f ca="1">IFERROR(__xludf.DUMMYFUNCTION("""COMPUTED_VALUE"""),"Landon Bartlett")</f>
        <v>Landon Bartlett</v>
      </c>
      <c r="C166" s="17" t="str">
        <f ca="1">IFERROR(__xludf.DUMMYFUNCTION("""COMPUTED_VALUE"""),"Elders Quorum Presidency 2nd Counselor")</f>
        <v>Elders Quorum Presidency 2nd Counselor</v>
      </c>
      <c r="D166" s="17" t="str">
        <f ca="1">IFERROR(__xludf.DUMMYFUNCTION("""COMPUTED_VALUE"""),"Williamston")</f>
        <v>Williamston</v>
      </c>
      <c r="E166" s="19" t="str">
        <f ca="1">IFERROR(__xludf.DUMMYFUNCTION("""COMPUTED_VALUE"""),"Complete")</f>
        <v>Complete</v>
      </c>
      <c r="F166" s="20">
        <f ca="1">IFERROR(__xludf.DUMMYFUNCTION("""COMPUTED_VALUE"""),45557.4884547685)</f>
        <v>45557.4884547685</v>
      </c>
      <c r="G166" s="21" t="str">
        <f ca="1">IFERROR(__xludf.DUMMYFUNCTION("""COMPUTED_VALUE"""),"Bills")</f>
        <v>Bills</v>
      </c>
      <c r="H166" s="20" t="str">
        <f ca="1">IFERROR(__xludf.DUMMYFUNCTION("""COMPUTED_VALUE"""),"Bills")</f>
        <v>Bills</v>
      </c>
      <c r="I166" s="22" t="str">
        <f ca="1">IFERROR(__xludf.DUMMYFUNCTION("""COMPUTED_VALUE"""),"https://docs.google.com/forms/d/e/1FAIpQLSd37AKX0Ca1Yeje6eC6NuliFZj5Spn7I7mXRsa9kBsXMqB-Ag/viewform?edit2=2_ABaOnufUfLyjWTy9oYpmRrdtiQEkqdLGvVSdvE4PpTPbkxiETCbjv26SaG8WfWnFLD0Dd6w")</f>
        <v>https://docs.google.com/forms/d/e/1FAIpQLSd37AKX0Ca1Yeje6eC6NuliFZj5Spn7I7mXRsa9kBsXMqB-Ag/viewform?edit2=2_ABaOnufUfLyjWTy9oYpmRrdtiQEkqdLGvVSdvE4PpTPbkxiETCbjv26SaG8WfWnFLD0Dd6w</v>
      </c>
    </row>
    <row r="167" spans="1:9" ht="13.2" x14ac:dyDescent="0.25">
      <c r="A167" s="17" t="str">
        <f ca="1">IFERROR(__xludf.DUMMYFUNCTION("""COMPUTED_VALUE"""),"Releasings")</f>
        <v>Releasings</v>
      </c>
      <c r="B167" s="18" t="str">
        <f ca="1">IFERROR(__xludf.DUMMYFUNCTION("""COMPUTED_VALUE"""),"Elliott Earl")</f>
        <v>Elliott Earl</v>
      </c>
      <c r="C167" s="17" t="str">
        <f ca="1">IFERROR(__xludf.DUMMYFUNCTION("""COMPUTED_VALUE"""),"Stake Temple and Family History Consultant")</f>
        <v>Stake Temple and Family History Consultant</v>
      </c>
      <c r="D167" s="17" t="str">
        <f ca="1">IFERROR(__xludf.DUMMYFUNCTION("""COMPUTED_VALUE"""),"St Johns")</f>
        <v>St Johns</v>
      </c>
      <c r="E167" s="19" t="str">
        <f ca="1">IFERROR(__xludf.DUMMYFUNCTION("""COMPUTED_VALUE"""),"Complete")</f>
        <v>Complete</v>
      </c>
      <c r="F167" s="20">
        <f ca="1">IFERROR(__xludf.DUMMYFUNCTION("""COMPUTED_VALUE"""),45550.7447145138)</f>
        <v>45550.744714513799</v>
      </c>
      <c r="G167" s="21" t="str">
        <f ca="1">IFERROR(__xludf.DUMMYFUNCTION("""COMPUTED_VALUE"""),"Earl")</f>
        <v>Earl</v>
      </c>
      <c r="H167" s="20" t="str">
        <f ca="1">IFERROR(__xludf.DUMMYFUNCTION("""COMPUTED_VALUE""")," ")</f>
        <v xml:space="preserve"> </v>
      </c>
      <c r="I167" s="22" t="str">
        <f ca="1">IFERROR(__xludf.DUMMYFUNCTION("""COMPUTED_VALUE"""),"https://docs.google.com/forms/d/e/1FAIpQLSeAkkqnSqisXk0g5wDtTZwQpSKdxgBvUG9NhZjoIJxKcGoYyw/viewform?edit2=2_ABaOnuc1LyNvUNuHPHcM-p1tZVFeFO3Mbq5dgiD-CRAYmoS07i2NyU984sBbJMSXlKXrB_Q")</f>
        <v>https://docs.google.com/forms/d/e/1FAIpQLSeAkkqnSqisXk0g5wDtTZwQpSKdxgBvUG9NhZjoIJxKcGoYyw/viewform?edit2=2_ABaOnuc1LyNvUNuHPHcM-p1tZVFeFO3Mbq5dgiD-CRAYmoS07i2NyU984sBbJMSXlKXrB_Q</v>
      </c>
    </row>
    <row r="168" spans="1:9" ht="13.2" x14ac:dyDescent="0.25">
      <c r="A168" s="17" t="str">
        <f ca="1">IFERROR(__xludf.DUMMYFUNCTION("""COMPUTED_VALUE"""),"Releasings")</f>
        <v>Releasings</v>
      </c>
      <c r="B168" s="18" t="str">
        <f ca="1">IFERROR(__xludf.DUMMYFUNCTION("""COMPUTED_VALUE"""),"Brandon Howard")</f>
        <v>Brandon Howard</v>
      </c>
      <c r="C168" s="17" t="str">
        <f ca="1">IFERROR(__xludf.DUMMYFUNCTION("""COMPUTED_VALUE"""),"Stake Young Men Secretary")</f>
        <v>Stake Young Men Secretary</v>
      </c>
      <c r="D168" s="17" t="str">
        <f ca="1">IFERROR(__xludf.DUMMYFUNCTION("""COMPUTED_VALUE"""),"YSA")</f>
        <v>YSA</v>
      </c>
      <c r="E168" s="19" t="str">
        <f ca="1">IFERROR(__xludf.DUMMYFUNCTION("""COMPUTED_VALUE"""),"Complete")</f>
        <v>Complete</v>
      </c>
      <c r="F168" s="20">
        <f ca="1">IFERROR(__xludf.DUMMYFUNCTION("""COMPUTED_VALUE"""),45550.7436454629)</f>
        <v>45550.743645462899</v>
      </c>
      <c r="G168" s="21" t="str">
        <f ca="1">IFERROR(__xludf.DUMMYFUNCTION("""COMPUTED_VALUE"""),"Pierce")</f>
        <v>Pierce</v>
      </c>
      <c r="H168" s="20" t="str">
        <f ca="1">IFERROR(__xludf.DUMMYFUNCTION("""COMPUTED_VALUE""")," ")</f>
        <v xml:space="preserve"> </v>
      </c>
      <c r="I168" s="22" t="str">
        <f ca="1">IFERROR(__xludf.DUMMYFUNCTION("""COMPUTED_VALUE"""),"https://docs.google.com/forms/d/e/1FAIpQLSeAkkqnSqisXk0g5wDtTZwQpSKdxgBvUG9NhZjoIJxKcGoYyw/viewform?edit2=2_ABaOnuduP_zzH4d0H3dzllx1yqV3h4NflGsQ5Q4h2FnmXG-4M8ERdABAND-niRHdDEv-fqI")</f>
        <v>https://docs.google.com/forms/d/e/1FAIpQLSeAkkqnSqisXk0g5wDtTZwQpSKdxgBvUG9NhZjoIJxKcGoYyw/viewform?edit2=2_ABaOnuduP_zzH4d0H3dzllx1yqV3h4NflGsQ5Q4h2FnmXG-4M8ERdABAND-niRHdDEv-fqI</v>
      </c>
    </row>
    <row r="169" spans="1:9" ht="13.2" x14ac:dyDescent="0.25">
      <c r="A169" s="17" t="str">
        <f ca="1">IFERROR(__xludf.DUMMYFUNCTION("""COMPUTED_VALUE"""),"Callings")</f>
        <v>Callings</v>
      </c>
      <c r="B169" s="18" t="str">
        <f ca="1">IFERROR(__xludf.DUMMYFUNCTION("""COMPUTED_VALUE"""),"Laura Lucci")</f>
        <v>Laura Lucci</v>
      </c>
      <c r="C169" s="17" t="str">
        <f ca="1">IFERROR(__xludf.DUMMYFUNCTION("""COMPUTED_VALUE"""),"Stake Seminary Teacher")</f>
        <v>Stake Seminary Teacher</v>
      </c>
      <c r="D169" s="17" t="str">
        <f ca="1">IFERROR(__xludf.DUMMYFUNCTION("""COMPUTED_VALUE"""),"Charlotte")</f>
        <v>Charlotte</v>
      </c>
      <c r="E169" s="19" t="str">
        <f ca="1">IFERROR(__xludf.DUMMYFUNCTION("""COMPUTED_VALUE"""),"Complete")</f>
        <v>Complete</v>
      </c>
      <c r="F169" s="20">
        <f ca="1">IFERROR(__xludf.DUMMYFUNCTION("""COMPUTED_VALUE"""),45543.6680059375)</f>
        <v>45543.668005937499</v>
      </c>
      <c r="G169" s="21" t="str">
        <f ca="1">IFERROR(__xludf.DUMMYFUNCTION("""COMPUTED_VALUE"""),"Earl")</f>
        <v>Earl</v>
      </c>
      <c r="H169" s="20" t="str">
        <f ca="1">IFERROR(__xludf.DUMMYFUNCTION("""COMPUTED_VALUE"""),"Bro Gentile")</f>
        <v>Bro Gentile</v>
      </c>
      <c r="I169" s="22" t="str">
        <f ca="1">IFERROR(__xludf.DUMMYFUNCTION("""COMPUTED_VALUE"""),"https://docs.google.com/forms/d/e/1FAIpQLSd37AKX0Ca1Yeje6eC6NuliFZj5Spn7I7mXRsa9kBsXMqB-Ag/viewform?edit2=2_ABaOnuc3xjNviUzkde2nnQGbYeaahJrmOUJlJsfd-pLJfjDantYB1QkwdaLdnRN932ECILw")</f>
        <v>https://docs.google.com/forms/d/e/1FAIpQLSd37AKX0Ca1Yeje6eC6NuliFZj5Spn7I7mXRsa9kBsXMqB-Ag/viewform?edit2=2_ABaOnuc3xjNviUzkde2nnQGbYeaahJrmOUJlJsfd-pLJfjDantYB1QkwdaLdnRN932ECILw</v>
      </c>
    </row>
    <row r="170" spans="1:9" ht="13.2" x14ac:dyDescent="0.25">
      <c r="A170" s="17" t="str">
        <f ca="1">IFERROR(__xludf.DUMMYFUNCTION("""COMPUTED_VALUE"""),"Callings")</f>
        <v>Callings</v>
      </c>
      <c r="B170" s="18" t="str">
        <f ca="1">IFERROR(__xludf.DUMMYFUNCTION("""COMPUTED_VALUE"""),"Travis Sybrowsky")</f>
        <v>Travis Sybrowsky</v>
      </c>
      <c r="C170" s="17" t="str">
        <f ca="1">IFERROR(__xludf.DUMMYFUNCTION("""COMPUTED_VALUE"""),"Stake Seminary Teacher")</f>
        <v>Stake Seminary Teacher</v>
      </c>
      <c r="D170" s="17" t="str">
        <f ca="1">IFERROR(__xludf.DUMMYFUNCTION("""COMPUTED_VALUE"""),"Portland")</f>
        <v>Portland</v>
      </c>
      <c r="E170" s="19" t="str">
        <f ca="1">IFERROR(__xludf.DUMMYFUNCTION("""COMPUTED_VALUE"""),"Complete")</f>
        <v>Complete</v>
      </c>
      <c r="F170" s="20">
        <f ca="1">IFERROR(__xludf.DUMMYFUNCTION("""COMPUTED_VALUE"""),45540.8838945601)</f>
        <v>45540.883894560102</v>
      </c>
      <c r="G170" s="21" t="str">
        <f ca="1">IFERROR(__xludf.DUMMYFUNCTION("""COMPUTED_VALUE"""),"Earl")</f>
        <v>Earl</v>
      </c>
      <c r="H170" s="20" t="str">
        <f ca="1">IFERROR(__xludf.DUMMYFUNCTION("""COMPUTED_VALUE"""),"Bro Gentile")</f>
        <v>Bro Gentile</v>
      </c>
      <c r="I170" s="22" t="str">
        <f ca="1">IFERROR(__xludf.DUMMYFUNCTION("""COMPUTED_VALUE"""),"https://docs.google.com/forms/d/e/1FAIpQLSd37AKX0Ca1Yeje6eC6NuliFZj5Spn7I7mXRsa9kBsXMqB-Ag/viewform?edit2=2_ABaOnue5Kgcgj4eGYLQ9QFeciVAb5GeZ00DWRjPM6w-WRlu1jVIK9mQM_1Org5Ygl-xqX6A")</f>
        <v>https://docs.google.com/forms/d/e/1FAIpQLSd37AKX0Ca1Yeje6eC6NuliFZj5Spn7I7mXRsa9kBsXMqB-Ag/viewform?edit2=2_ABaOnue5Kgcgj4eGYLQ9QFeciVAb5GeZ00DWRjPM6w-WRlu1jVIK9mQM_1Org5Ygl-xqX6A</v>
      </c>
    </row>
    <row r="171" spans="1:9" ht="13.2" x14ac:dyDescent="0.25">
      <c r="A171" s="17" t="str">
        <f ca="1">IFERROR(__xludf.DUMMYFUNCTION("""COMPUTED_VALUE"""),"Callings")</f>
        <v>Callings</v>
      </c>
      <c r="B171" s="18" t="str">
        <f ca="1">IFERROR(__xludf.DUMMYFUNCTION("""COMPUTED_VALUE"""),"Brent Nostrant")</f>
        <v>Brent Nostrant</v>
      </c>
      <c r="C171" s="17" t="str">
        <f ca="1">IFERROR(__xludf.DUMMYFUNCTION("""COMPUTED_VALUE"""),"EQ Presidency - 1st Counselor")</f>
        <v>EQ Presidency - 1st Counselor</v>
      </c>
      <c r="D171" s="17" t="str">
        <f ca="1">IFERROR(__xludf.DUMMYFUNCTION("""COMPUTED_VALUE"""),"St Johns")</f>
        <v>St Johns</v>
      </c>
      <c r="E171" s="19" t="str">
        <f ca="1">IFERROR(__xludf.DUMMYFUNCTION("""COMPUTED_VALUE"""),"Complete")</f>
        <v>Complete</v>
      </c>
      <c r="F171" s="20">
        <f ca="1">IFERROR(__xludf.DUMMYFUNCTION("""COMPUTED_VALUE"""),45540.879447581)</f>
        <v>45540.879447580999</v>
      </c>
      <c r="G171" s="21" t="str">
        <f ca="1">IFERROR(__xludf.DUMMYFUNCTION("""COMPUTED_VALUE"""),"Solomon")</f>
        <v>Solomon</v>
      </c>
      <c r="H171" s="20"/>
      <c r="I171" s="22" t="str">
        <f ca="1">IFERROR(__xludf.DUMMYFUNCTION("""COMPUTED_VALUE"""),"https://docs.google.com/forms/d/e/1FAIpQLSd37AKX0Ca1Yeje6eC6NuliFZj5Spn7I7mXRsa9kBsXMqB-Ag/viewform?edit2=2_ABaOnucfY4ANYvJpeTneEwoVFxI9NeLZ4dYH4bsbxF00gHjHIHt-M5k8eijWHn_iVKeB6E0")</f>
        <v>https://docs.google.com/forms/d/e/1FAIpQLSd37AKX0Ca1Yeje6eC6NuliFZj5Spn7I7mXRsa9kBsXMqB-Ag/viewform?edit2=2_ABaOnucfY4ANYvJpeTneEwoVFxI9NeLZ4dYH4bsbxF00gHjHIHt-M5k8eijWHn_iVKeB6E0</v>
      </c>
    </row>
    <row r="172" spans="1:9" ht="13.2" x14ac:dyDescent="0.25">
      <c r="A172" s="17" t="str">
        <f ca="1">IFERROR(__xludf.DUMMYFUNCTION("""COMPUTED_VALUE"""),"Releasings")</f>
        <v>Releasings</v>
      </c>
      <c r="B172" s="18" t="str">
        <f ca="1">IFERROR(__xludf.DUMMYFUNCTION("""COMPUTED_VALUE"""),"Tom and Stephanie Smith")</f>
        <v>Tom and Stephanie Smith</v>
      </c>
      <c r="C172" s="17" t="str">
        <f ca="1">IFERROR(__xludf.DUMMYFUNCTION("""COMPUTED_VALUE"""),"Stake Single Adult Advisers")</f>
        <v>Stake Single Adult Advisers</v>
      </c>
      <c r="D172" s="17" t="str">
        <f ca="1">IFERROR(__xludf.DUMMYFUNCTION("""COMPUTED_VALUE"""),"St Johns")</f>
        <v>St Johns</v>
      </c>
      <c r="E172" s="19" t="str">
        <f ca="1">IFERROR(__xludf.DUMMYFUNCTION("""COMPUTED_VALUE"""),"Complete")</f>
        <v>Complete</v>
      </c>
      <c r="F172" s="20">
        <f ca="1">IFERROR(__xludf.DUMMYFUNCTION("""COMPUTED_VALUE"""),45540.8527561111)</f>
        <v>45540.852756111097</v>
      </c>
      <c r="G172" s="21" t="str">
        <f ca="1">IFERROR(__xludf.DUMMYFUNCTION("""COMPUTED_VALUE"""),"Solomon")</f>
        <v>Solomon</v>
      </c>
      <c r="H172" s="20" t="str">
        <f ca="1">IFERROR(__xludf.DUMMYFUNCTION("""COMPUTED_VALUE""")," ")</f>
        <v xml:space="preserve"> </v>
      </c>
      <c r="I172" s="22" t="str">
        <f ca="1">IFERROR(__xludf.DUMMYFUNCTION("""COMPUTED_VALUE"""),"https://docs.google.com/forms/d/e/1FAIpQLSeAkkqnSqisXk0g5wDtTZwQpSKdxgBvUG9NhZjoIJxKcGoYyw/viewform?edit2=2_ABaOnucDXLE8BesxyJ1-nK6nHLSbL3JneEyTIVs2C-oq8ZxugubLv8C_70JK7r0EuwFnXDE")</f>
        <v>https://docs.google.com/forms/d/e/1FAIpQLSeAkkqnSqisXk0g5wDtTZwQpSKdxgBvUG9NhZjoIJxKcGoYyw/viewform?edit2=2_ABaOnucDXLE8BesxyJ1-nK6nHLSbL3JneEyTIVs2C-oq8ZxugubLv8C_70JK7r0EuwFnXDE</v>
      </c>
    </row>
    <row r="173" spans="1:9" ht="13.2" x14ac:dyDescent="0.25">
      <c r="A173" s="17" t="str">
        <f ca="1">IFERROR(__xludf.DUMMYFUNCTION("""COMPUTED_VALUE"""),"Callings")</f>
        <v>Callings</v>
      </c>
      <c r="B173" s="18" t="str">
        <f ca="1">IFERROR(__xludf.DUMMYFUNCTION("""COMPUTED_VALUE"""),"Rick Pardee")</f>
        <v>Rick Pardee</v>
      </c>
      <c r="C173" s="17" t="str">
        <f ca="1">IFERROR(__xludf.DUMMYFUNCTION("""COMPUTED_VALUE"""),"EQ Presidency - 1st Counselor")</f>
        <v>EQ Presidency - 1st Counselor</v>
      </c>
      <c r="D173" s="17" t="str">
        <f ca="1">IFERROR(__xludf.DUMMYFUNCTION("""COMPUTED_VALUE"""),"Owosso")</f>
        <v>Owosso</v>
      </c>
      <c r="E173" s="19" t="str">
        <f ca="1">IFERROR(__xludf.DUMMYFUNCTION("""COMPUTED_VALUE"""),"Complete")</f>
        <v>Complete</v>
      </c>
      <c r="F173" s="20">
        <f ca="1">IFERROR(__xludf.DUMMYFUNCTION("""COMPUTED_VALUE"""),45540.7621642592)</f>
        <v>45540.762164259198</v>
      </c>
      <c r="G173" s="21" t="str">
        <f ca="1">IFERROR(__xludf.DUMMYFUNCTION("""COMPUTED_VALUE"""),"Earl")</f>
        <v>Earl</v>
      </c>
      <c r="H173" s="20"/>
      <c r="I173" s="22" t="str">
        <f ca="1">IFERROR(__xludf.DUMMYFUNCTION("""COMPUTED_VALUE"""),"https://docs.google.com/forms/d/e/1FAIpQLSd37AKX0Ca1Yeje6eC6NuliFZj5Spn7I7mXRsa9kBsXMqB-Ag/viewform?edit2=2_ABaOnufYJnJ184fOsmKBtApO2iMFmOkR5pSMNbWqiRwAooao1KJBVEloya0H3PigUrp4NdQ")</f>
        <v>https://docs.google.com/forms/d/e/1FAIpQLSd37AKX0Ca1Yeje6eC6NuliFZj5Spn7I7mXRsa9kBsXMqB-Ag/viewform?edit2=2_ABaOnufYJnJ184fOsmKBtApO2iMFmOkR5pSMNbWqiRwAooao1KJBVEloya0H3PigUrp4NdQ</v>
      </c>
    </row>
    <row r="174" spans="1:9" ht="13.2" x14ac:dyDescent="0.25">
      <c r="A174" s="17" t="str">
        <f ca="1">IFERROR(__xludf.DUMMYFUNCTION("""COMPUTED_VALUE"""),"Callings")</f>
        <v>Callings</v>
      </c>
      <c r="B174" s="18" t="str">
        <f ca="1">IFERROR(__xludf.DUMMYFUNCTION("""COMPUTED_VALUE"""),"Ian McCrary")</f>
        <v>Ian McCrary</v>
      </c>
      <c r="C174" s="17" t="str">
        <f ca="1">IFERROR(__xludf.DUMMYFUNCTION("""COMPUTED_VALUE"""),"Stake High Councilor")</f>
        <v>Stake High Councilor</v>
      </c>
      <c r="D174" s="17" t="str">
        <f ca="1">IFERROR(__xludf.DUMMYFUNCTION("""COMPUTED_VALUE"""),"Lansing")</f>
        <v>Lansing</v>
      </c>
      <c r="E174" s="19" t="str">
        <f ca="1">IFERROR(__xludf.DUMMYFUNCTION("""COMPUTED_VALUE"""),"Complete")</f>
        <v>Complete</v>
      </c>
      <c r="F174" s="20">
        <f ca="1">IFERROR(__xludf.DUMMYFUNCTION("""COMPUTED_VALUE"""),45530.9575506597)</f>
        <v>45530.957550659703</v>
      </c>
      <c r="G174" s="21" t="str">
        <f ca="1">IFERROR(__xludf.DUMMYFUNCTION("""COMPUTED_VALUE"""),"Earl")</f>
        <v>Earl</v>
      </c>
      <c r="H174" s="20" t="str">
        <f ca="1">IFERROR(__xludf.DUMMYFUNCTION("""COMPUTED_VALUE"""),"Bro Swejkoski")</f>
        <v>Bro Swejkoski</v>
      </c>
      <c r="I174" s="22" t="str">
        <f ca="1">IFERROR(__xludf.DUMMYFUNCTION("""COMPUTED_VALUE"""),"https://docs.google.com/forms/d/e/1FAIpQLSd37AKX0Ca1Yeje6eC6NuliFZj5Spn7I7mXRsa9kBsXMqB-Ag/viewform?edit2=2_ABaOnucymvpKJ7dsX0ziERlOSiDZakaPlzk4IG1NNRxN8UM5Kb1wE9vczDjeEPB1-2uPL64")</f>
        <v>https://docs.google.com/forms/d/e/1FAIpQLSd37AKX0Ca1Yeje6eC6NuliFZj5Spn7I7mXRsa9kBsXMqB-Ag/viewform?edit2=2_ABaOnucymvpKJ7dsX0ziERlOSiDZakaPlzk4IG1NNRxN8UM5Kb1wE9vczDjeEPB1-2uPL64</v>
      </c>
    </row>
    <row r="175" spans="1:9" ht="13.2" x14ac:dyDescent="0.25">
      <c r="A175" s="17" t="str">
        <f ca="1">IFERROR(__xludf.DUMMYFUNCTION("""COMPUTED_VALUE"""),"Callings")</f>
        <v>Callings</v>
      </c>
      <c r="B175" s="18" t="str">
        <f ca="1">IFERROR(__xludf.DUMMYFUNCTION("""COMPUTED_VALUE"""),"Joseph Trombley")</f>
        <v>Joseph Trombley</v>
      </c>
      <c r="C175" s="17" t="str">
        <f ca="1">IFERROR(__xludf.DUMMYFUNCTION("""COMPUTED_VALUE"""),"EQ Presidency 1st Counselor")</f>
        <v>EQ Presidency 1st Counselor</v>
      </c>
      <c r="D175" s="17" t="str">
        <f ca="1">IFERROR(__xludf.DUMMYFUNCTION("""COMPUTED_VALUE"""),"Owosso")</f>
        <v>Owosso</v>
      </c>
      <c r="E175" s="19" t="str">
        <f ca="1">IFERROR(__xludf.DUMMYFUNCTION("""COMPUTED_VALUE"""),"Complete")</f>
        <v>Complete</v>
      </c>
      <c r="F175" s="20">
        <f ca="1">IFERROR(__xludf.DUMMYFUNCTION("""COMPUTED_VALUE"""),45530.3687865972)</f>
        <v>45530.368786597202</v>
      </c>
      <c r="G175" s="21" t="str">
        <f ca="1">IFERROR(__xludf.DUMMYFUNCTION("""COMPUTED_VALUE"""),"Earl")</f>
        <v>Earl</v>
      </c>
      <c r="H175" s="20"/>
      <c r="I175" s="22" t="str">
        <f ca="1">IFERROR(__xludf.DUMMYFUNCTION("""COMPUTED_VALUE"""),"https://docs.google.com/forms/d/e/1FAIpQLSd37AKX0Ca1Yeje6eC6NuliFZj5Spn7I7mXRsa9kBsXMqB-Ag/viewform?edit2=2_ABaOnueqpG1HknhaHwAjw_-av_CVSdsL3TqQKrH2fweJ17LsFZ5UkSyJj0yNLkBA1GNuO2Y")</f>
        <v>https://docs.google.com/forms/d/e/1FAIpQLSd37AKX0Ca1Yeje6eC6NuliFZj5Spn7I7mXRsa9kBsXMqB-Ag/viewform?edit2=2_ABaOnueqpG1HknhaHwAjw_-av_CVSdsL3TqQKrH2fweJ17LsFZ5UkSyJj0yNLkBA1GNuO2Y</v>
      </c>
    </row>
    <row r="176" spans="1:9" ht="13.2" x14ac:dyDescent="0.25">
      <c r="A176" s="17" t="str">
        <f ca="1">IFERROR(__xludf.DUMMYFUNCTION("""COMPUTED_VALUE"""),"Callings")</f>
        <v>Callings</v>
      </c>
      <c r="B176" s="18" t="str">
        <f ca="1">IFERROR(__xludf.DUMMYFUNCTION("""COMPUTED_VALUE"""),"Jack Gaskill")</f>
        <v>Jack Gaskill</v>
      </c>
      <c r="C176" s="17" t="str">
        <f ca="1">IFERROR(__xludf.DUMMYFUNCTION("""COMPUTED_VALUE"""),"Charlotte Assistant Branch Clerk")</f>
        <v>Charlotte Assistant Branch Clerk</v>
      </c>
      <c r="D176" s="17" t="str">
        <f ca="1">IFERROR(__xludf.DUMMYFUNCTION("""COMPUTED_VALUE"""),"Charlotte")</f>
        <v>Charlotte</v>
      </c>
      <c r="E176" s="19" t="str">
        <f ca="1">IFERROR(__xludf.DUMMYFUNCTION("""COMPUTED_VALUE"""),"Complete")</f>
        <v>Complete</v>
      </c>
      <c r="F176" s="20">
        <f ca="1">IFERROR(__xludf.DUMMYFUNCTION("""COMPUTED_VALUE"""),45523.3996335416)</f>
        <v>45523.399633541601</v>
      </c>
      <c r="G176" s="21" t="str">
        <f ca="1">IFERROR(__xludf.DUMMYFUNCTION("""COMPUTED_VALUE"""),"Swejkoski")</f>
        <v>Swejkoski</v>
      </c>
      <c r="H176" s="20"/>
      <c r="I176" s="22" t="str">
        <f ca="1">IFERROR(__xludf.DUMMYFUNCTION("""COMPUTED_VALUE"""),"https://docs.google.com/forms/d/e/1FAIpQLSd37AKX0Ca1Yeje6eC6NuliFZj5Spn7I7mXRsa9kBsXMqB-Ag/viewform?edit2=2_ABaOnueQ19kzikZA4On-kY-0hNI3jDPl0vNleeZ2u8MhsZyJ00yDI2OE-UclYh8GGTuJJJY")</f>
        <v>https://docs.google.com/forms/d/e/1FAIpQLSd37AKX0Ca1Yeje6eC6NuliFZj5Spn7I7mXRsa9kBsXMqB-Ag/viewform?edit2=2_ABaOnueQ19kzikZA4On-kY-0hNI3jDPl0vNleeZ2u8MhsZyJ00yDI2OE-UclYh8GGTuJJJY</v>
      </c>
    </row>
    <row r="177" spans="1:9" ht="13.2" x14ac:dyDescent="0.25">
      <c r="A177" s="17" t="str">
        <f ca="1">IFERROR(__xludf.DUMMYFUNCTION("""COMPUTED_VALUE"""),"Ordinations")</f>
        <v>Ordinations</v>
      </c>
      <c r="B177" s="18" t="str">
        <f ca="1">IFERROR(__xludf.DUMMYFUNCTION("""COMPUTED_VALUE"""),"Noah Wood")</f>
        <v>Noah Wood</v>
      </c>
      <c r="C177" s="17" t="str">
        <f ca="1">IFERROR(__xludf.DUMMYFUNCTION("""COMPUTED_VALUE"""),"Elder")</f>
        <v>Elder</v>
      </c>
      <c r="D177" s="17" t="str">
        <f ca="1">IFERROR(__xludf.DUMMYFUNCTION("""COMPUTED_VALUE"""),"Jackson")</f>
        <v>Jackson</v>
      </c>
      <c r="E177" s="19" t="str">
        <f ca="1">IFERROR(__xludf.DUMMYFUNCTION("""COMPUTED_VALUE"""),"Complete")</f>
        <v>Complete</v>
      </c>
      <c r="F177" s="20">
        <f ca="1">IFERROR(__xludf.DUMMYFUNCTION("""COMPUTED_VALUE"""),45522.9630596643)</f>
        <v>45522.963059664296</v>
      </c>
      <c r="G177" s="21" t="str">
        <f ca="1">IFERROR(__xludf.DUMMYFUNCTION("""COMPUTED_VALUE"""),"Coutu")</f>
        <v>Coutu</v>
      </c>
      <c r="H177" s="20" t="str">
        <f ca="1">IFERROR(__xludf.DUMMYFUNCTION("""COMPUTED_VALUE""")," ")</f>
        <v xml:space="preserve"> </v>
      </c>
      <c r="I177" s="22" t="str">
        <f ca="1">IFERROR(__xludf.DUMMYFUNCTION("""COMPUTED_VALUE"""),"https://docs.google.com/forms/u/0/d/e/1FAIpQLScKfK1Xq_AfFRyZkOlyT2n4Ugr8FdePyUxPct4kYLgKJ3YlMQ/viewform?usp=form_confirm&amp;edit2=2_ABaOnudIcQAMwBZ_rW3Arta-6ry8ErhYbg1iMQd2KWFEzv77TIkjhEEPHrLcN7fY7V7eMhI")</f>
        <v>https://docs.google.com/forms/u/0/d/e/1FAIpQLScKfK1Xq_AfFRyZkOlyT2n4Ugr8FdePyUxPct4kYLgKJ3YlMQ/viewform?usp=form_confirm&amp;edit2=2_ABaOnudIcQAMwBZ_rW3Arta-6ry8ErhYbg1iMQd2KWFEzv77TIkjhEEPHrLcN7fY7V7eMhI</v>
      </c>
    </row>
    <row r="178" spans="1:9" ht="13.2" x14ac:dyDescent="0.25">
      <c r="A178" s="17" t="str">
        <f ca="1">IFERROR(__xludf.DUMMYFUNCTION("""COMPUTED_VALUE"""),"Releasings")</f>
        <v>Releasings</v>
      </c>
      <c r="B178" s="18" t="str">
        <f ca="1">IFERROR(__xludf.DUMMYFUNCTION("""COMPUTED_VALUE"""),"Calvin Vos")</f>
        <v>Calvin Vos</v>
      </c>
      <c r="C178" s="17" t="str">
        <f ca="1">IFERROR(__xludf.DUMMYFUNCTION("""COMPUTED_VALUE"""),"Stake Assistant executive secretary")</f>
        <v>Stake Assistant executive secretary</v>
      </c>
      <c r="D178" s="17" t="str">
        <f ca="1">IFERROR(__xludf.DUMMYFUNCTION("""COMPUTED_VALUE"""),"YSA")</f>
        <v>YSA</v>
      </c>
      <c r="E178" s="19" t="str">
        <f ca="1">IFERROR(__xludf.DUMMYFUNCTION("""COMPUTED_VALUE"""),"Complete")</f>
        <v>Complete</v>
      </c>
      <c r="F178" s="20">
        <f ca="1">IFERROR(__xludf.DUMMYFUNCTION("""COMPUTED_VALUE"""),45522.6908227199)</f>
        <v>45522.690822719902</v>
      </c>
      <c r="G178" s="21" t="str">
        <f ca="1">IFERROR(__xludf.DUMMYFUNCTION("""COMPUTED_VALUE"""),"Earl")</f>
        <v>Earl</v>
      </c>
      <c r="H178" s="20" t="str">
        <f ca="1">IFERROR(__xludf.DUMMYFUNCTION("""COMPUTED_VALUE""")," ")</f>
        <v xml:space="preserve"> </v>
      </c>
      <c r="I178" s="22" t="str">
        <f ca="1">IFERROR(__xludf.DUMMYFUNCTION("""COMPUTED_VALUE"""),"https://docs.google.com/forms/d/e/1FAIpQLSeAkkqnSqisXk0g5wDtTZwQpSKdxgBvUG9NhZjoIJxKcGoYyw/viewform?edit2=2_ABaOnudOJsbtijaTcBMou2J7jq3r3_A3864NlvJoUra-fLIQ1Wvouzs7Lo-lzFE4mQeALDE")</f>
        <v>https://docs.google.com/forms/d/e/1FAIpQLSeAkkqnSqisXk0g5wDtTZwQpSKdxgBvUG9NhZjoIJxKcGoYyw/viewform?edit2=2_ABaOnudOJsbtijaTcBMou2J7jq3r3_A3864NlvJoUra-fLIQ1Wvouzs7Lo-lzFE4mQeALDE</v>
      </c>
    </row>
    <row r="179" spans="1:9" ht="13.2" x14ac:dyDescent="0.25">
      <c r="A179" s="17" t="str">
        <f ca="1">IFERROR(__xludf.DUMMYFUNCTION("""COMPUTED_VALUE"""),"Callings")</f>
        <v>Callings</v>
      </c>
      <c r="B179" s="18" t="str">
        <f ca="1">IFERROR(__xludf.DUMMYFUNCTION("""COMPUTED_VALUE"""),"Mark Bell")</f>
        <v>Mark Bell</v>
      </c>
      <c r="C179" s="17" t="str">
        <f ca="1">IFERROR(__xludf.DUMMYFUNCTION("""COMPUTED_VALUE"""),"Stake High Councilor - YM 2nd Counselor")</f>
        <v>Stake High Councilor - YM 2nd Counselor</v>
      </c>
      <c r="D179" s="17" t="str">
        <f ca="1">IFERROR(__xludf.DUMMYFUNCTION("""COMPUTED_VALUE"""),"Holt")</f>
        <v>Holt</v>
      </c>
      <c r="E179" s="19" t="str">
        <f ca="1">IFERROR(__xludf.DUMMYFUNCTION("""COMPUTED_VALUE"""),"Complete")</f>
        <v>Complete</v>
      </c>
      <c r="F179" s="20">
        <f ca="1">IFERROR(__xludf.DUMMYFUNCTION("""COMPUTED_VALUE"""),45522.6230647106)</f>
        <v>45522.623064710599</v>
      </c>
      <c r="G179" s="21" t="str">
        <f ca="1">IFERROR(__xludf.DUMMYFUNCTION("""COMPUTED_VALUE"""),"Pierce")</f>
        <v>Pierce</v>
      </c>
      <c r="H179" s="20" t="str">
        <f ca="1">IFERROR(__xludf.DUMMYFUNCTION("""COMPUTED_VALUE"""),"Bro Swejkoski")</f>
        <v>Bro Swejkoski</v>
      </c>
      <c r="I179" s="22" t="str">
        <f ca="1">IFERROR(__xludf.DUMMYFUNCTION("""COMPUTED_VALUE"""),"https://docs.google.com/forms/d/e/1FAIpQLSd37AKX0Ca1Yeje6eC6NuliFZj5Spn7I7mXRsa9kBsXMqB-Ag/viewform?edit2=2_ABaOnudeoy7bEdo69AhqS9Sp3RVsUd2is9ZwWEW4UM_u3QLmkcOy0NHhMxvjybLmGrlPdCM")</f>
        <v>https://docs.google.com/forms/d/e/1FAIpQLSd37AKX0Ca1Yeje6eC6NuliFZj5Spn7I7mXRsa9kBsXMqB-Ag/viewform?edit2=2_ABaOnudeoy7bEdo69AhqS9Sp3RVsUd2is9ZwWEW4UM_u3QLmkcOy0NHhMxvjybLmGrlPdCM</v>
      </c>
    </row>
    <row r="180" spans="1:9" ht="13.2" x14ac:dyDescent="0.25">
      <c r="A180" s="17" t="str">
        <f ca="1">IFERROR(__xludf.DUMMYFUNCTION("""COMPUTED_VALUE"""),"Callings")</f>
        <v>Callings</v>
      </c>
      <c r="B180" s="18" t="str">
        <f ca="1">IFERROR(__xludf.DUMMYFUNCTION("""COMPUTED_VALUE"""),"Ken Bills")</f>
        <v>Ken Bills</v>
      </c>
      <c r="C180" s="17" t="str">
        <f ca="1">IFERROR(__xludf.DUMMYFUNCTION("""COMPUTED_VALUE"""),"Stake High Councilor")</f>
        <v>Stake High Councilor</v>
      </c>
      <c r="D180" s="17" t="str">
        <f ca="1">IFERROR(__xludf.DUMMYFUNCTION("""COMPUTED_VALUE"""),"Williamston")</f>
        <v>Williamston</v>
      </c>
      <c r="E180" s="19" t="str">
        <f ca="1">IFERROR(__xludf.DUMMYFUNCTION("""COMPUTED_VALUE"""),"Complete")</f>
        <v>Complete</v>
      </c>
      <c r="F180" s="20">
        <f ca="1">IFERROR(__xludf.DUMMYFUNCTION("""COMPUTED_VALUE"""),45522.619175625)</f>
        <v>45522.619175624997</v>
      </c>
      <c r="G180" s="21" t="str">
        <f ca="1">IFERROR(__xludf.DUMMYFUNCTION("""COMPUTED_VALUE"""),"Earl")</f>
        <v>Earl</v>
      </c>
      <c r="H180" s="20" t="str">
        <f ca="1">IFERROR(__xludf.DUMMYFUNCTION("""COMPUTED_VALUE"""),"Bro Swejkoski")</f>
        <v>Bro Swejkoski</v>
      </c>
      <c r="I180" s="22" t="str">
        <f ca="1">IFERROR(__xludf.DUMMYFUNCTION("""COMPUTED_VALUE"""),"https://docs.google.com/forms/d/e/1FAIpQLSd37AKX0Ca1Yeje6eC6NuliFZj5Spn7I7mXRsa9kBsXMqB-Ag/viewform?edit2=2_ABaOnudEnQJ64MdsAInJZSm9gT7kRJsI_jwn0MZlcOrNaEs_qyqskUOjye-Vro9Z3oCMFMQ")</f>
        <v>https://docs.google.com/forms/d/e/1FAIpQLSd37AKX0Ca1Yeje6eC6NuliFZj5Spn7I7mXRsa9kBsXMqB-Ag/viewform?edit2=2_ABaOnudEnQJ64MdsAInJZSm9gT7kRJsI_jwn0MZlcOrNaEs_qyqskUOjye-Vro9Z3oCMFMQ</v>
      </c>
    </row>
    <row r="181" spans="1:9" ht="13.2" x14ac:dyDescent="0.25">
      <c r="A181" s="17" t="str">
        <f ca="1">IFERROR(__xludf.DUMMYFUNCTION("""COMPUTED_VALUE"""),"Releasings")</f>
        <v>Releasings</v>
      </c>
      <c r="B181" s="18" t="str">
        <f ca="1">IFERROR(__xludf.DUMMYFUNCTION("""COMPUTED_VALUE"""),"Ethan Fletcher")</f>
        <v>Ethan Fletcher</v>
      </c>
      <c r="C181" s="17" t="str">
        <f ca="1">IFERROR(__xludf.DUMMYFUNCTION("""COMPUTED_VALUE"""),"YSA EQ Presidency 2nd Counselor")</f>
        <v>YSA EQ Presidency 2nd Counselor</v>
      </c>
      <c r="D181" s="17" t="str">
        <f ca="1">IFERROR(__xludf.DUMMYFUNCTION("""COMPUTED_VALUE"""),"YSA")</f>
        <v>YSA</v>
      </c>
      <c r="E181" s="19" t="str">
        <f ca="1">IFERROR(__xludf.DUMMYFUNCTION("""COMPUTED_VALUE"""),"Complete")</f>
        <v>Complete</v>
      </c>
      <c r="F181" s="20">
        <f ca="1">IFERROR(__xludf.DUMMYFUNCTION("""COMPUTED_VALUE"""),45522.6170224189)</f>
        <v>45522.617022418897</v>
      </c>
      <c r="G181" s="21" t="str">
        <f ca="1">IFERROR(__xludf.DUMMYFUNCTION("""COMPUTED_VALUE"""),"Rinner")</f>
        <v>Rinner</v>
      </c>
      <c r="H181" s="20" t="str">
        <f ca="1">IFERROR(__xludf.DUMMYFUNCTION("""COMPUTED_VALUE""")," ")</f>
        <v xml:space="preserve"> </v>
      </c>
      <c r="I181" s="22" t="str">
        <f ca="1">IFERROR(__xludf.DUMMYFUNCTION("""COMPUTED_VALUE"""),"https://docs.google.com/forms/d/e/1FAIpQLSeAkkqnSqisXk0g5wDtTZwQpSKdxgBvUG9NhZjoIJxKcGoYyw/viewform?edit2=2_ABaOnuc-EvC9gubjMkNDG4efP0NWBzNThWKFe59_KMxTdhxzfuQYAm8XU2PPjZ6y0Qc_kKc")</f>
        <v>https://docs.google.com/forms/d/e/1FAIpQLSeAkkqnSqisXk0g5wDtTZwQpSKdxgBvUG9NhZjoIJxKcGoYyw/viewform?edit2=2_ABaOnuc-EvC9gubjMkNDG4efP0NWBzNThWKFe59_KMxTdhxzfuQYAm8XU2PPjZ6y0Qc_kKc</v>
      </c>
    </row>
    <row r="182" spans="1:9" ht="13.2" x14ac:dyDescent="0.25">
      <c r="A182" s="17" t="str">
        <f ca="1">IFERROR(__xludf.DUMMYFUNCTION("""COMPUTED_VALUE"""),"Callings")</f>
        <v>Callings</v>
      </c>
      <c r="B182" s="18" t="str">
        <f ca="1">IFERROR(__xludf.DUMMYFUNCTION("""COMPUTED_VALUE"""),"Harrison Douglas")</f>
        <v>Harrison Douglas</v>
      </c>
      <c r="C182" s="17" t="str">
        <f ca="1">IFERROR(__xludf.DUMMYFUNCTION("""COMPUTED_VALUE"""),"Ward Executive Secretary")</f>
        <v>Ward Executive Secretary</v>
      </c>
      <c r="D182" s="17" t="str">
        <f ca="1">IFERROR(__xludf.DUMMYFUNCTION("""COMPUTED_VALUE"""),"YSA")</f>
        <v>YSA</v>
      </c>
      <c r="E182" s="19" t="str">
        <f ca="1">IFERROR(__xludf.DUMMYFUNCTION("""COMPUTED_VALUE"""),"Complete")</f>
        <v>Complete</v>
      </c>
      <c r="F182" s="20">
        <f ca="1">IFERROR(__xludf.DUMMYFUNCTION("""COMPUTED_VALUE"""),45494.9456799652)</f>
        <v>45494.945679965203</v>
      </c>
      <c r="G182" s="21" t="str">
        <f ca="1">IFERROR(__xludf.DUMMYFUNCTION("""COMPUTED_VALUE"""),"Rinner")</f>
        <v>Rinner</v>
      </c>
      <c r="H182" s="20" t="str">
        <f ca="1">IFERROR(__xludf.DUMMYFUNCTION("""COMPUTED_VALUE"""),"Chris Hilgendorf")</f>
        <v>Chris Hilgendorf</v>
      </c>
      <c r="I182" s="22" t="str">
        <f ca="1">IFERROR(__xludf.DUMMYFUNCTION("""COMPUTED_VALUE"""),"https://docs.google.com/forms/d/e/1FAIpQLSd37AKX0Ca1Yeje6eC6NuliFZj5Spn7I7mXRsa9kBsXMqB-Ag/viewform?edit2=2_ABaOnuepEXsuxZEmNBaYJVFHn0RDMrQZAYnw53yNE_teIT6rqYysAXrp0qCv_1evEfwZRE8")</f>
        <v>https://docs.google.com/forms/d/e/1FAIpQLSd37AKX0Ca1Yeje6eC6NuliFZj5Spn7I7mXRsa9kBsXMqB-Ag/viewform?edit2=2_ABaOnuepEXsuxZEmNBaYJVFHn0RDMrQZAYnw53yNE_teIT6rqYysAXrp0qCv_1evEfwZRE8</v>
      </c>
    </row>
    <row r="183" spans="1:9" ht="13.2" x14ac:dyDescent="0.25">
      <c r="A183" s="17" t="str">
        <f ca="1">IFERROR(__xludf.DUMMYFUNCTION("""COMPUTED_VALUE"""),"Releasings")</f>
        <v>Releasings</v>
      </c>
      <c r="B183" s="18" t="str">
        <f ca="1">IFERROR(__xludf.DUMMYFUNCTION("""COMPUTED_VALUE"""),"Fred Stephens")</f>
        <v>Fred Stephens</v>
      </c>
      <c r="C183" s="17" t="str">
        <f ca="1">IFERROR(__xludf.DUMMYFUNCTION("""COMPUTED_VALUE"""),"Stake Technology Specialist")</f>
        <v>Stake Technology Specialist</v>
      </c>
      <c r="D183" s="17" t="str">
        <f ca="1">IFERROR(__xludf.DUMMYFUNCTION("""COMPUTED_VALUE"""),"Lansing")</f>
        <v>Lansing</v>
      </c>
      <c r="E183" s="19" t="str">
        <f ca="1">IFERROR(__xludf.DUMMYFUNCTION("""COMPUTED_VALUE"""),"Complete")</f>
        <v>Complete</v>
      </c>
      <c r="F183" s="20">
        <f ca="1">IFERROR(__xludf.DUMMYFUNCTION("""COMPUTED_VALUE"""),45494.585411655)</f>
        <v>45494.585411655004</v>
      </c>
      <c r="G183" s="21" t="str">
        <f ca="1">IFERROR(__xludf.DUMMYFUNCTION("""COMPUTED_VALUE"""),"Ferrin")</f>
        <v>Ferrin</v>
      </c>
      <c r="H183" s="20" t="str">
        <f ca="1">IFERROR(__xludf.DUMMYFUNCTION("""COMPUTED_VALUE""")," ")</f>
        <v xml:space="preserve"> </v>
      </c>
      <c r="I183" s="22" t="str">
        <f ca="1">IFERROR(__xludf.DUMMYFUNCTION("""COMPUTED_VALUE"""),"https://docs.google.com/forms/u/0/d/e/1FAIpQLSeAkkqnSqisXk0g5wDtTZwQpSKdxgBvUG9NhZjoIJxKcGoYyw/formResponse")</f>
        <v>https://docs.google.com/forms/u/0/d/e/1FAIpQLSeAkkqnSqisXk0g5wDtTZwQpSKdxgBvUG9NhZjoIJxKcGoYyw/formResponse</v>
      </c>
    </row>
    <row r="184" spans="1:9" ht="13.2" x14ac:dyDescent="0.25">
      <c r="A184" s="17" t="str">
        <f ca="1">IFERROR(__xludf.DUMMYFUNCTION("""COMPUTED_VALUE"""),"Releasings")</f>
        <v>Releasings</v>
      </c>
      <c r="B184" s="18" t="str">
        <f ca="1">IFERROR(__xludf.DUMMYFUNCTION("""COMPUTED_VALUE"""),"David Hall")</f>
        <v>David Hall</v>
      </c>
      <c r="C184" s="17" t="str">
        <f ca="1">IFERROR(__xludf.DUMMYFUNCTION("""COMPUTED_VALUE"""),"Stake High Council")</f>
        <v>Stake High Council</v>
      </c>
      <c r="D184" s="17" t="str">
        <f ca="1">IFERROR(__xludf.DUMMYFUNCTION("""COMPUTED_VALUE"""),"Williamston")</f>
        <v>Williamston</v>
      </c>
      <c r="E184" s="19" t="str">
        <f ca="1">IFERROR(__xludf.DUMMYFUNCTION("""COMPUTED_VALUE"""),"Complete")</f>
        <v>Complete</v>
      </c>
      <c r="F184" s="20">
        <f ca="1">IFERROR(__xludf.DUMMYFUNCTION("""COMPUTED_VALUE"""),45491.7701178935)</f>
        <v>45491.770117893502</v>
      </c>
      <c r="G184" s="21" t="str">
        <f ca="1">IFERROR(__xludf.DUMMYFUNCTION("""COMPUTED_VALUE"""),"Pierce")</f>
        <v>Pierce</v>
      </c>
      <c r="H184" s="20" t="str">
        <f ca="1">IFERROR(__xludf.DUMMYFUNCTION("""COMPUTED_VALUE""")," ")</f>
        <v xml:space="preserve"> </v>
      </c>
      <c r="I184" s="22" t="str">
        <f ca="1">IFERROR(__xludf.DUMMYFUNCTION("""COMPUTED_VALUE"""),"https://docs.google.com/forms/u/0/d/e/1FAIpQLSeAkkqnSqisXk0g5wDtTZwQpSKdxgBvUG9NhZjoIJxKcGoYyw/formResponse")</f>
        <v>https://docs.google.com/forms/u/0/d/e/1FAIpQLSeAkkqnSqisXk0g5wDtTZwQpSKdxgBvUG9NhZjoIJxKcGoYyw/formResponse</v>
      </c>
    </row>
    <row r="185" spans="1:9" ht="13.2" x14ac:dyDescent="0.25">
      <c r="A185" s="17" t="str">
        <f ca="1">IFERROR(__xludf.DUMMYFUNCTION("""COMPUTED_VALUE"""),"Callings")</f>
        <v>Callings</v>
      </c>
      <c r="B185" s="18" t="str">
        <f ca="1">IFERROR(__xludf.DUMMYFUNCTION("""COMPUTED_VALUE"""),"Don Ward")</f>
        <v>Don Ward</v>
      </c>
      <c r="C185" s="17" t="str">
        <f ca="1">IFERROR(__xludf.DUMMYFUNCTION("""COMPUTED_VALUE"""),"Asst. Stake Clerk - Finance")</f>
        <v>Asst. Stake Clerk - Finance</v>
      </c>
      <c r="D185" s="17" t="str">
        <f ca="1">IFERROR(__xludf.DUMMYFUNCTION("""COMPUTED_VALUE"""),"Williamston")</f>
        <v>Williamston</v>
      </c>
      <c r="E185" s="19" t="str">
        <f ca="1">IFERROR(__xludf.DUMMYFUNCTION("""COMPUTED_VALUE"""),"Complete")</f>
        <v>Complete</v>
      </c>
      <c r="F185" s="20">
        <f ca="1">IFERROR(__xludf.DUMMYFUNCTION("""COMPUTED_VALUE"""),45481.365613912)</f>
        <v>45481.365613911999</v>
      </c>
      <c r="G185" s="21" t="str">
        <f ca="1">IFERROR(__xludf.DUMMYFUNCTION("""COMPUTED_VALUE"""),"Earl")</f>
        <v>Earl</v>
      </c>
      <c r="H185" s="20" t="str">
        <f ca="1">IFERROR(__xludf.DUMMYFUNCTION("""COMPUTED_VALUE"""),"Doug Neil")</f>
        <v>Doug Neil</v>
      </c>
      <c r="I185" s="22" t="str">
        <f ca="1">IFERROR(__xludf.DUMMYFUNCTION("""COMPUTED_VALUE"""),"https://docs.google.com/forms/d/e/1FAIpQLSd37AKX0Ca1Yeje6eC6NuliFZj5Spn7I7mXRsa9kBsXMqB-Ag/viewform?edit2=2_ABaOnuebN9kRLUqeFs3rC4vYlW2GVScmCWeiOC68iTbheEkMb7XiMUzlEBEz46qIxCW0jP0")</f>
        <v>https://docs.google.com/forms/d/e/1FAIpQLSd37AKX0Ca1Yeje6eC6NuliFZj5Spn7I7mXRsa9kBsXMqB-Ag/viewform?edit2=2_ABaOnuebN9kRLUqeFs3rC4vYlW2GVScmCWeiOC68iTbheEkMb7XiMUzlEBEz46qIxCW0jP0</v>
      </c>
    </row>
    <row r="186" spans="1:9" ht="13.2" x14ac:dyDescent="0.25">
      <c r="A186" s="17" t="str">
        <f ca="1">IFERROR(__xludf.DUMMYFUNCTION("""COMPUTED_VALUE"""),"Callings")</f>
        <v>Callings</v>
      </c>
      <c r="B186" s="18" t="str">
        <f ca="1">IFERROR(__xludf.DUMMYFUNCTION("""COMPUTED_VALUE"""),"Chris Hilgendorf")</f>
        <v>Chris Hilgendorf</v>
      </c>
      <c r="C186" s="17" t="str">
        <f ca="1">IFERROR(__xludf.DUMMYFUNCTION("""COMPUTED_VALUE"""),"Stake Executive Secretary")</f>
        <v>Stake Executive Secretary</v>
      </c>
      <c r="D186" s="17" t="str">
        <f ca="1">IFERROR(__xludf.DUMMYFUNCTION("""COMPUTED_VALUE"""),"Williamston")</f>
        <v>Williamston</v>
      </c>
      <c r="E186" s="19" t="str">
        <f ca="1">IFERROR(__xludf.DUMMYFUNCTION("""COMPUTED_VALUE"""),"Complete")</f>
        <v>Complete</v>
      </c>
      <c r="F186" s="20">
        <f ca="1">IFERROR(__xludf.DUMMYFUNCTION("""COMPUTED_VALUE"""),45480.9039156713)</f>
        <v>45480.903915671297</v>
      </c>
      <c r="G186" s="21" t="str">
        <f ca="1">IFERROR(__xludf.DUMMYFUNCTION("""COMPUTED_VALUE"""),"Rawson")</f>
        <v>Rawson</v>
      </c>
      <c r="H186" s="20" t="str">
        <f ca="1">IFERROR(__xludf.DUMMYFUNCTION("""COMPUTED_VALUE"""),"Allen Scheck")</f>
        <v>Allen Scheck</v>
      </c>
      <c r="I186" s="22" t="str">
        <f ca="1">IFERROR(__xludf.DUMMYFUNCTION("""COMPUTED_VALUE"""),"https://docs.google.com/forms/u/0/d/e/1FAIpQLSd37AKX0Ca1Yeje6eC6NuliFZj5Spn7I7mXRsa9kBsXMqB-Ag/viewform?usp=form_confirm&amp;edit2=2_ABaOnudDP-ZfNskiCwSfjEttDxpMckUejW6cpZizP2HkIA2_as-QJAX8aQ9F5GZXmXoYMug")</f>
        <v>https://docs.google.com/forms/u/0/d/e/1FAIpQLSd37AKX0Ca1Yeje6eC6NuliFZj5Spn7I7mXRsa9kBsXMqB-Ag/viewform?usp=form_confirm&amp;edit2=2_ABaOnudDP-ZfNskiCwSfjEttDxpMckUejW6cpZizP2HkIA2_as-QJAX8aQ9F5GZXmXoYMug</v>
      </c>
    </row>
    <row r="187" spans="1:9" ht="13.2" x14ac:dyDescent="0.25">
      <c r="A187" s="17" t="str">
        <f ca="1">IFERROR(__xludf.DUMMYFUNCTION("""COMPUTED_VALUE"""),"Ordinations")</f>
        <v>Ordinations</v>
      </c>
      <c r="B187" s="18" t="str">
        <f ca="1">IFERROR(__xludf.DUMMYFUNCTION("""COMPUTED_VALUE"""),"Mason Zachary Lewis")</f>
        <v>Mason Zachary Lewis</v>
      </c>
      <c r="C187" s="17" t="str">
        <f ca="1">IFERROR(__xludf.DUMMYFUNCTION("""COMPUTED_VALUE"""),"Elder")</f>
        <v>Elder</v>
      </c>
      <c r="D187" s="17" t="str">
        <f ca="1">IFERROR(__xludf.DUMMYFUNCTION("""COMPUTED_VALUE"""),"Jackson")</f>
        <v>Jackson</v>
      </c>
      <c r="E187" s="19" t="str">
        <f ca="1">IFERROR(__xludf.DUMMYFUNCTION("""COMPUTED_VALUE"""),"Complete")</f>
        <v>Complete</v>
      </c>
      <c r="F187" s="20">
        <f ca="1">IFERROR(__xludf.DUMMYFUNCTION("""COMPUTED_VALUE"""),45473.6597016319)</f>
        <v>45473.659701631899</v>
      </c>
      <c r="G187" s="21" t="str">
        <f ca="1">IFERROR(__xludf.DUMMYFUNCTION("""COMPUTED_VALUE"""),"Coutu")</f>
        <v>Coutu</v>
      </c>
      <c r="H187" s="20" t="str">
        <f ca="1">IFERROR(__xludf.DUMMYFUNCTION("""COMPUTED_VALUE""")," ")</f>
        <v xml:space="preserve"> </v>
      </c>
      <c r="I187" s="22" t="str">
        <f ca="1">IFERROR(__xludf.DUMMYFUNCTION("""COMPUTED_VALUE"""),"https://docs.google.com/forms/d/e/1FAIpQLScKfK1Xq_AfFRyZkOlyT2n4Ugr8FdePyUxPct4kYLgKJ3YlMQ/viewform?edit2=2_ABaOnufH4GxkII0IFS3w7rZ-6_L8_UkUAz9k8A-lVv0Mpf9U0OtoIO8zCZrUlfWvzilXHFw")</f>
        <v>https://docs.google.com/forms/d/e/1FAIpQLScKfK1Xq_AfFRyZkOlyT2n4Ugr8FdePyUxPct4kYLgKJ3YlMQ/viewform?edit2=2_ABaOnufH4GxkII0IFS3w7rZ-6_L8_UkUAz9k8A-lVv0Mpf9U0OtoIO8zCZrUlfWvzilXHFw</v>
      </c>
    </row>
    <row r="188" spans="1:9" ht="13.2" x14ac:dyDescent="0.25">
      <c r="A188" s="17" t="str">
        <f ca="1">IFERROR(__xludf.DUMMYFUNCTION("""COMPUTED_VALUE"""),"Ordinations")</f>
        <v>Ordinations</v>
      </c>
      <c r="B188" s="18" t="str">
        <f ca="1">IFERROR(__xludf.DUMMYFUNCTION("""COMPUTED_VALUE"""),"Mark Bell")</f>
        <v>Mark Bell</v>
      </c>
      <c r="C188" s="17" t="str">
        <f ca="1">IFERROR(__xludf.DUMMYFUNCTION("""COMPUTED_VALUE"""),"High Priest")</f>
        <v>High Priest</v>
      </c>
      <c r="D188" s="17" t="str">
        <f ca="1">IFERROR(__xludf.DUMMYFUNCTION("""COMPUTED_VALUE"""),"Holt")</f>
        <v>Holt</v>
      </c>
      <c r="E188" s="19" t="str">
        <f ca="1">IFERROR(__xludf.DUMMYFUNCTION("""COMPUTED_VALUE"""),"Complete")</f>
        <v>Complete</v>
      </c>
      <c r="F188" s="20">
        <f ca="1">IFERROR(__xludf.DUMMYFUNCTION("""COMPUTED_VALUE"""),45473.6590496527)</f>
        <v>45473.659049652699</v>
      </c>
      <c r="G188" s="21" t="str">
        <f ca="1">IFERROR(__xludf.DUMMYFUNCTION("""COMPUTED_VALUE"""),"Pierce")</f>
        <v>Pierce</v>
      </c>
      <c r="H188" s="20" t="str">
        <f ca="1">IFERROR(__xludf.DUMMYFUNCTION("""COMPUTED_VALUE""")," ")</f>
        <v xml:space="preserve"> </v>
      </c>
      <c r="I188" s="22" t="str">
        <f ca="1">IFERROR(__xludf.DUMMYFUNCTION("""COMPUTED_VALUE"""),"https://docs.google.com/forms/d/e/1FAIpQLScKfK1Xq_AfFRyZkOlyT2n4Ugr8FdePyUxPct4kYLgKJ3YlMQ/viewform?edit2=2_ABaOnue6n8eZLjQiLHZFVN-j77UIEqAX21Z9cAuKTpVbvbBce-IZ_-e9V7BmbmOGmH3SBes")</f>
        <v>https://docs.google.com/forms/d/e/1FAIpQLScKfK1Xq_AfFRyZkOlyT2n4Ugr8FdePyUxPct4kYLgKJ3YlMQ/viewform?edit2=2_ABaOnue6n8eZLjQiLHZFVN-j77UIEqAX21Z9cAuKTpVbvbBce-IZ_-e9V7BmbmOGmH3SBes</v>
      </c>
    </row>
    <row r="189" spans="1:9" ht="13.2" x14ac:dyDescent="0.25">
      <c r="A189" s="17" t="str">
        <f ca="1">IFERROR(__xludf.DUMMYFUNCTION("""COMPUTED_VALUE"""),"Ordinations")</f>
        <v>Ordinations</v>
      </c>
      <c r="B189" s="18" t="str">
        <f ca="1">IFERROR(__xludf.DUMMYFUNCTION("""COMPUTED_VALUE"""),"Elliott Renin Earl")</f>
        <v>Elliott Renin Earl</v>
      </c>
      <c r="C189" s="17" t="str">
        <f ca="1">IFERROR(__xludf.DUMMYFUNCTION("""COMPUTED_VALUE"""),"Elder")</f>
        <v>Elder</v>
      </c>
      <c r="D189" s="17" t="str">
        <f ca="1">IFERROR(__xludf.DUMMYFUNCTION("""COMPUTED_VALUE"""),"St Johns")</f>
        <v>St Johns</v>
      </c>
      <c r="E189" s="19" t="str">
        <f ca="1">IFERROR(__xludf.DUMMYFUNCTION("""COMPUTED_VALUE"""),"Complete")</f>
        <v>Complete</v>
      </c>
      <c r="F189" s="20">
        <f ca="1">IFERROR(__xludf.DUMMYFUNCTION("""COMPUTED_VALUE"""),45473.6568462268)</f>
        <v>45473.656846226797</v>
      </c>
      <c r="G189" s="21" t="str">
        <f ca="1">IFERROR(__xludf.DUMMYFUNCTION("""COMPUTED_VALUE"""),"Earl")</f>
        <v>Earl</v>
      </c>
      <c r="H189" s="20" t="str">
        <f ca="1">IFERROR(__xludf.DUMMYFUNCTION("""COMPUTED_VALUE""")," ")</f>
        <v xml:space="preserve"> </v>
      </c>
      <c r="I189" s="22" t="str">
        <f ca="1">IFERROR(__xludf.DUMMYFUNCTION("""COMPUTED_VALUE"""),"https://docs.google.com/forms/u/0/d/e/1FAIpQLScKfK1Xq_AfFRyZkOlyT2n4Ugr8FdePyUxPct4kYLgKJ3YlMQ/viewform?usp=form_confirm&amp;edit2=2_ABaOnue4-bKV6Dn-BqpIg6DEA3le4oslWbXeV5t7VvmtpYh9fW2YhiQ-On2oe4v3PMh2bAo")</f>
        <v>https://docs.google.com/forms/u/0/d/e/1FAIpQLScKfK1Xq_AfFRyZkOlyT2n4Ugr8FdePyUxPct4kYLgKJ3YlMQ/viewform?usp=form_confirm&amp;edit2=2_ABaOnue4-bKV6Dn-BqpIg6DEA3le4oslWbXeV5t7VvmtpYh9fW2YhiQ-On2oe4v3PMh2bAo</v>
      </c>
    </row>
    <row r="190" spans="1:9" ht="13.2" x14ac:dyDescent="0.25">
      <c r="B190" s="18"/>
      <c r="E190" s="19"/>
      <c r="F190" s="20"/>
      <c r="G190" s="21"/>
      <c r="H190" s="20"/>
      <c r="I190" s="23"/>
    </row>
    <row r="191" spans="1:9" ht="13.2" x14ac:dyDescent="0.25">
      <c r="B191" s="18"/>
      <c r="E191" s="19"/>
      <c r="F191" s="20"/>
      <c r="G191" s="21"/>
      <c r="H191" s="20"/>
      <c r="I191" s="23"/>
    </row>
    <row r="192" spans="1:9" ht="13.2" x14ac:dyDescent="0.25">
      <c r="B192" s="18"/>
      <c r="E192" s="19"/>
      <c r="F192" s="20"/>
      <c r="G192" s="21"/>
      <c r="H192" s="20"/>
      <c r="I192" s="23"/>
    </row>
    <row r="193" spans="2:9" ht="13.2" x14ac:dyDescent="0.25">
      <c r="B193" s="18"/>
      <c r="E193" s="19"/>
      <c r="F193" s="20"/>
      <c r="G193" s="21"/>
      <c r="H193" s="20"/>
      <c r="I193" s="23"/>
    </row>
    <row r="194" spans="2:9" ht="13.2" x14ac:dyDescent="0.25">
      <c r="B194" s="18"/>
      <c r="E194" s="19"/>
      <c r="F194" s="20"/>
      <c r="G194" s="21"/>
      <c r="H194" s="20"/>
      <c r="I194" s="23"/>
    </row>
    <row r="195" spans="2:9" ht="13.2" x14ac:dyDescent="0.25">
      <c r="B195" s="18"/>
      <c r="E195" s="19"/>
      <c r="F195" s="20"/>
      <c r="G195" s="21"/>
      <c r="H195" s="20"/>
      <c r="I195" s="23"/>
    </row>
    <row r="196" spans="2:9" ht="13.2" x14ac:dyDescent="0.25">
      <c r="B196" s="18"/>
      <c r="E196" s="19"/>
      <c r="F196" s="20"/>
      <c r="G196" s="21"/>
      <c r="H196" s="20"/>
      <c r="I196" s="23"/>
    </row>
    <row r="197" spans="2:9" ht="13.2" x14ac:dyDescent="0.25">
      <c r="B197" s="18"/>
      <c r="E197" s="19"/>
      <c r="F197" s="20"/>
      <c r="G197" s="21"/>
      <c r="H197" s="20"/>
      <c r="I197" s="23"/>
    </row>
    <row r="198" spans="2:9" ht="13.2" x14ac:dyDescent="0.25">
      <c r="B198" s="18"/>
      <c r="E198" s="19"/>
      <c r="F198" s="20"/>
      <c r="G198" s="21"/>
      <c r="H198" s="20"/>
      <c r="I198" s="23"/>
    </row>
    <row r="199" spans="2:9" ht="13.2" x14ac:dyDescent="0.25">
      <c r="B199" s="18"/>
      <c r="E199" s="19"/>
      <c r="F199" s="20"/>
      <c r="G199" s="21"/>
      <c r="H199" s="20"/>
      <c r="I199" s="23"/>
    </row>
    <row r="200" spans="2:9" ht="13.2" x14ac:dyDescent="0.25">
      <c r="B200" s="18"/>
      <c r="E200" s="19"/>
      <c r="F200" s="20"/>
      <c r="G200" s="21"/>
      <c r="H200" s="20"/>
      <c r="I200" s="23"/>
    </row>
    <row r="201" spans="2:9" ht="13.2" x14ac:dyDescent="0.25">
      <c r="B201" s="18"/>
      <c r="E201" s="19"/>
      <c r="F201" s="20"/>
      <c r="G201" s="21"/>
      <c r="H201" s="20"/>
      <c r="I201" s="23"/>
    </row>
    <row r="202" spans="2:9" ht="13.2" x14ac:dyDescent="0.25">
      <c r="B202" s="18"/>
      <c r="E202" s="19"/>
      <c r="F202" s="20"/>
      <c r="G202" s="21"/>
      <c r="H202" s="20"/>
      <c r="I202" s="23"/>
    </row>
    <row r="203" spans="2:9" ht="13.2" x14ac:dyDescent="0.25">
      <c r="B203" s="18"/>
      <c r="E203" s="19"/>
      <c r="F203" s="20"/>
      <c r="G203" s="21"/>
      <c r="H203" s="20"/>
      <c r="I203" s="23"/>
    </row>
    <row r="204" spans="2:9" ht="13.2" x14ac:dyDescent="0.25">
      <c r="B204" s="18"/>
      <c r="E204" s="19"/>
      <c r="F204" s="20"/>
      <c r="G204" s="21"/>
      <c r="H204" s="20"/>
      <c r="I204" s="23"/>
    </row>
    <row r="205" spans="2:9" ht="13.2" x14ac:dyDescent="0.25">
      <c r="B205" s="18"/>
      <c r="E205" s="19"/>
      <c r="F205" s="20"/>
      <c r="G205" s="21"/>
      <c r="H205" s="20"/>
      <c r="I205" s="23"/>
    </row>
    <row r="206" spans="2:9" ht="13.2" x14ac:dyDescent="0.25">
      <c r="B206" s="18"/>
      <c r="E206" s="19"/>
      <c r="F206" s="20"/>
      <c r="G206" s="21"/>
      <c r="H206" s="20"/>
      <c r="I206" s="23"/>
    </row>
    <row r="207" spans="2:9" ht="13.2" x14ac:dyDescent="0.25">
      <c r="B207" s="18"/>
      <c r="E207" s="19"/>
      <c r="F207" s="20"/>
      <c r="G207" s="21"/>
      <c r="H207" s="20"/>
      <c r="I207" s="23"/>
    </row>
    <row r="208" spans="2:9" ht="13.2" x14ac:dyDescent="0.25">
      <c r="B208" s="18"/>
      <c r="E208" s="19"/>
      <c r="F208" s="20"/>
      <c r="G208" s="21"/>
      <c r="H208" s="20"/>
      <c r="I208" s="23"/>
    </row>
    <row r="209" spans="2:9" ht="13.2" x14ac:dyDescent="0.25">
      <c r="B209" s="18"/>
      <c r="E209" s="19"/>
      <c r="F209" s="20"/>
      <c r="G209" s="21"/>
      <c r="H209" s="20"/>
      <c r="I209" s="23"/>
    </row>
    <row r="210" spans="2:9" ht="13.2" x14ac:dyDescent="0.25">
      <c r="B210" s="18"/>
      <c r="E210" s="19"/>
      <c r="F210" s="20"/>
      <c r="G210" s="21"/>
      <c r="H210" s="20"/>
      <c r="I210" s="23"/>
    </row>
    <row r="211" spans="2:9" ht="13.2" x14ac:dyDescent="0.25">
      <c r="B211" s="18"/>
      <c r="E211" s="19"/>
      <c r="F211" s="20"/>
      <c r="G211" s="21"/>
      <c r="H211" s="20"/>
      <c r="I211" s="23"/>
    </row>
    <row r="212" spans="2:9" ht="13.2" x14ac:dyDescent="0.25">
      <c r="B212" s="18"/>
      <c r="E212" s="19"/>
      <c r="F212" s="20"/>
      <c r="G212" s="21"/>
      <c r="H212" s="20"/>
      <c r="I212" s="23"/>
    </row>
    <row r="213" spans="2:9" ht="13.2" x14ac:dyDescent="0.25">
      <c r="B213" s="18"/>
      <c r="E213" s="19"/>
      <c r="F213" s="20"/>
      <c r="G213" s="21"/>
      <c r="H213" s="20"/>
      <c r="I213" s="23"/>
    </row>
    <row r="214" spans="2:9" ht="13.2" x14ac:dyDescent="0.25">
      <c r="B214" s="18"/>
      <c r="E214" s="19"/>
      <c r="F214" s="20"/>
      <c r="G214" s="21"/>
      <c r="H214" s="20"/>
      <c r="I214" s="23"/>
    </row>
    <row r="215" spans="2:9" ht="13.2" x14ac:dyDescent="0.25">
      <c r="B215" s="18"/>
      <c r="E215" s="19"/>
      <c r="F215" s="20"/>
      <c r="G215" s="21"/>
      <c r="H215" s="20"/>
      <c r="I215" s="23"/>
    </row>
    <row r="216" spans="2:9" ht="13.2" x14ac:dyDescent="0.25">
      <c r="B216" s="18"/>
      <c r="E216" s="19"/>
      <c r="F216" s="20"/>
      <c r="G216" s="21"/>
      <c r="H216" s="20"/>
      <c r="I216" s="23"/>
    </row>
    <row r="217" spans="2:9" ht="13.2" x14ac:dyDescent="0.25">
      <c r="B217" s="18"/>
      <c r="E217" s="19"/>
      <c r="F217" s="20"/>
      <c r="G217" s="21"/>
      <c r="H217" s="20"/>
      <c r="I217" s="23"/>
    </row>
    <row r="218" spans="2:9" ht="13.2" x14ac:dyDescent="0.25">
      <c r="B218" s="18"/>
      <c r="E218" s="19"/>
      <c r="F218" s="20"/>
      <c r="G218" s="21"/>
      <c r="H218" s="20"/>
      <c r="I218" s="23"/>
    </row>
    <row r="219" spans="2:9" ht="13.2" x14ac:dyDescent="0.25">
      <c r="B219" s="18"/>
      <c r="E219" s="19"/>
      <c r="F219" s="20"/>
      <c r="G219" s="21"/>
      <c r="H219" s="20"/>
      <c r="I219" s="23"/>
    </row>
    <row r="220" spans="2:9" ht="13.2" x14ac:dyDescent="0.25">
      <c r="B220" s="18"/>
      <c r="E220" s="19"/>
      <c r="F220" s="20"/>
      <c r="G220" s="21"/>
      <c r="H220" s="20"/>
      <c r="I220" s="23"/>
    </row>
    <row r="221" spans="2:9" ht="13.2" x14ac:dyDescent="0.25">
      <c r="B221" s="18"/>
      <c r="E221" s="19"/>
      <c r="F221" s="20"/>
      <c r="G221" s="21"/>
      <c r="H221" s="20"/>
      <c r="I221" s="23"/>
    </row>
    <row r="222" spans="2:9" ht="13.2" x14ac:dyDescent="0.25">
      <c r="B222" s="18"/>
      <c r="E222" s="19"/>
      <c r="F222" s="20"/>
      <c r="G222" s="21"/>
      <c r="H222" s="20"/>
      <c r="I222" s="23"/>
    </row>
    <row r="223" spans="2:9" ht="13.2" x14ac:dyDescent="0.25">
      <c r="B223" s="18"/>
      <c r="E223" s="19"/>
      <c r="F223" s="20"/>
      <c r="G223" s="21"/>
      <c r="H223" s="20"/>
      <c r="I223" s="23"/>
    </row>
    <row r="224" spans="2:9" ht="13.2" x14ac:dyDescent="0.25">
      <c r="B224" s="18"/>
      <c r="E224" s="19"/>
      <c r="F224" s="20"/>
      <c r="G224" s="21"/>
      <c r="H224" s="20"/>
      <c r="I224" s="23"/>
    </row>
    <row r="225" spans="2:9" ht="13.2" x14ac:dyDescent="0.25">
      <c r="B225" s="18"/>
      <c r="E225" s="19"/>
      <c r="F225" s="20"/>
      <c r="G225" s="21"/>
      <c r="H225" s="20"/>
      <c r="I225" s="23"/>
    </row>
    <row r="226" spans="2:9" ht="13.2" x14ac:dyDescent="0.25">
      <c r="B226" s="18"/>
      <c r="E226" s="19"/>
      <c r="F226" s="20"/>
      <c r="G226" s="21"/>
      <c r="H226" s="20"/>
      <c r="I226" s="23"/>
    </row>
    <row r="227" spans="2:9" ht="13.2" x14ac:dyDescent="0.25">
      <c r="B227" s="18"/>
      <c r="E227" s="19"/>
      <c r="F227" s="20"/>
      <c r="G227" s="21"/>
      <c r="H227" s="20"/>
      <c r="I227" s="23"/>
    </row>
    <row r="228" spans="2:9" ht="13.2" x14ac:dyDescent="0.25">
      <c r="B228" s="18"/>
      <c r="E228" s="19"/>
      <c r="F228" s="20"/>
      <c r="G228" s="21"/>
      <c r="H228" s="20"/>
      <c r="I228" s="23"/>
    </row>
    <row r="229" spans="2:9" ht="13.2" x14ac:dyDescent="0.25">
      <c r="B229" s="18"/>
      <c r="E229" s="19"/>
      <c r="F229" s="20"/>
      <c r="G229" s="21"/>
      <c r="H229" s="20"/>
      <c r="I229" s="23"/>
    </row>
    <row r="230" spans="2:9" ht="13.2" x14ac:dyDescent="0.25">
      <c r="B230" s="18"/>
      <c r="E230" s="19"/>
      <c r="F230" s="20"/>
      <c r="G230" s="21"/>
      <c r="H230" s="20"/>
      <c r="I230" s="23"/>
    </row>
    <row r="231" spans="2:9" ht="13.2" x14ac:dyDescent="0.25">
      <c r="B231" s="18"/>
      <c r="E231" s="19"/>
      <c r="F231" s="20"/>
      <c r="G231" s="21"/>
      <c r="H231" s="20"/>
      <c r="I231" s="23"/>
    </row>
    <row r="232" spans="2:9" ht="13.2" x14ac:dyDescent="0.25">
      <c r="B232" s="18"/>
      <c r="E232" s="19"/>
      <c r="F232" s="20"/>
      <c r="G232" s="21"/>
      <c r="H232" s="20"/>
      <c r="I232" s="23"/>
    </row>
    <row r="233" spans="2:9" ht="13.2" x14ac:dyDescent="0.25">
      <c r="B233" s="18"/>
      <c r="E233" s="19"/>
      <c r="F233" s="20"/>
      <c r="G233" s="21"/>
      <c r="H233" s="20"/>
      <c r="I233" s="23"/>
    </row>
    <row r="234" spans="2:9" ht="13.2" x14ac:dyDescent="0.25">
      <c r="B234" s="18"/>
      <c r="E234" s="19"/>
      <c r="F234" s="20"/>
      <c r="G234" s="21"/>
      <c r="H234" s="20"/>
      <c r="I234" s="23"/>
    </row>
    <row r="235" spans="2:9" ht="13.2" x14ac:dyDescent="0.25">
      <c r="B235" s="18"/>
      <c r="E235" s="19"/>
      <c r="F235" s="20"/>
      <c r="G235" s="21"/>
      <c r="H235" s="20"/>
      <c r="I235" s="23"/>
    </row>
    <row r="236" spans="2:9" ht="13.2" x14ac:dyDescent="0.25">
      <c r="B236" s="18"/>
      <c r="E236" s="19"/>
      <c r="F236" s="20"/>
      <c r="G236" s="21"/>
      <c r="H236" s="20"/>
      <c r="I236" s="23"/>
    </row>
    <row r="237" spans="2:9" ht="13.2" x14ac:dyDescent="0.25">
      <c r="B237" s="18"/>
      <c r="E237" s="19"/>
      <c r="F237" s="20"/>
      <c r="G237" s="21"/>
      <c r="H237" s="20"/>
      <c r="I237" s="23"/>
    </row>
    <row r="238" spans="2:9" ht="13.2" x14ac:dyDescent="0.25">
      <c r="B238" s="18"/>
      <c r="E238" s="19"/>
      <c r="F238" s="20"/>
      <c r="G238" s="21"/>
      <c r="H238" s="20"/>
      <c r="I238" s="23"/>
    </row>
    <row r="239" spans="2:9" ht="13.2" x14ac:dyDescent="0.25">
      <c r="B239" s="18"/>
      <c r="E239" s="19"/>
      <c r="F239" s="20"/>
      <c r="G239" s="21"/>
      <c r="H239" s="20"/>
      <c r="I239" s="23"/>
    </row>
    <row r="240" spans="2:9" ht="13.2" x14ac:dyDescent="0.25">
      <c r="B240" s="18"/>
      <c r="E240" s="19"/>
      <c r="F240" s="20"/>
      <c r="G240" s="21"/>
      <c r="H240" s="20"/>
      <c r="I240" s="23"/>
    </row>
    <row r="241" spans="2:9" ht="13.2" x14ac:dyDescent="0.25">
      <c r="B241" s="18"/>
      <c r="E241" s="19"/>
      <c r="F241" s="20"/>
      <c r="G241" s="21"/>
      <c r="H241" s="20"/>
      <c r="I241" s="23"/>
    </row>
    <row r="242" spans="2:9" ht="13.2" x14ac:dyDescent="0.25">
      <c r="B242" s="18"/>
      <c r="E242" s="19"/>
      <c r="F242" s="20"/>
      <c r="G242" s="21"/>
      <c r="H242" s="20"/>
      <c r="I242" s="23"/>
    </row>
    <row r="243" spans="2:9" ht="13.2" x14ac:dyDescent="0.25">
      <c r="B243" s="18"/>
      <c r="E243" s="19"/>
      <c r="F243" s="20"/>
      <c r="G243" s="21"/>
      <c r="H243" s="20"/>
      <c r="I243" s="23"/>
    </row>
    <row r="244" spans="2:9" ht="13.2" x14ac:dyDescent="0.25">
      <c r="B244" s="18"/>
      <c r="E244" s="19"/>
      <c r="F244" s="20"/>
      <c r="G244" s="21"/>
      <c r="H244" s="20"/>
      <c r="I244" s="23"/>
    </row>
    <row r="245" spans="2:9" ht="13.2" x14ac:dyDescent="0.25">
      <c r="B245" s="18"/>
      <c r="E245" s="19"/>
      <c r="F245" s="20"/>
      <c r="G245" s="21"/>
      <c r="H245" s="20"/>
      <c r="I245" s="23"/>
    </row>
    <row r="246" spans="2:9" ht="13.2" x14ac:dyDescent="0.25">
      <c r="B246" s="18"/>
      <c r="E246" s="19"/>
      <c r="F246" s="20"/>
      <c r="G246" s="21"/>
      <c r="H246" s="20"/>
      <c r="I246" s="23"/>
    </row>
    <row r="247" spans="2:9" ht="13.2" x14ac:dyDescent="0.25">
      <c r="B247" s="18"/>
      <c r="E247" s="19"/>
      <c r="F247" s="20"/>
      <c r="G247" s="21"/>
      <c r="H247" s="20"/>
      <c r="I247" s="23"/>
    </row>
    <row r="248" spans="2:9" ht="13.2" x14ac:dyDescent="0.25">
      <c r="B248" s="18"/>
      <c r="E248" s="19"/>
      <c r="F248" s="20"/>
      <c r="G248" s="21"/>
      <c r="H248" s="20"/>
      <c r="I248" s="23"/>
    </row>
    <row r="249" spans="2:9" ht="13.2" x14ac:dyDescent="0.25">
      <c r="B249" s="18"/>
      <c r="E249" s="19"/>
      <c r="F249" s="20"/>
      <c r="G249" s="21"/>
      <c r="H249" s="20"/>
      <c r="I249" s="23"/>
    </row>
    <row r="250" spans="2:9" ht="13.2" x14ac:dyDescent="0.25">
      <c r="B250" s="18"/>
      <c r="E250" s="19"/>
      <c r="F250" s="20"/>
      <c r="G250" s="21"/>
      <c r="H250" s="20"/>
      <c r="I250" s="23"/>
    </row>
    <row r="251" spans="2:9" ht="13.2" x14ac:dyDescent="0.25">
      <c r="B251" s="18"/>
      <c r="E251" s="19"/>
      <c r="F251" s="20"/>
      <c r="G251" s="21"/>
      <c r="H251" s="20"/>
      <c r="I251" s="23"/>
    </row>
    <row r="252" spans="2:9" ht="13.2" x14ac:dyDescent="0.25">
      <c r="B252" s="18"/>
      <c r="E252" s="19"/>
      <c r="F252" s="20"/>
      <c r="G252" s="21"/>
      <c r="H252" s="20"/>
      <c r="I252" s="23"/>
    </row>
    <row r="253" spans="2:9" ht="13.2" x14ac:dyDescent="0.25">
      <c r="B253" s="18"/>
      <c r="E253" s="19"/>
      <c r="F253" s="20"/>
      <c r="G253" s="21"/>
      <c r="H253" s="20"/>
      <c r="I253" s="23"/>
    </row>
    <row r="254" spans="2:9" ht="13.2" x14ac:dyDescent="0.25">
      <c r="B254" s="18"/>
      <c r="E254" s="19"/>
      <c r="F254" s="20"/>
      <c r="G254" s="21"/>
      <c r="H254" s="20"/>
      <c r="I254" s="23"/>
    </row>
    <row r="255" spans="2:9" ht="13.2" x14ac:dyDescent="0.25">
      <c r="B255" s="18"/>
      <c r="E255" s="19"/>
      <c r="F255" s="20"/>
      <c r="G255" s="21"/>
      <c r="H255" s="20"/>
      <c r="I255" s="23"/>
    </row>
    <row r="256" spans="2:9" ht="13.2" x14ac:dyDescent="0.25">
      <c r="B256" s="18"/>
      <c r="E256" s="19"/>
      <c r="F256" s="20"/>
      <c r="G256" s="21"/>
      <c r="H256" s="20"/>
      <c r="I256" s="23"/>
    </row>
    <row r="257" spans="2:9" ht="13.2" x14ac:dyDescent="0.25">
      <c r="B257" s="18"/>
      <c r="E257" s="19"/>
      <c r="F257" s="20"/>
      <c r="G257" s="21"/>
      <c r="H257" s="20"/>
      <c r="I257" s="23"/>
    </row>
    <row r="258" spans="2:9" ht="13.2" x14ac:dyDescent="0.25">
      <c r="B258" s="18"/>
      <c r="E258" s="19"/>
      <c r="F258" s="20"/>
      <c r="G258" s="21"/>
      <c r="H258" s="20"/>
      <c r="I258" s="23"/>
    </row>
    <row r="259" spans="2:9" ht="13.2" x14ac:dyDescent="0.25">
      <c r="B259" s="18"/>
      <c r="E259" s="19"/>
      <c r="F259" s="20"/>
      <c r="G259" s="21"/>
      <c r="H259" s="20"/>
      <c r="I259" s="23"/>
    </row>
    <row r="260" spans="2:9" ht="13.2" x14ac:dyDescent="0.25">
      <c r="B260" s="18"/>
      <c r="E260" s="19"/>
      <c r="F260" s="20"/>
      <c r="G260" s="21"/>
      <c r="H260" s="20"/>
      <c r="I260" s="23"/>
    </row>
    <row r="261" spans="2:9" ht="13.2" x14ac:dyDescent="0.25">
      <c r="B261" s="18"/>
      <c r="E261" s="19"/>
      <c r="F261" s="20"/>
      <c r="G261" s="21"/>
      <c r="H261" s="20"/>
      <c r="I261" s="23"/>
    </row>
    <row r="262" spans="2:9" ht="13.2" x14ac:dyDescent="0.25">
      <c r="B262" s="18"/>
      <c r="E262" s="19"/>
      <c r="F262" s="20"/>
      <c r="G262" s="21"/>
      <c r="H262" s="20"/>
      <c r="I262" s="23"/>
    </row>
    <row r="263" spans="2:9" ht="13.2" x14ac:dyDescent="0.25">
      <c r="B263" s="18"/>
      <c r="E263" s="19"/>
      <c r="F263" s="20"/>
      <c r="G263" s="21"/>
      <c r="H263" s="20"/>
      <c r="I263" s="23"/>
    </row>
    <row r="264" spans="2:9" ht="13.2" x14ac:dyDescent="0.25">
      <c r="B264" s="18"/>
      <c r="E264" s="19"/>
      <c r="F264" s="20"/>
      <c r="G264" s="21"/>
      <c r="H264" s="20"/>
      <c r="I264" s="23"/>
    </row>
    <row r="265" spans="2:9" ht="13.2" x14ac:dyDescent="0.25">
      <c r="B265" s="18"/>
      <c r="E265" s="19"/>
      <c r="F265" s="20"/>
      <c r="G265" s="21"/>
      <c r="H265" s="20"/>
      <c r="I265" s="23"/>
    </row>
    <row r="266" spans="2:9" ht="13.2" x14ac:dyDescent="0.25">
      <c r="B266" s="18"/>
      <c r="E266" s="19"/>
      <c r="F266" s="20"/>
      <c r="G266" s="21"/>
      <c r="H266" s="20"/>
      <c r="I266" s="23"/>
    </row>
    <row r="267" spans="2:9" ht="13.2" x14ac:dyDescent="0.25">
      <c r="B267" s="18"/>
      <c r="E267" s="19"/>
      <c r="F267" s="20"/>
      <c r="G267" s="21"/>
      <c r="H267" s="20"/>
      <c r="I267" s="23"/>
    </row>
    <row r="268" spans="2:9" ht="13.2" x14ac:dyDescent="0.25">
      <c r="B268" s="18"/>
      <c r="E268" s="19"/>
      <c r="F268" s="20"/>
      <c r="G268" s="21"/>
      <c r="H268" s="20"/>
      <c r="I268" s="23"/>
    </row>
    <row r="269" spans="2:9" ht="13.2" x14ac:dyDescent="0.25">
      <c r="B269" s="18"/>
      <c r="E269" s="19"/>
      <c r="F269" s="20"/>
      <c r="G269" s="21"/>
      <c r="H269" s="20"/>
      <c r="I269" s="23"/>
    </row>
    <row r="270" spans="2:9" ht="13.2" x14ac:dyDescent="0.25">
      <c r="B270" s="18"/>
      <c r="E270" s="19"/>
      <c r="F270" s="20"/>
      <c r="G270" s="21"/>
      <c r="H270" s="20"/>
      <c r="I270" s="23"/>
    </row>
    <row r="271" spans="2:9" ht="13.2" x14ac:dyDescent="0.25">
      <c r="B271" s="18"/>
      <c r="E271" s="19"/>
      <c r="F271" s="20"/>
      <c r="G271" s="21"/>
      <c r="H271" s="20"/>
      <c r="I271" s="23"/>
    </row>
    <row r="272" spans="2:9" ht="13.2" x14ac:dyDescent="0.25">
      <c r="B272" s="18"/>
      <c r="E272" s="19"/>
      <c r="F272" s="20"/>
      <c r="G272" s="21"/>
      <c r="H272" s="20"/>
      <c r="I272" s="23"/>
    </row>
    <row r="273" spans="2:9" ht="13.2" x14ac:dyDescent="0.25">
      <c r="B273" s="18"/>
      <c r="E273" s="19"/>
      <c r="F273" s="20"/>
      <c r="G273" s="21"/>
      <c r="H273" s="20"/>
      <c r="I273" s="23"/>
    </row>
    <row r="274" spans="2:9" ht="13.2" x14ac:dyDescent="0.25">
      <c r="B274" s="18"/>
      <c r="E274" s="19"/>
      <c r="F274" s="20"/>
      <c r="G274" s="21"/>
      <c r="H274" s="20"/>
      <c r="I274" s="23"/>
    </row>
    <row r="275" spans="2:9" ht="13.2" x14ac:dyDescent="0.25">
      <c r="B275" s="18"/>
      <c r="E275" s="19"/>
      <c r="F275" s="20"/>
      <c r="G275" s="21"/>
      <c r="H275" s="20"/>
      <c r="I275" s="23"/>
    </row>
    <row r="276" spans="2:9" ht="13.2" x14ac:dyDescent="0.25">
      <c r="B276" s="18"/>
      <c r="E276" s="19"/>
      <c r="F276" s="20"/>
      <c r="G276" s="21"/>
      <c r="H276" s="20"/>
      <c r="I276" s="23"/>
    </row>
    <row r="277" spans="2:9" ht="13.2" x14ac:dyDescent="0.25">
      <c r="B277" s="18"/>
      <c r="E277" s="19"/>
      <c r="F277" s="20"/>
      <c r="G277" s="21"/>
      <c r="H277" s="20"/>
      <c r="I277" s="23"/>
    </row>
    <row r="278" spans="2:9" ht="13.2" x14ac:dyDescent="0.25">
      <c r="B278" s="18"/>
      <c r="E278" s="19"/>
      <c r="F278" s="20"/>
      <c r="G278" s="21"/>
      <c r="H278" s="20"/>
      <c r="I278" s="23"/>
    </row>
    <row r="279" spans="2:9" ht="13.2" x14ac:dyDescent="0.25">
      <c r="B279" s="18"/>
      <c r="E279" s="19"/>
      <c r="F279" s="20"/>
      <c r="G279" s="21"/>
      <c r="H279" s="20"/>
      <c r="I279" s="23"/>
    </row>
    <row r="280" spans="2:9" ht="13.2" x14ac:dyDescent="0.25">
      <c r="B280" s="18"/>
      <c r="E280" s="19"/>
      <c r="F280" s="20"/>
      <c r="G280" s="21"/>
      <c r="H280" s="20"/>
      <c r="I280" s="23"/>
    </row>
    <row r="281" spans="2:9" ht="13.2" x14ac:dyDescent="0.25">
      <c r="B281" s="18"/>
      <c r="E281" s="19"/>
      <c r="F281" s="20"/>
      <c r="G281" s="21"/>
      <c r="H281" s="20"/>
      <c r="I281" s="23"/>
    </row>
    <row r="282" spans="2:9" ht="13.2" x14ac:dyDescent="0.25">
      <c r="B282" s="18"/>
      <c r="E282" s="19"/>
      <c r="F282" s="20"/>
      <c r="G282" s="21"/>
      <c r="H282" s="20"/>
      <c r="I282" s="23"/>
    </row>
    <row r="283" spans="2:9" ht="13.2" x14ac:dyDescent="0.25">
      <c r="B283" s="18"/>
      <c r="E283" s="19"/>
      <c r="F283" s="20"/>
      <c r="G283" s="21"/>
      <c r="H283" s="20"/>
      <c r="I283" s="23"/>
    </row>
    <row r="284" spans="2:9" ht="13.2" x14ac:dyDescent="0.25">
      <c r="B284" s="18"/>
      <c r="E284" s="19"/>
      <c r="F284" s="20"/>
      <c r="G284" s="21"/>
      <c r="H284" s="20"/>
      <c r="I284" s="23"/>
    </row>
    <row r="285" spans="2:9" ht="13.2" x14ac:dyDescent="0.25">
      <c r="B285" s="18"/>
      <c r="E285" s="19"/>
      <c r="F285" s="20"/>
      <c r="G285" s="21"/>
      <c r="H285" s="20"/>
      <c r="I285" s="23"/>
    </row>
    <row r="286" spans="2:9" ht="13.2" x14ac:dyDescent="0.25">
      <c r="B286" s="18"/>
      <c r="E286" s="19"/>
      <c r="F286" s="20"/>
      <c r="G286" s="21"/>
      <c r="H286" s="20"/>
      <c r="I286" s="23"/>
    </row>
    <row r="287" spans="2:9" ht="13.2" x14ac:dyDescent="0.25">
      <c r="B287" s="18"/>
      <c r="E287" s="19"/>
      <c r="F287" s="20"/>
      <c r="G287" s="21"/>
      <c r="H287" s="20"/>
      <c r="I287" s="23"/>
    </row>
    <row r="288" spans="2:9" ht="13.2" x14ac:dyDescent="0.25">
      <c r="B288" s="18"/>
      <c r="E288" s="19"/>
      <c r="F288" s="20"/>
      <c r="G288" s="21"/>
      <c r="H288" s="20"/>
      <c r="I288" s="23"/>
    </row>
    <row r="289" spans="2:9" ht="13.2" x14ac:dyDescent="0.25">
      <c r="B289" s="18"/>
      <c r="E289" s="19"/>
      <c r="F289" s="20"/>
      <c r="G289" s="21"/>
      <c r="H289" s="20"/>
      <c r="I289" s="23"/>
    </row>
    <row r="290" spans="2:9" ht="13.2" x14ac:dyDescent="0.25">
      <c r="B290" s="18"/>
      <c r="E290" s="19"/>
      <c r="F290" s="20"/>
      <c r="G290" s="21"/>
      <c r="H290" s="20"/>
      <c r="I290" s="23"/>
    </row>
    <row r="291" spans="2:9" ht="13.2" x14ac:dyDescent="0.25">
      <c r="B291" s="18"/>
      <c r="E291" s="19"/>
      <c r="F291" s="20"/>
      <c r="G291" s="21"/>
      <c r="H291" s="20"/>
      <c r="I291" s="23"/>
    </row>
    <row r="292" spans="2:9" ht="13.2" x14ac:dyDescent="0.25">
      <c r="B292" s="18"/>
      <c r="E292" s="19"/>
      <c r="F292" s="20"/>
      <c r="G292" s="21"/>
      <c r="H292" s="20"/>
      <c r="I292" s="23"/>
    </row>
    <row r="293" spans="2:9" ht="13.2" x14ac:dyDescent="0.25">
      <c r="B293" s="18"/>
      <c r="E293" s="19"/>
      <c r="F293" s="20"/>
      <c r="G293" s="21"/>
      <c r="H293" s="20"/>
      <c r="I293" s="23"/>
    </row>
    <row r="294" spans="2:9" ht="13.2" x14ac:dyDescent="0.25">
      <c r="B294" s="18"/>
      <c r="E294" s="19"/>
      <c r="F294" s="20"/>
      <c r="G294" s="21"/>
      <c r="H294" s="20"/>
      <c r="I294" s="23"/>
    </row>
    <row r="295" spans="2:9" ht="13.2" x14ac:dyDescent="0.25">
      <c r="B295" s="18"/>
      <c r="E295" s="19"/>
      <c r="F295" s="20"/>
      <c r="G295" s="21"/>
      <c r="H295" s="20"/>
      <c r="I295" s="23"/>
    </row>
    <row r="296" spans="2:9" ht="13.2" x14ac:dyDescent="0.25">
      <c r="B296" s="18"/>
      <c r="E296" s="19"/>
      <c r="F296" s="20"/>
      <c r="G296" s="21"/>
      <c r="H296" s="20"/>
      <c r="I296" s="23"/>
    </row>
    <row r="297" spans="2:9" ht="13.2" x14ac:dyDescent="0.25">
      <c r="B297" s="18"/>
      <c r="E297" s="19"/>
      <c r="F297" s="20"/>
      <c r="G297" s="21"/>
      <c r="H297" s="20"/>
      <c r="I297" s="23"/>
    </row>
    <row r="298" spans="2:9" ht="13.2" x14ac:dyDescent="0.25">
      <c r="B298" s="18"/>
      <c r="E298" s="19"/>
      <c r="F298" s="20"/>
      <c r="G298" s="21"/>
      <c r="H298" s="20"/>
      <c r="I298" s="23"/>
    </row>
    <row r="299" spans="2:9" ht="13.2" x14ac:dyDescent="0.25">
      <c r="B299" s="18"/>
      <c r="E299" s="19"/>
      <c r="F299" s="20"/>
      <c r="G299" s="21"/>
      <c r="H299" s="20"/>
      <c r="I299" s="23"/>
    </row>
    <row r="300" spans="2:9" ht="13.2" x14ac:dyDescent="0.25">
      <c r="B300" s="18"/>
      <c r="E300" s="19"/>
      <c r="F300" s="20"/>
      <c r="G300" s="21"/>
      <c r="H300" s="20"/>
      <c r="I300" s="23"/>
    </row>
    <row r="301" spans="2:9" ht="13.2" x14ac:dyDescent="0.25">
      <c r="B301" s="18"/>
      <c r="E301" s="19"/>
      <c r="F301" s="20"/>
      <c r="G301" s="21"/>
      <c r="H301" s="20"/>
      <c r="I301" s="23"/>
    </row>
    <row r="302" spans="2:9" ht="13.2" x14ac:dyDescent="0.25">
      <c r="B302" s="18"/>
      <c r="E302" s="19"/>
      <c r="F302" s="20"/>
      <c r="G302" s="21"/>
      <c r="H302" s="20"/>
      <c r="I302" s="23"/>
    </row>
    <row r="303" spans="2:9" ht="13.2" x14ac:dyDescent="0.25">
      <c r="B303" s="18"/>
      <c r="E303" s="19"/>
      <c r="F303" s="20"/>
      <c r="G303" s="21"/>
      <c r="H303" s="20"/>
      <c r="I303" s="23"/>
    </row>
    <row r="304" spans="2:9" ht="13.2" x14ac:dyDescent="0.25">
      <c r="B304" s="18"/>
      <c r="E304" s="19"/>
      <c r="F304" s="20"/>
      <c r="G304" s="21"/>
      <c r="H304" s="20"/>
      <c r="I304" s="23"/>
    </row>
    <row r="305" spans="2:9" ht="13.2" x14ac:dyDescent="0.25">
      <c r="B305" s="18"/>
      <c r="E305" s="19"/>
      <c r="F305" s="20"/>
      <c r="G305" s="21"/>
      <c r="H305" s="20"/>
      <c r="I305" s="23"/>
    </row>
    <row r="306" spans="2:9" ht="13.2" x14ac:dyDescent="0.25">
      <c r="B306" s="18"/>
      <c r="E306" s="19"/>
      <c r="F306" s="20"/>
      <c r="G306" s="21"/>
      <c r="H306" s="20"/>
      <c r="I306" s="23"/>
    </row>
    <row r="307" spans="2:9" ht="13.2" x14ac:dyDescent="0.25">
      <c r="B307" s="18"/>
      <c r="E307" s="19"/>
      <c r="F307" s="20"/>
      <c r="G307" s="21"/>
      <c r="H307" s="20"/>
      <c r="I307" s="23"/>
    </row>
    <row r="308" spans="2:9" ht="13.2" x14ac:dyDescent="0.25">
      <c r="B308" s="18"/>
      <c r="E308" s="19"/>
      <c r="F308" s="20"/>
      <c r="G308" s="21"/>
      <c r="H308" s="20"/>
      <c r="I308" s="23"/>
    </row>
    <row r="309" spans="2:9" ht="13.2" x14ac:dyDescent="0.25">
      <c r="B309" s="18"/>
      <c r="E309" s="19"/>
      <c r="F309" s="20"/>
      <c r="G309" s="21"/>
      <c r="H309" s="20"/>
      <c r="I309" s="23"/>
    </row>
    <row r="310" spans="2:9" ht="13.2" x14ac:dyDescent="0.25">
      <c r="B310" s="18"/>
      <c r="E310" s="19"/>
      <c r="F310" s="20"/>
      <c r="G310" s="21"/>
      <c r="H310" s="20"/>
      <c r="I310" s="23"/>
    </row>
    <row r="311" spans="2:9" ht="13.2" x14ac:dyDescent="0.25">
      <c r="B311" s="18"/>
      <c r="E311" s="19"/>
      <c r="F311" s="20"/>
      <c r="G311" s="21"/>
      <c r="H311" s="20"/>
      <c r="I311" s="23"/>
    </row>
    <row r="312" spans="2:9" ht="13.2" x14ac:dyDescent="0.25">
      <c r="B312" s="18"/>
      <c r="E312" s="19"/>
      <c r="F312" s="20"/>
      <c r="G312" s="21"/>
      <c r="H312" s="20"/>
      <c r="I312" s="23"/>
    </row>
    <row r="313" spans="2:9" ht="13.2" x14ac:dyDescent="0.25">
      <c r="B313" s="18"/>
      <c r="E313" s="19"/>
      <c r="F313" s="20"/>
      <c r="G313" s="21"/>
      <c r="H313" s="20"/>
      <c r="I313" s="23"/>
    </row>
    <row r="314" spans="2:9" ht="13.2" x14ac:dyDescent="0.25">
      <c r="B314" s="18"/>
      <c r="E314" s="19"/>
      <c r="F314" s="20"/>
      <c r="G314" s="21"/>
      <c r="H314" s="20"/>
      <c r="I314" s="23"/>
    </row>
    <row r="315" spans="2:9" ht="13.2" x14ac:dyDescent="0.25">
      <c r="B315" s="18"/>
      <c r="E315" s="19"/>
      <c r="F315" s="20"/>
      <c r="G315" s="21"/>
      <c r="H315" s="20"/>
      <c r="I315" s="23"/>
    </row>
    <row r="316" spans="2:9" ht="13.2" x14ac:dyDescent="0.25">
      <c r="B316" s="18"/>
      <c r="E316" s="19"/>
      <c r="F316" s="20"/>
      <c r="G316" s="21"/>
      <c r="H316" s="20"/>
      <c r="I316" s="23"/>
    </row>
    <row r="317" spans="2:9" ht="13.2" x14ac:dyDescent="0.25">
      <c r="B317" s="18"/>
      <c r="E317" s="19"/>
      <c r="F317" s="20"/>
      <c r="G317" s="21"/>
      <c r="H317" s="20"/>
      <c r="I317" s="23"/>
    </row>
    <row r="318" spans="2:9" ht="13.2" x14ac:dyDescent="0.25">
      <c r="B318" s="18"/>
      <c r="E318" s="19"/>
      <c r="F318" s="20"/>
      <c r="G318" s="21"/>
      <c r="H318" s="20"/>
      <c r="I318" s="23"/>
    </row>
    <row r="319" spans="2:9" ht="13.2" x14ac:dyDescent="0.25">
      <c r="B319" s="18"/>
      <c r="E319" s="19"/>
      <c r="F319" s="20"/>
      <c r="G319" s="21"/>
      <c r="H319" s="20"/>
      <c r="I319" s="23"/>
    </row>
    <row r="320" spans="2:9" ht="13.2" x14ac:dyDescent="0.25">
      <c r="B320" s="18"/>
      <c r="E320" s="19"/>
      <c r="F320" s="20"/>
      <c r="G320" s="21"/>
      <c r="H320" s="20"/>
      <c r="I320" s="23"/>
    </row>
    <row r="321" spans="2:9" ht="13.2" x14ac:dyDescent="0.25">
      <c r="B321" s="18"/>
      <c r="E321" s="19"/>
      <c r="F321" s="20"/>
      <c r="G321" s="21"/>
      <c r="H321" s="20"/>
      <c r="I321" s="23"/>
    </row>
    <row r="322" spans="2:9" ht="13.2" x14ac:dyDescent="0.25">
      <c r="B322" s="18"/>
      <c r="E322" s="19"/>
      <c r="F322" s="20"/>
      <c r="G322" s="21"/>
      <c r="H322" s="20"/>
      <c r="I322" s="23"/>
    </row>
    <row r="323" spans="2:9" ht="13.2" x14ac:dyDescent="0.25">
      <c r="B323" s="18"/>
      <c r="E323" s="19"/>
      <c r="F323" s="20"/>
      <c r="G323" s="21"/>
      <c r="H323" s="20"/>
      <c r="I323" s="23"/>
    </row>
    <row r="324" spans="2:9" ht="13.2" x14ac:dyDescent="0.25">
      <c r="B324" s="18"/>
      <c r="E324" s="19"/>
      <c r="F324" s="20"/>
      <c r="G324" s="21"/>
      <c r="H324" s="20"/>
      <c r="I324" s="23"/>
    </row>
    <row r="325" spans="2:9" ht="13.2" x14ac:dyDescent="0.25">
      <c r="B325" s="18"/>
      <c r="E325" s="19"/>
      <c r="F325" s="20"/>
      <c r="G325" s="21"/>
      <c r="H325" s="20"/>
      <c r="I325" s="23"/>
    </row>
    <row r="326" spans="2:9" ht="13.2" x14ac:dyDescent="0.25">
      <c r="B326" s="18"/>
      <c r="E326" s="19"/>
      <c r="F326" s="20"/>
      <c r="G326" s="21"/>
      <c r="H326" s="20"/>
      <c r="I326" s="23"/>
    </row>
    <row r="327" spans="2:9" ht="13.2" x14ac:dyDescent="0.25">
      <c r="B327" s="18"/>
      <c r="E327" s="19"/>
      <c r="F327" s="20"/>
      <c r="G327" s="21"/>
      <c r="H327" s="20"/>
      <c r="I327" s="23"/>
    </row>
    <row r="328" spans="2:9" ht="13.2" x14ac:dyDescent="0.25">
      <c r="B328" s="18"/>
      <c r="E328" s="19"/>
      <c r="F328" s="20"/>
      <c r="G328" s="21"/>
      <c r="H328" s="20"/>
      <c r="I328" s="23"/>
    </row>
    <row r="329" spans="2:9" ht="13.2" x14ac:dyDescent="0.25">
      <c r="B329" s="18"/>
      <c r="E329" s="19"/>
      <c r="F329" s="20"/>
      <c r="G329" s="21"/>
      <c r="H329" s="20"/>
      <c r="I329" s="23"/>
    </row>
    <row r="330" spans="2:9" ht="13.2" x14ac:dyDescent="0.25">
      <c r="B330" s="18"/>
      <c r="E330" s="19"/>
      <c r="F330" s="20"/>
      <c r="G330" s="21"/>
      <c r="H330" s="20"/>
      <c r="I330" s="23"/>
    </row>
    <row r="331" spans="2:9" ht="13.2" x14ac:dyDescent="0.25">
      <c r="B331" s="18"/>
      <c r="E331" s="19"/>
      <c r="F331" s="20"/>
      <c r="G331" s="21"/>
      <c r="H331" s="20"/>
      <c r="I331" s="23"/>
    </row>
    <row r="332" spans="2:9" ht="13.2" x14ac:dyDescent="0.25">
      <c r="B332" s="18"/>
      <c r="E332" s="19"/>
      <c r="F332" s="20"/>
      <c r="G332" s="21"/>
      <c r="H332" s="20"/>
      <c r="I332" s="23"/>
    </row>
    <row r="333" spans="2:9" ht="13.2" x14ac:dyDescent="0.25">
      <c r="B333" s="18"/>
      <c r="E333" s="19"/>
      <c r="F333" s="20"/>
      <c r="G333" s="21"/>
      <c r="H333" s="20"/>
      <c r="I333" s="23"/>
    </row>
    <row r="334" spans="2:9" ht="13.2" x14ac:dyDescent="0.25">
      <c r="B334" s="18"/>
      <c r="E334" s="19"/>
      <c r="F334" s="20"/>
      <c r="G334" s="21"/>
      <c r="H334" s="20"/>
      <c r="I334" s="23"/>
    </row>
    <row r="335" spans="2:9" ht="13.2" x14ac:dyDescent="0.25">
      <c r="B335" s="18"/>
      <c r="E335" s="19"/>
      <c r="F335" s="20"/>
      <c r="G335" s="21"/>
      <c r="H335" s="20"/>
      <c r="I335" s="23"/>
    </row>
    <row r="336" spans="2:9" ht="13.2" x14ac:dyDescent="0.25">
      <c r="B336" s="18"/>
      <c r="E336" s="19"/>
      <c r="F336" s="20"/>
      <c r="G336" s="21"/>
      <c r="H336" s="20"/>
      <c r="I336" s="23"/>
    </row>
    <row r="337" spans="2:9" ht="13.2" x14ac:dyDescent="0.25">
      <c r="B337" s="18"/>
      <c r="E337" s="19"/>
      <c r="F337" s="20"/>
      <c r="G337" s="21"/>
      <c r="H337" s="20"/>
      <c r="I337" s="23"/>
    </row>
    <row r="338" spans="2:9" ht="13.2" x14ac:dyDescent="0.25">
      <c r="B338" s="18"/>
      <c r="E338" s="19"/>
      <c r="F338" s="20"/>
      <c r="G338" s="21"/>
      <c r="H338" s="20"/>
      <c r="I338" s="23"/>
    </row>
    <row r="339" spans="2:9" ht="13.2" x14ac:dyDescent="0.25">
      <c r="B339" s="18"/>
      <c r="E339" s="19"/>
      <c r="F339" s="20"/>
      <c r="G339" s="21"/>
      <c r="H339" s="20"/>
      <c r="I339" s="23"/>
    </row>
    <row r="340" spans="2:9" ht="13.2" x14ac:dyDescent="0.25">
      <c r="B340" s="18"/>
      <c r="E340" s="19"/>
      <c r="F340" s="20"/>
      <c r="G340" s="21"/>
      <c r="H340" s="20"/>
      <c r="I340" s="23"/>
    </row>
    <row r="341" spans="2:9" ht="13.2" x14ac:dyDescent="0.25">
      <c r="B341" s="18"/>
      <c r="E341" s="19"/>
      <c r="F341" s="20"/>
      <c r="G341" s="21"/>
      <c r="H341" s="20"/>
      <c r="I341" s="23"/>
    </row>
    <row r="342" spans="2:9" ht="13.2" x14ac:dyDescent="0.25">
      <c r="B342" s="18"/>
      <c r="E342" s="19"/>
      <c r="F342" s="20"/>
      <c r="G342" s="21"/>
      <c r="H342" s="20"/>
      <c r="I342" s="23"/>
    </row>
    <row r="343" spans="2:9" ht="13.2" x14ac:dyDescent="0.25">
      <c r="B343" s="18"/>
      <c r="E343" s="19"/>
      <c r="F343" s="20"/>
      <c r="G343" s="21"/>
      <c r="H343" s="20"/>
      <c r="I343" s="23"/>
    </row>
    <row r="344" spans="2:9" ht="13.2" x14ac:dyDescent="0.25">
      <c r="B344" s="18"/>
      <c r="E344" s="19"/>
      <c r="F344" s="20"/>
      <c r="G344" s="21"/>
      <c r="H344" s="20"/>
      <c r="I344" s="23"/>
    </row>
    <row r="345" spans="2:9" ht="13.2" x14ac:dyDescent="0.25">
      <c r="B345" s="18"/>
      <c r="E345" s="19"/>
      <c r="F345" s="20"/>
      <c r="G345" s="21"/>
      <c r="H345" s="20"/>
      <c r="I345" s="23"/>
    </row>
    <row r="346" spans="2:9" ht="13.2" x14ac:dyDescent="0.25">
      <c r="B346" s="18"/>
      <c r="E346" s="19"/>
      <c r="F346" s="20"/>
      <c r="G346" s="21"/>
      <c r="H346" s="20"/>
      <c r="I346" s="23"/>
    </row>
    <row r="347" spans="2:9" ht="13.2" x14ac:dyDescent="0.25">
      <c r="B347" s="18"/>
      <c r="E347" s="19"/>
      <c r="F347" s="20"/>
      <c r="G347" s="21"/>
      <c r="H347" s="20"/>
      <c r="I347" s="23"/>
    </row>
    <row r="348" spans="2:9" ht="13.2" x14ac:dyDescent="0.25">
      <c r="B348" s="18"/>
      <c r="E348" s="19"/>
      <c r="F348" s="20"/>
      <c r="G348" s="21"/>
      <c r="H348" s="20"/>
      <c r="I348" s="23"/>
    </row>
    <row r="349" spans="2:9" ht="13.2" x14ac:dyDescent="0.25">
      <c r="B349" s="18"/>
      <c r="E349" s="19"/>
      <c r="F349" s="20"/>
      <c r="G349" s="21"/>
      <c r="H349" s="20"/>
      <c r="I349" s="23"/>
    </row>
    <row r="350" spans="2:9" ht="13.2" x14ac:dyDescent="0.25">
      <c r="B350" s="18"/>
      <c r="E350" s="19"/>
      <c r="F350" s="20"/>
      <c r="G350" s="21"/>
      <c r="H350" s="20"/>
      <c r="I350" s="23"/>
    </row>
    <row r="351" spans="2:9" ht="13.2" x14ac:dyDescent="0.25">
      <c r="B351" s="18"/>
      <c r="E351" s="19"/>
      <c r="F351" s="20"/>
      <c r="G351" s="21"/>
      <c r="H351" s="20"/>
      <c r="I351" s="23"/>
    </row>
    <row r="352" spans="2:9" ht="13.2" x14ac:dyDescent="0.25">
      <c r="B352" s="18"/>
      <c r="E352" s="19"/>
      <c r="F352" s="20"/>
      <c r="G352" s="21"/>
      <c r="H352" s="20"/>
      <c r="I352" s="23"/>
    </row>
    <row r="353" spans="2:9" ht="13.2" x14ac:dyDescent="0.25">
      <c r="B353" s="18"/>
      <c r="E353" s="19"/>
      <c r="F353" s="20"/>
      <c r="G353" s="21"/>
      <c r="H353" s="20"/>
      <c r="I353" s="23"/>
    </row>
    <row r="354" spans="2:9" ht="13.2" x14ac:dyDescent="0.25">
      <c r="B354" s="18"/>
      <c r="E354" s="19"/>
      <c r="F354" s="20"/>
      <c r="G354" s="21"/>
      <c r="H354" s="20"/>
      <c r="I354" s="23"/>
    </row>
    <row r="355" spans="2:9" ht="13.2" x14ac:dyDescent="0.25">
      <c r="B355" s="18"/>
      <c r="E355" s="19"/>
      <c r="F355" s="20"/>
      <c r="G355" s="21"/>
      <c r="H355" s="20"/>
      <c r="I355" s="23"/>
    </row>
    <row r="356" spans="2:9" ht="13.2" x14ac:dyDescent="0.25">
      <c r="B356" s="18"/>
      <c r="E356" s="19"/>
      <c r="F356" s="20"/>
      <c r="G356" s="21"/>
      <c r="H356" s="20"/>
      <c r="I356" s="23"/>
    </row>
    <row r="357" spans="2:9" ht="13.2" x14ac:dyDescent="0.25">
      <c r="B357" s="18"/>
      <c r="E357" s="19"/>
      <c r="F357" s="20"/>
      <c r="G357" s="21"/>
      <c r="H357" s="20"/>
      <c r="I357" s="23"/>
    </row>
    <row r="358" spans="2:9" ht="13.2" x14ac:dyDescent="0.25">
      <c r="B358" s="18"/>
      <c r="E358" s="19"/>
      <c r="F358" s="20"/>
      <c r="G358" s="21"/>
      <c r="H358" s="20"/>
      <c r="I358" s="23"/>
    </row>
    <row r="359" spans="2:9" ht="13.2" x14ac:dyDescent="0.25">
      <c r="B359" s="18"/>
      <c r="E359" s="19"/>
      <c r="F359" s="20"/>
      <c r="G359" s="21"/>
      <c r="H359" s="20"/>
      <c r="I359" s="23"/>
    </row>
    <row r="360" spans="2:9" ht="13.2" x14ac:dyDescent="0.25">
      <c r="B360" s="18"/>
      <c r="E360" s="19"/>
      <c r="F360" s="20"/>
      <c r="G360" s="21"/>
      <c r="H360" s="20"/>
      <c r="I360" s="23"/>
    </row>
    <row r="361" spans="2:9" ht="13.2" x14ac:dyDescent="0.25">
      <c r="B361" s="18"/>
      <c r="E361" s="19"/>
      <c r="F361" s="20"/>
      <c r="G361" s="21"/>
      <c r="H361" s="20"/>
      <c r="I361" s="23"/>
    </row>
    <row r="362" spans="2:9" ht="13.2" x14ac:dyDescent="0.25">
      <c r="B362" s="18"/>
      <c r="E362" s="19"/>
      <c r="F362" s="20"/>
      <c r="G362" s="21"/>
      <c r="H362" s="20"/>
      <c r="I362" s="23"/>
    </row>
    <row r="363" spans="2:9" ht="13.2" x14ac:dyDescent="0.25">
      <c r="B363" s="18"/>
      <c r="E363" s="19"/>
      <c r="F363" s="20"/>
      <c r="G363" s="21"/>
      <c r="H363" s="20"/>
      <c r="I363" s="23"/>
    </row>
    <row r="364" spans="2:9" ht="13.2" x14ac:dyDescent="0.25">
      <c r="B364" s="18"/>
      <c r="E364" s="19"/>
      <c r="F364" s="20"/>
      <c r="G364" s="21"/>
      <c r="H364" s="20"/>
      <c r="I364" s="23"/>
    </row>
    <row r="365" spans="2:9" ht="13.2" x14ac:dyDescent="0.25">
      <c r="B365" s="18"/>
      <c r="E365" s="19"/>
      <c r="F365" s="20"/>
      <c r="G365" s="21"/>
      <c r="H365" s="20"/>
      <c r="I365" s="23"/>
    </row>
    <row r="366" spans="2:9" ht="13.2" x14ac:dyDescent="0.25">
      <c r="B366" s="18"/>
      <c r="E366" s="19"/>
      <c r="F366" s="20"/>
      <c r="G366" s="21"/>
      <c r="H366" s="20"/>
      <c r="I366" s="23"/>
    </row>
    <row r="367" spans="2:9" ht="13.2" x14ac:dyDescent="0.25">
      <c r="B367" s="18"/>
      <c r="E367" s="19"/>
      <c r="F367" s="20"/>
      <c r="G367" s="21"/>
      <c r="H367" s="20"/>
      <c r="I367" s="23"/>
    </row>
    <row r="368" spans="2:9" ht="13.2" x14ac:dyDescent="0.25">
      <c r="B368" s="18"/>
      <c r="E368" s="19"/>
      <c r="F368" s="20"/>
      <c r="G368" s="21"/>
      <c r="H368" s="20"/>
      <c r="I368" s="23"/>
    </row>
    <row r="369" spans="2:9" ht="13.2" x14ac:dyDescent="0.25">
      <c r="B369" s="18"/>
      <c r="E369" s="19"/>
      <c r="F369" s="20"/>
      <c r="G369" s="21"/>
      <c r="H369" s="20"/>
      <c r="I369" s="23"/>
    </row>
    <row r="370" spans="2:9" ht="13.2" x14ac:dyDescent="0.25">
      <c r="B370" s="18"/>
      <c r="E370" s="19"/>
      <c r="F370" s="20"/>
      <c r="G370" s="21"/>
      <c r="H370" s="20"/>
      <c r="I370" s="23"/>
    </row>
    <row r="371" spans="2:9" ht="13.2" x14ac:dyDescent="0.25">
      <c r="B371" s="18"/>
      <c r="E371" s="19"/>
      <c r="F371" s="20"/>
      <c r="G371" s="21"/>
      <c r="H371" s="20"/>
      <c r="I371" s="23"/>
    </row>
    <row r="372" spans="2:9" ht="13.2" x14ac:dyDescent="0.25">
      <c r="B372" s="18"/>
      <c r="E372" s="19"/>
      <c r="F372" s="20"/>
      <c r="G372" s="21"/>
      <c r="H372" s="20"/>
      <c r="I372" s="23"/>
    </row>
    <row r="373" spans="2:9" ht="13.2" x14ac:dyDescent="0.25">
      <c r="B373" s="18"/>
      <c r="E373" s="19"/>
      <c r="F373" s="20"/>
      <c r="G373" s="21"/>
      <c r="H373" s="20"/>
      <c r="I373" s="23"/>
    </row>
    <row r="374" spans="2:9" ht="13.2" x14ac:dyDescent="0.25">
      <c r="B374" s="18"/>
      <c r="E374" s="19"/>
      <c r="F374" s="20"/>
      <c r="G374" s="21"/>
      <c r="H374" s="20"/>
      <c r="I374" s="23"/>
    </row>
    <row r="375" spans="2:9" ht="13.2" x14ac:dyDescent="0.25">
      <c r="B375" s="18"/>
      <c r="E375" s="19"/>
      <c r="F375" s="20"/>
      <c r="G375" s="21"/>
      <c r="H375" s="20"/>
      <c r="I375" s="23"/>
    </row>
    <row r="376" spans="2:9" ht="13.2" x14ac:dyDescent="0.25">
      <c r="B376" s="18"/>
      <c r="E376" s="19"/>
      <c r="F376" s="20"/>
      <c r="G376" s="21"/>
      <c r="H376" s="20"/>
      <c r="I376" s="23"/>
    </row>
    <row r="377" spans="2:9" ht="13.2" x14ac:dyDescent="0.25">
      <c r="B377" s="18"/>
      <c r="E377" s="19"/>
      <c r="F377" s="20"/>
      <c r="G377" s="21"/>
      <c r="H377" s="20"/>
      <c r="I377" s="23"/>
    </row>
    <row r="378" spans="2:9" ht="13.2" x14ac:dyDescent="0.25">
      <c r="B378" s="18"/>
      <c r="E378" s="19"/>
      <c r="F378" s="20"/>
      <c r="G378" s="21"/>
      <c r="H378" s="20"/>
      <c r="I378" s="23"/>
    </row>
    <row r="379" spans="2:9" ht="13.2" x14ac:dyDescent="0.25">
      <c r="B379" s="18"/>
      <c r="E379" s="19"/>
      <c r="F379" s="20"/>
      <c r="G379" s="21"/>
      <c r="H379" s="20"/>
      <c r="I379" s="23"/>
    </row>
    <row r="380" spans="2:9" ht="13.2" x14ac:dyDescent="0.25">
      <c r="B380" s="18"/>
      <c r="E380" s="19"/>
      <c r="F380" s="20"/>
      <c r="G380" s="21"/>
      <c r="H380" s="20"/>
      <c r="I380" s="23"/>
    </row>
    <row r="381" spans="2:9" ht="13.2" x14ac:dyDescent="0.25">
      <c r="B381" s="18"/>
      <c r="E381" s="19"/>
      <c r="F381" s="20"/>
      <c r="G381" s="21"/>
      <c r="H381" s="20"/>
      <c r="I381" s="23"/>
    </row>
    <row r="382" spans="2:9" ht="13.2" x14ac:dyDescent="0.25">
      <c r="B382" s="18"/>
      <c r="E382" s="19"/>
      <c r="F382" s="20"/>
      <c r="G382" s="21"/>
      <c r="H382" s="20"/>
      <c r="I382" s="23"/>
    </row>
    <row r="383" spans="2:9" ht="13.2" x14ac:dyDescent="0.25">
      <c r="B383" s="18"/>
      <c r="E383" s="19"/>
      <c r="F383" s="20"/>
      <c r="G383" s="21"/>
      <c r="H383" s="20"/>
      <c r="I383" s="23"/>
    </row>
    <row r="384" spans="2:9" ht="13.2" x14ac:dyDescent="0.25">
      <c r="B384" s="18"/>
      <c r="E384" s="19"/>
      <c r="F384" s="20"/>
      <c r="G384" s="21"/>
      <c r="H384" s="20"/>
      <c r="I384" s="23"/>
    </row>
    <row r="385" spans="2:9" ht="13.2" x14ac:dyDescent="0.25">
      <c r="B385" s="18"/>
      <c r="E385" s="19"/>
      <c r="F385" s="20"/>
      <c r="G385" s="21"/>
      <c r="H385" s="20"/>
      <c r="I385" s="23"/>
    </row>
    <row r="386" spans="2:9" ht="13.2" x14ac:dyDescent="0.25">
      <c r="B386" s="18"/>
      <c r="E386" s="19"/>
      <c r="F386" s="20"/>
      <c r="G386" s="21"/>
      <c r="H386" s="20"/>
      <c r="I386" s="23"/>
    </row>
    <row r="387" spans="2:9" ht="13.2" x14ac:dyDescent="0.25">
      <c r="B387" s="18"/>
      <c r="E387" s="19"/>
      <c r="F387" s="20"/>
      <c r="G387" s="21"/>
      <c r="H387" s="20"/>
      <c r="I387" s="23"/>
    </row>
    <row r="388" spans="2:9" ht="13.2" x14ac:dyDescent="0.25">
      <c r="B388" s="18"/>
      <c r="E388" s="19"/>
      <c r="F388" s="20"/>
      <c r="G388" s="21"/>
      <c r="H388" s="20"/>
      <c r="I388" s="23"/>
    </row>
    <row r="389" spans="2:9" ht="13.2" x14ac:dyDescent="0.25">
      <c r="B389" s="18"/>
      <c r="E389" s="19"/>
      <c r="F389" s="20"/>
      <c r="G389" s="21"/>
      <c r="H389" s="20"/>
      <c r="I389" s="23"/>
    </row>
    <row r="390" spans="2:9" ht="13.2" x14ac:dyDescent="0.25">
      <c r="B390" s="18"/>
      <c r="E390" s="19"/>
      <c r="F390" s="20"/>
      <c r="G390" s="21"/>
      <c r="H390" s="20"/>
      <c r="I390" s="23"/>
    </row>
    <row r="391" spans="2:9" ht="13.2" x14ac:dyDescent="0.25">
      <c r="B391" s="18"/>
      <c r="E391" s="19"/>
      <c r="F391" s="20"/>
      <c r="G391" s="21"/>
      <c r="H391" s="20"/>
      <c r="I391" s="23"/>
    </row>
    <row r="392" spans="2:9" ht="13.2" x14ac:dyDescent="0.25">
      <c r="B392" s="18"/>
      <c r="E392" s="19"/>
      <c r="F392" s="20"/>
      <c r="G392" s="21"/>
      <c r="H392" s="20"/>
      <c r="I392" s="23"/>
    </row>
    <row r="393" spans="2:9" ht="13.2" x14ac:dyDescent="0.25">
      <c r="B393" s="18"/>
      <c r="E393" s="19"/>
      <c r="F393" s="20"/>
      <c r="G393" s="21"/>
      <c r="H393" s="20"/>
      <c r="I393" s="23"/>
    </row>
    <row r="394" spans="2:9" ht="13.2" x14ac:dyDescent="0.25">
      <c r="B394" s="18"/>
      <c r="E394" s="19"/>
      <c r="F394" s="20"/>
      <c r="G394" s="21"/>
      <c r="H394" s="20"/>
      <c r="I394" s="23"/>
    </row>
    <row r="395" spans="2:9" ht="13.2" x14ac:dyDescent="0.25">
      <c r="B395" s="18"/>
      <c r="E395" s="19"/>
      <c r="F395" s="20"/>
      <c r="G395" s="21"/>
      <c r="H395" s="20"/>
      <c r="I395" s="23"/>
    </row>
    <row r="396" spans="2:9" ht="13.2" x14ac:dyDescent="0.25">
      <c r="B396" s="18"/>
      <c r="E396" s="19"/>
      <c r="F396" s="20"/>
      <c r="G396" s="21"/>
      <c r="H396" s="20"/>
      <c r="I396" s="23"/>
    </row>
    <row r="397" spans="2:9" ht="13.2" x14ac:dyDescent="0.25">
      <c r="B397" s="18"/>
      <c r="E397" s="19"/>
      <c r="F397" s="20"/>
      <c r="G397" s="21"/>
      <c r="H397" s="20"/>
      <c r="I397" s="23"/>
    </row>
    <row r="398" spans="2:9" ht="13.2" x14ac:dyDescent="0.25">
      <c r="B398" s="18"/>
      <c r="E398" s="19"/>
      <c r="F398" s="20"/>
      <c r="G398" s="21"/>
      <c r="H398" s="20"/>
      <c r="I398" s="23"/>
    </row>
    <row r="399" spans="2:9" ht="13.2" x14ac:dyDescent="0.25">
      <c r="B399" s="18"/>
      <c r="E399" s="19"/>
      <c r="F399" s="20"/>
      <c r="G399" s="21"/>
      <c r="H399" s="20"/>
      <c r="I399" s="23"/>
    </row>
    <row r="400" spans="2:9" ht="13.2" x14ac:dyDescent="0.25">
      <c r="B400" s="18"/>
      <c r="E400" s="19"/>
      <c r="F400" s="20"/>
      <c r="G400" s="21"/>
      <c r="H400" s="20"/>
      <c r="I400" s="23"/>
    </row>
    <row r="401" spans="2:9" ht="13.2" x14ac:dyDescent="0.25">
      <c r="B401" s="18"/>
      <c r="E401" s="19"/>
      <c r="F401" s="20"/>
      <c r="G401" s="21"/>
      <c r="H401" s="20"/>
      <c r="I401" s="23"/>
    </row>
    <row r="402" spans="2:9" ht="13.2" x14ac:dyDescent="0.25">
      <c r="B402" s="18"/>
      <c r="E402" s="19"/>
      <c r="F402" s="20"/>
      <c r="G402" s="21"/>
      <c r="H402" s="20"/>
      <c r="I402" s="23"/>
    </row>
    <row r="403" spans="2:9" ht="13.2" x14ac:dyDescent="0.25">
      <c r="B403" s="18"/>
      <c r="E403" s="19"/>
      <c r="F403" s="20"/>
      <c r="G403" s="21"/>
      <c r="H403" s="20"/>
      <c r="I403" s="23"/>
    </row>
    <row r="404" spans="2:9" ht="13.2" x14ac:dyDescent="0.25">
      <c r="B404" s="18"/>
      <c r="E404" s="19"/>
      <c r="F404" s="20"/>
      <c r="G404" s="21"/>
      <c r="H404" s="20"/>
      <c r="I404" s="23"/>
    </row>
    <row r="405" spans="2:9" ht="13.2" x14ac:dyDescent="0.25">
      <c r="B405" s="18"/>
      <c r="E405" s="19"/>
      <c r="F405" s="20"/>
      <c r="G405" s="21"/>
      <c r="H405" s="20"/>
      <c r="I405" s="23"/>
    </row>
    <row r="406" spans="2:9" ht="13.2" x14ac:dyDescent="0.25">
      <c r="B406" s="18"/>
      <c r="E406" s="19"/>
      <c r="F406" s="20"/>
      <c r="G406" s="21"/>
      <c r="H406" s="20"/>
      <c r="I406" s="23"/>
    </row>
    <row r="407" spans="2:9" ht="13.2" x14ac:dyDescent="0.25">
      <c r="B407" s="18"/>
      <c r="E407" s="19"/>
      <c r="F407" s="20"/>
      <c r="G407" s="21"/>
      <c r="H407" s="20"/>
      <c r="I407" s="23"/>
    </row>
    <row r="408" spans="2:9" ht="13.2" x14ac:dyDescent="0.25">
      <c r="B408" s="18"/>
      <c r="E408" s="19"/>
      <c r="F408" s="20"/>
      <c r="G408" s="21"/>
      <c r="H408" s="20"/>
      <c r="I408" s="23"/>
    </row>
    <row r="409" spans="2:9" ht="13.2" x14ac:dyDescent="0.25">
      <c r="B409" s="18"/>
      <c r="E409" s="19"/>
      <c r="F409" s="20"/>
      <c r="G409" s="21"/>
      <c r="H409" s="20"/>
      <c r="I409" s="23"/>
    </row>
    <row r="410" spans="2:9" ht="13.2" x14ac:dyDescent="0.25">
      <c r="B410" s="18"/>
      <c r="E410" s="19"/>
      <c r="F410" s="20"/>
      <c r="G410" s="21"/>
      <c r="H410" s="20"/>
      <c r="I410" s="23"/>
    </row>
    <row r="411" spans="2:9" ht="13.2" x14ac:dyDescent="0.25">
      <c r="B411" s="18"/>
      <c r="E411" s="19"/>
      <c r="F411" s="20"/>
      <c r="G411" s="21"/>
      <c r="H411" s="20"/>
      <c r="I411" s="23"/>
    </row>
    <row r="412" spans="2:9" ht="13.2" x14ac:dyDescent="0.25">
      <c r="B412" s="18"/>
      <c r="E412" s="19"/>
      <c r="F412" s="20"/>
      <c r="G412" s="21"/>
      <c r="H412" s="20"/>
      <c r="I412" s="23"/>
    </row>
    <row r="413" spans="2:9" ht="13.2" x14ac:dyDescent="0.25">
      <c r="B413" s="18"/>
      <c r="E413" s="19"/>
      <c r="F413" s="20"/>
      <c r="G413" s="21"/>
      <c r="H413" s="20"/>
      <c r="I413" s="23"/>
    </row>
    <row r="414" spans="2:9" ht="13.2" x14ac:dyDescent="0.25">
      <c r="B414" s="18"/>
      <c r="E414" s="19"/>
      <c r="F414" s="20"/>
      <c r="G414" s="21"/>
      <c r="H414" s="20"/>
      <c r="I414" s="23"/>
    </row>
    <row r="415" spans="2:9" ht="13.2" x14ac:dyDescent="0.25">
      <c r="B415" s="18"/>
      <c r="E415" s="19"/>
      <c r="F415" s="20"/>
      <c r="G415" s="21"/>
      <c r="H415" s="20"/>
      <c r="I415" s="23"/>
    </row>
    <row r="416" spans="2:9" ht="13.2" x14ac:dyDescent="0.25">
      <c r="B416" s="18"/>
      <c r="E416" s="19"/>
      <c r="F416" s="20"/>
      <c r="G416" s="21"/>
      <c r="H416" s="20"/>
      <c r="I416" s="23"/>
    </row>
    <row r="417" spans="2:9" ht="13.2" x14ac:dyDescent="0.25">
      <c r="B417" s="18"/>
      <c r="E417" s="19"/>
      <c r="F417" s="20"/>
      <c r="G417" s="21"/>
      <c r="H417" s="20"/>
      <c r="I417" s="23"/>
    </row>
    <row r="418" spans="2:9" ht="13.2" x14ac:dyDescent="0.25">
      <c r="B418" s="18"/>
      <c r="E418" s="19"/>
      <c r="F418" s="20"/>
      <c r="G418" s="21"/>
      <c r="H418" s="20"/>
      <c r="I418" s="23"/>
    </row>
    <row r="419" spans="2:9" ht="13.2" x14ac:dyDescent="0.25">
      <c r="B419" s="18"/>
      <c r="E419" s="19"/>
      <c r="F419" s="20"/>
      <c r="G419" s="21"/>
      <c r="H419" s="20"/>
      <c r="I419" s="23"/>
    </row>
    <row r="420" spans="2:9" ht="13.2" x14ac:dyDescent="0.25">
      <c r="B420" s="18"/>
      <c r="E420" s="19"/>
      <c r="F420" s="20"/>
      <c r="G420" s="21"/>
      <c r="H420" s="20"/>
      <c r="I420" s="23"/>
    </row>
    <row r="421" spans="2:9" ht="13.2" x14ac:dyDescent="0.25">
      <c r="B421" s="18"/>
      <c r="E421" s="19"/>
      <c r="F421" s="20"/>
      <c r="G421" s="21"/>
      <c r="H421" s="20"/>
      <c r="I421" s="23"/>
    </row>
    <row r="422" spans="2:9" ht="13.2" x14ac:dyDescent="0.25">
      <c r="B422" s="18"/>
      <c r="E422" s="19"/>
      <c r="F422" s="20"/>
      <c r="G422" s="21"/>
      <c r="H422" s="20"/>
      <c r="I422" s="23"/>
    </row>
    <row r="423" spans="2:9" ht="13.2" x14ac:dyDescent="0.25">
      <c r="B423" s="18"/>
      <c r="E423" s="19"/>
      <c r="F423" s="20"/>
      <c r="G423" s="21"/>
      <c r="H423" s="20"/>
      <c r="I423" s="23"/>
    </row>
    <row r="424" spans="2:9" ht="13.2" x14ac:dyDescent="0.25">
      <c r="B424" s="18"/>
      <c r="E424" s="19"/>
      <c r="F424" s="20"/>
      <c r="G424" s="21"/>
      <c r="H424" s="20"/>
      <c r="I424" s="23"/>
    </row>
    <row r="425" spans="2:9" ht="13.2" x14ac:dyDescent="0.25">
      <c r="B425" s="18"/>
      <c r="E425" s="19"/>
      <c r="F425" s="20"/>
      <c r="G425" s="21"/>
      <c r="H425" s="20"/>
      <c r="I425" s="23"/>
    </row>
    <row r="426" spans="2:9" ht="13.2" x14ac:dyDescent="0.25">
      <c r="B426" s="18"/>
      <c r="E426" s="19"/>
      <c r="F426" s="20"/>
      <c r="G426" s="21"/>
      <c r="H426" s="20"/>
      <c r="I426" s="23"/>
    </row>
    <row r="427" spans="2:9" ht="13.2" x14ac:dyDescent="0.25">
      <c r="B427" s="18"/>
      <c r="E427" s="19"/>
      <c r="F427" s="20"/>
      <c r="G427" s="21"/>
      <c r="H427" s="20"/>
      <c r="I427" s="23"/>
    </row>
    <row r="428" spans="2:9" ht="13.2" x14ac:dyDescent="0.25">
      <c r="B428" s="18"/>
      <c r="E428" s="19"/>
      <c r="F428" s="20"/>
      <c r="G428" s="21"/>
      <c r="H428" s="20"/>
      <c r="I428" s="23"/>
    </row>
    <row r="429" spans="2:9" ht="13.2" x14ac:dyDescent="0.25">
      <c r="B429" s="18"/>
      <c r="E429" s="19"/>
      <c r="F429" s="20"/>
      <c r="G429" s="21"/>
      <c r="H429" s="20"/>
      <c r="I429" s="23"/>
    </row>
    <row r="430" spans="2:9" ht="13.2" x14ac:dyDescent="0.25">
      <c r="B430" s="18"/>
      <c r="E430" s="19"/>
      <c r="F430" s="20"/>
      <c r="G430" s="21"/>
      <c r="H430" s="20"/>
      <c r="I430" s="23"/>
    </row>
    <row r="431" spans="2:9" ht="13.2" x14ac:dyDescent="0.25">
      <c r="B431" s="18"/>
      <c r="E431" s="19"/>
      <c r="F431" s="20"/>
      <c r="G431" s="21"/>
      <c r="H431" s="20"/>
      <c r="I431" s="23"/>
    </row>
    <row r="432" spans="2:9" ht="13.2" x14ac:dyDescent="0.25">
      <c r="B432" s="18"/>
      <c r="E432" s="19"/>
      <c r="F432" s="20"/>
      <c r="G432" s="21"/>
      <c r="H432" s="20"/>
      <c r="I432" s="23"/>
    </row>
    <row r="433" spans="2:9" ht="13.2" x14ac:dyDescent="0.25">
      <c r="B433" s="18"/>
      <c r="E433" s="19"/>
      <c r="F433" s="20"/>
      <c r="G433" s="21"/>
      <c r="H433" s="20"/>
      <c r="I433" s="23"/>
    </row>
    <row r="434" spans="2:9" ht="13.2" x14ac:dyDescent="0.25">
      <c r="B434" s="18"/>
      <c r="E434" s="19"/>
      <c r="F434" s="20"/>
      <c r="G434" s="21"/>
      <c r="H434" s="20"/>
      <c r="I434" s="23"/>
    </row>
    <row r="435" spans="2:9" ht="13.2" x14ac:dyDescent="0.25">
      <c r="B435" s="18"/>
      <c r="E435" s="19"/>
      <c r="F435" s="20"/>
      <c r="G435" s="21"/>
      <c r="H435" s="20"/>
      <c r="I435" s="23"/>
    </row>
    <row r="436" spans="2:9" ht="13.2" x14ac:dyDescent="0.25">
      <c r="B436" s="18"/>
      <c r="E436" s="19"/>
      <c r="F436" s="20"/>
      <c r="G436" s="21"/>
      <c r="H436" s="20"/>
      <c r="I436" s="23"/>
    </row>
    <row r="437" spans="2:9" ht="13.2" x14ac:dyDescent="0.25">
      <c r="B437" s="18"/>
      <c r="E437" s="19"/>
      <c r="F437" s="20"/>
      <c r="G437" s="21"/>
      <c r="H437" s="20"/>
      <c r="I437" s="23"/>
    </row>
    <row r="438" spans="2:9" ht="13.2" x14ac:dyDescent="0.25">
      <c r="B438" s="18"/>
      <c r="E438" s="19"/>
      <c r="F438" s="20"/>
      <c r="G438" s="21"/>
      <c r="H438" s="20"/>
      <c r="I438" s="23"/>
    </row>
    <row r="439" spans="2:9" ht="13.2" x14ac:dyDescent="0.25">
      <c r="B439" s="18"/>
      <c r="E439" s="19"/>
      <c r="F439" s="20"/>
      <c r="G439" s="21"/>
      <c r="H439" s="20"/>
      <c r="I439" s="23"/>
    </row>
    <row r="440" spans="2:9" ht="13.2" x14ac:dyDescent="0.25">
      <c r="B440" s="18"/>
      <c r="E440" s="19"/>
      <c r="F440" s="20"/>
      <c r="G440" s="21"/>
      <c r="H440" s="20"/>
      <c r="I440" s="23"/>
    </row>
    <row r="441" spans="2:9" ht="13.2" x14ac:dyDescent="0.25">
      <c r="B441" s="18"/>
      <c r="E441" s="19"/>
      <c r="F441" s="20"/>
      <c r="G441" s="21"/>
      <c r="H441" s="20"/>
      <c r="I441" s="23"/>
    </row>
    <row r="442" spans="2:9" ht="13.2" x14ac:dyDescent="0.25">
      <c r="B442" s="18"/>
      <c r="E442" s="19"/>
      <c r="F442" s="20"/>
      <c r="G442" s="21"/>
      <c r="H442" s="20"/>
      <c r="I442" s="23"/>
    </row>
    <row r="443" spans="2:9" ht="13.2" x14ac:dyDescent="0.25">
      <c r="B443" s="18"/>
      <c r="E443" s="19"/>
      <c r="F443" s="20"/>
      <c r="G443" s="21"/>
      <c r="H443" s="20"/>
      <c r="I443" s="23"/>
    </row>
    <row r="444" spans="2:9" ht="13.2" x14ac:dyDescent="0.25">
      <c r="B444" s="18"/>
      <c r="E444" s="19"/>
      <c r="F444" s="20"/>
      <c r="G444" s="21"/>
      <c r="H444" s="20"/>
      <c r="I444" s="23"/>
    </row>
    <row r="445" spans="2:9" ht="13.2" x14ac:dyDescent="0.25">
      <c r="B445" s="18"/>
      <c r="E445" s="19"/>
      <c r="F445" s="20"/>
      <c r="G445" s="21"/>
      <c r="H445" s="20"/>
      <c r="I445" s="23"/>
    </row>
    <row r="446" spans="2:9" ht="13.2" x14ac:dyDescent="0.25">
      <c r="B446" s="18"/>
      <c r="E446" s="19"/>
      <c r="F446" s="20"/>
      <c r="G446" s="21"/>
      <c r="H446" s="20"/>
      <c r="I446" s="23"/>
    </row>
    <row r="447" spans="2:9" ht="13.2" x14ac:dyDescent="0.25">
      <c r="B447" s="18"/>
      <c r="E447" s="19"/>
      <c r="F447" s="20"/>
      <c r="G447" s="21"/>
      <c r="H447" s="20"/>
      <c r="I447" s="23"/>
    </row>
    <row r="448" spans="2:9" ht="13.2" x14ac:dyDescent="0.25">
      <c r="B448" s="18"/>
      <c r="E448" s="19"/>
      <c r="F448" s="20"/>
      <c r="G448" s="21"/>
      <c r="H448" s="20"/>
      <c r="I448" s="23"/>
    </row>
    <row r="449" spans="2:9" ht="13.2" x14ac:dyDescent="0.25">
      <c r="B449" s="18"/>
      <c r="E449" s="19"/>
      <c r="F449" s="20"/>
      <c r="G449" s="21"/>
      <c r="H449" s="20"/>
      <c r="I449" s="23"/>
    </row>
    <row r="450" spans="2:9" ht="13.2" x14ac:dyDescent="0.25">
      <c r="B450" s="18"/>
      <c r="E450" s="19"/>
      <c r="F450" s="20"/>
      <c r="G450" s="21"/>
      <c r="H450" s="20"/>
      <c r="I450" s="23"/>
    </row>
    <row r="451" spans="2:9" ht="13.2" x14ac:dyDescent="0.25">
      <c r="B451" s="18"/>
      <c r="E451" s="19"/>
      <c r="F451" s="20"/>
      <c r="G451" s="21"/>
      <c r="H451" s="20"/>
      <c r="I451" s="23"/>
    </row>
    <row r="452" spans="2:9" ht="13.2" x14ac:dyDescent="0.25">
      <c r="B452" s="18"/>
      <c r="E452" s="19"/>
      <c r="F452" s="20"/>
      <c r="G452" s="21"/>
      <c r="H452" s="20"/>
      <c r="I452" s="23"/>
    </row>
    <row r="453" spans="2:9" ht="13.2" x14ac:dyDescent="0.25">
      <c r="B453" s="18"/>
      <c r="E453" s="19"/>
      <c r="F453" s="20"/>
      <c r="G453" s="21"/>
      <c r="H453" s="20"/>
      <c r="I453" s="23"/>
    </row>
    <row r="454" spans="2:9" ht="13.2" x14ac:dyDescent="0.25">
      <c r="B454" s="18"/>
      <c r="E454" s="19"/>
      <c r="F454" s="20"/>
      <c r="G454" s="21"/>
      <c r="H454" s="20"/>
      <c r="I454" s="23"/>
    </row>
    <row r="455" spans="2:9" ht="13.2" x14ac:dyDescent="0.25">
      <c r="B455" s="18"/>
      <c r="E455" s="19"/>
      <c r="F455" s="20"/>
      <c r="G455" s="21"/>
      <c r="H455" s="20"/>
      <c r="I455" s="23"/>
    </row>
    <row r="456" spans="2:9" ht="13.2" x14ac:dyDescent="0.25">
      <c r="B456" s="18"/>
      <c r="E456" s="19"/>
      <c r="F456" s="20"/>
      <c r="G456" s="21"/>
      <c r="H456" s="20"/>
      <c r="I456" s="23"/>
    </row>
    <row r="457" spans="2:9" ht="13.2" x14ac:dyDescent="0.25">
      <c r="B457" s="18"/>
      <c r="E457" s="19"/>
      <c r="F457" s="20"/>
      <c r="G457" s="21"/>
      <c r="H457" s="20"/>
      <c r="I457" s="23"/>
    </row>
    <row r="458" spans="2:9" ht="13.2" x14ac:dyDescent="0.25">
      <c r="B458" s="18"/>
      <c r="E458" s="19"/>
      <c r="F458" s="20"/>
      <c r="G458" s="21"/>
      <c r="H458" s="20"/>
      <c r="I458" s="23"/>
    </row>
    <row r="459" spans="2:9" ht="13.2" x14ac:dyDescent="0.25">
      <c r="B459" s="18"/>
      <c r="E459" s="19"/>
      <c r="F459" s="20"/>
      <c r="G459" s="21"/>
      <c r="H459" s="20"/>
      <c r="I459" s="23"/>
    </row>
    <row r="460" spans="2:9" ht="13.2" x14ac:dyDescent="0.25">
      <c r="B460" s="18"/>
      <c r="E460" s="19"/>
      <c r="F460" s="20"/>
      <c r="G460" s="21"/>
      <c r="H460" s="20"/>
      <c r="I460" s="23"/>
    </row>
    <row r="461" spans="2:9" ht="13.2" x14ac:dyDescent="0.25">
      <c r="B461" s="18"/>
      <c r="E461" s="19"/>
      <c r="F461" s="20"/>
      <c r="G461" s="21"/>
      <c r="H461" s="20"/>
      <c r="I461" s="23"/>
    </row>
    <row r="462" spans="2:9" ht="13.2" x14ac:dyDescent="0.25">
      <c r="B462" s="18"/>
      <c r="E462" s="19"/>
      <c r="F462" s="20"/>
      <c r="G462" s="21"/>
      <c r="H462" s="20"/>
      <c r="I462" s="23"/>
    </row>
    <row r="463" spans="2:9" ht="13.2" x14ac:dyDescent="0.25">
      <c r="B463" s="18"/>
      <c r="E463" s="19"/>
      <c r="F463" s="20"/>
      <c r="G463" s="21"/>
      <c r="H463" s="20"/>
      <c r="I463" s="23"/>
    </row>
    <row r="464" spans="2:9" ht="13.2" x14ac:dyDescent="0.25">
      <c r="B464" s="18"/>
      <c r="E464" s="19"/>
      <c r="F464" s="20"/>
      <c r="G464" s="21"/>
      <c r="H464" s="20"/>
      <c r="I464" s="23"/>
    </row>
    <row r="465" spans="2:9" ht="13.2" x14ac:dyDescent="0.25">
      <c r="B465" s="18"/>
      <c r="E465" s="19"/>
      <c r="F465" s="20"/>
      <c r="G465" s="21"/>
      <c r="H465" s="20"/>
      <c r="I465" s="23"/>
    </row>
    <row r="466" spans="2:9" ht="13.2" x14ac:dyDescent="0.25">
      <c r="B466" s="18"/>
      <c r="E466" s="19"/>
      <c r="F466" s="20"/>
      <c r="G466" s="21"/>
      <c r="H466" s="20"/>
      <c r="I466" s="23"/>
    </row>
    <row r="467" spans="2:9" ht="13.2" x14ac:dyDescent="0.25">
      <c r="B467" s="18"/>
      <c r="E467" s="19"/>
      <c r="F467" s="20"/>
      <c r="G467" s="21"/>
      <c r="H467" s="20"/>
      <c r="I467" s="23"/>
    </row>
    <row r="468" spans="2:9" ht="13.2" x14ac:dyDescent="0.25">
      <c r="B468" s="18"/>
      <c r="E468" s="19"/>
      <c r="F468" s="20"/>
      <c r="G468" s="21"/>
      <c r="H468" s="20"/>
      <c r="I468" s="23"/>
    </row>
    <row r="469" spans="2:9" ht="13.2" x14ac:dyDescent="0.25">
      <c r="B469" s="18"/>
      <c r="E469" s="19"/>
      <c r="F469" s="20"/>
      <c r="G469" s="21"/>
      <c r="H469" s="20"/>
      <c r="I469" s="23"/>
    </row>
    <row r="470" spans="2:9" ht="13.2" x14ac:dyDescent="0.25">
      <c r="B470" s="18"/>
      <c r="E470" s="19"/>
      <c r="F470" s="20"/>
      <c r="G470" s="21"/>
      <c r="H470" s="20"/>
      <c r="I470" s="23"/>
    </row>
    <row r="471" spans="2:9" ht="13.2" x14ac:dyDescent="0.25">
      <c r="B471" s="18"/>
      <c r="E471" s="19"/>
      <c r="F471" s="20"/>
      <c r="G471" s="21"/>
      <c r="H471" s="20"/>
      <c r="I471" s="23"/>
    </row>
    <row r="472" spans="2:9" ht="13.2" x14ac:dyDescent="0.25">
      <c r="B472" s="18"/>
      <c r="E472" s="19"/>
      <c r="F472" s="20"/>
      <c r="G472" s="21"/>
      <c r="H472" s="20"/>
      <c r="I472" s="23"/>
    </row>
    <row r="473" spans="2:9" ht="13.2" x14ac:dyDescent="0.25">
      <c r="B473" s="18"/>
      <c r="E473" s="19"/>
      <c r="F473" s="20"/>
      <c r="G473" s="21"/>
      <c r="H473" s="20"/>
      <c r="I473" s="23"/>
    </row>
    <row r="474" spans="2:9" ht="13.2" x14ac:dyDescent="0.25">
      <c r="B474" s="18"/>
      <c r="E474" s="19"/>
      <c r="F474" s="20"/>
      <c r="G474" s="21"/>
      <c r="H474" s="20"/>
      <c r="I474" s="23"/>
    </row>
    <row r="475" spans="2:9" ht="13.2" x14ac:dyDescent="0.25">
      <c r="B475" s="18"/>
      <c r="E475" s="19"/>
      <c r="F475" s="20"/>
      <c r="G475" s="21"/>
      <c r="H475" s="20"/>
      <c r="I475" s="23"/>
    </row>
    <row r="476" spans="2:9" ht="13.2" x14ac:dyDescent="0.25">
      <c r="B476" s="18"/>
      <c r="E476" s="19"/>
      <c r="F476" s="20"/>
      <c r="G476" s="21"/>
      <c r="H476" s="20"/>
      <c r="I476" s="23"/>
    </row>
    <row r="477" spans="2:9" ht="13.2" x14ac:dyDescent="0.25">
      <c r="B477" s="18"/>
      <c r="E477" s="19"/>
      <c r="F477" s="20"/>
      <c r="G477" s="21"/>
      <c r="H477" s="20"/>
      <c r="I477" s="23"/>
    </row>
    <row r="478" spans="2:9" ht="13.2" x14ac:dyDescent="0.25">
      <c r="B478" s="18"/>
      <c r="E478" s="19"/>
      <c r="F478" s="20"/>
      <c r="G478" s="21"/>
      <c r="H478" s="20"/>
      <c r="I478" s="23"/>
    </row>
    <row r="479" spans="2:9" ht="13.2" x14ac:dyDescent="0.25">
      <c r="B479" s="18"/>
      <c r="E479" s="19"/>
      <c r="F479" s="20"/>
      <c r="G479" s="21"/>
      <c r="H479" s="20"/>
      <c r="I479" s="23"/>
    </row>
    <row r="480" spans="2:9" ht="13.2" x14ac:dyDescent="0.25">
      <c r="B480" s="18"/>
      <c r="E480" s="19"/>
      <c r="F480" s="20"/>
      <c r="G480" s="21"/>
      <c r="H480" s="20"/>
      <c r="I480" s="23"/>
    </row>
    <row r="481" spans="2:9" ht="13.2" x14ac:dyDescent="0.25">
      <c r="B481" s="18"/>
      <c r="E481" s="19"/>
      <c r="F481" s="20"/>
      <c r="G481" s="21"/>
      <c r="H481" s="20"/>
      <c r="I481" s="23"/>
    </row>
    <row r="482" spans="2:9" ht="13.2" x14ac:dyDescent="0.25">
      <c r="B482" s="18"/>
      <c r="E482" s="19"/>
      <c r="F482" s="20"/>
      <c r="G482" s="21"/>
      <c r="H482" s="20"/>
      <c r="I482" s="23"/>
    </row>
    <row r="483" spans="2:9" ht="13.2" x14ac:dyDescent="0.25">
      <c r="B483" s="18"/>
      <c r="E483" s="19"/>
      <c r="F483" s="20"/>
      <c r="G483" s="21"/>
      <c r="H483" s="20"/>
      <c r="I483" s="23"/>
    </row>
    <row r="484" spans="2:9" ht="13.2" x14ac:dyDescent="0.25">
      <c r="B484" s="18"/>
      <c r="E484" s="19"/>
      <c r="F484" s="20"/>
      <c r="G484" s="21"/>
      <c r="H484" s="20"/>
      <c r="I484" s="23"/>
    </row>
    <row r="485" spans="2:9" ht="13.2" x14ac:dyDescent="0.25">
      <c r="B485" s="18"/>
      <c r="E485" s="19"/>
      <c r="F485" s="20"/>
      <c r="G485" s="21"/>
      <c r="H485" s="20"/>
      <c r="I485" s="23"/>
    </row>
    <row r="486" spans="2:9" ht="13.2" x14ac:dyDescent="0.25">
      <c r="B486" s="18"/>
      <c r="E486" s="19"/>
      <c r="F486" s="20"/>
      <c r="G486" s="21"/>
      <c r="H486" s="20"/>
      <c r="I486" s="23"/>
    </row>
    <row r="487" spans="2:9" ht="13.2" x14ac:dyDescent="0.25">
      <c r="B487" s="18"/>
      <c r="E487" s="19"/>
      <c r="F487" s="20"/>
      <c r="G487" s="21"/>
      <c r="H487" s="20"/>
      <c r="I487" s="23"/>
    </row>
    <row r="488" spans="2:9" ht="13.2" x14ac:dyDescent="0.25">
      <c r="B488" s="18"/>
      <c r="E488" s="19"/>
      <c r="F488" s="20"/>
      <c r="G488" s="21"/>
      <c r="H488" s="20"/>
      <c r="I488" s="23"/>
    </row>
    <row r="489" spans="2:9" ht="13.2" x14ac:dyDescent="0.25">
      <c r="B489" s="18"/>
      <c r="E489" s="19"/>
      <c r="F489" s="20"/>
      <c r="G489" s="21"/>
      <c r="H489" s="20"/>
      <c r="I489" s="23"/>
    </row>
    <row r="490" spans="2:9" ht="13.2" x14ac:dyDescent="0.25">
      <c r="B490" s="18"/>
      <c r="E490" s="19"/>
      <c r="F490" s="20"/>
      <c r="G490" s="21"/>
      <c r="H490" s="20"/>
      <c r="I490" s="23"/>
    </row>
    <row r="491" spans="2:9" ht="13.2" x14ac:dyDescent="0.25">
      <c r="B491" s="18"/>
      <c r="E491" s="19"/>
      <c r="F491" s="20"/>
      <c r="G491" s="21"/>
      <c r="H491" s="20"/>
      <c r="I491" s="23"/>
    </row>
    <row r="492" spans="2:9" ht="13.2" x14ac:dyDescent="0.25">
      <c r="B492" s="18"/>
      <c r="E492" s="19"/>
      <c r="F492" s="20"/>
      <c r="G492" s="21"/>
      <c r="H492" s="20"/>
      <c r="I492" s="23"/>
    </row>
    <row r="493" spans="2:9" ht="13.2" x14ac:dyDescent="0.25">
      <c r="B493" s="18"/>
      <c r="E493" s="19"/>
      <c r="F493" s="20"/>
      <c r="G493" s="21"/>
      <c r="H493" s="20"/>
      <c r="I493" s="23"/>
    </row>
    <row r="494" spans="2:9" ht="13.2" x14ac:dyDescent="0.25">
      <c r="B494" s="18"/>
      <c r="E494" s="19"/>
      <c r="F494" s="20"/>
      <c r="G494" s="21"/>
      <c r="H494" s="20"/>
      <c r="I494" s="23"/>
    </row>
    <row r="495" spans="2:9" ht="13.2" x14ac:dyDescent="0.25">
      <c r="B495" s="18"/>
      <c r="E495" s="19"/>
      <c r="F495" s="20"/>
      <c r="G495" s="21"/>
      <c r="H495" s="20"/>
      <c r="I495" s="23"/>
    </row>
    <row r="496" spans="2:9" ht="13.2" x14ac:dyDescent="0.25">
      <c r="B496" s="18"/>
      <c r="E496" s="19"/>
      <c r="F496" s="20"/>
      <c r="G496" s="21"/>
      <c r="H496" s="20"/>
      <c r="I496" s="23"/>
    </row>
    <row r="497" spans="2:9" ht="13.2" x14ac:dyDescent="0.25">
      <c r="B497" s="18"/>
      <c r="E497" s="19"/>
      <c r="F497" s="20"/>
      <c r="G497" s="21"/>
      <c r="H497" s="20"/>
      <c r="I497" s="23"/>
    </row>
    <row r="498" spans="2:9" ht="13.2" x14ac:dyDescent="0.25">
      <c r="B498" s="18"/>
      <c r="E498" s="19"/>
      <c r="F498" s="20"/>
      <c r="G498" s="21"/>
      <c r="H498" s="20"/>
      <c r="I498" s="23"/>
    </row>
    <row r="499" spans="2:9" ht="13.2" x14ac:dyDescent="0.25">
      <c r="B499" s="18"/>
      <c r="E499" s="19"/>
      <c r="F499" s="20"/>
      <c r="G499" s="21"/>
      <c r="H499" s="20"/>
      <c r="I499" s="23"/>
    </row>
    <row r="500" spans="2:9" ht="13.2" x14ac:dyDescent="0.25">
      <c r="B500" s="18"/>
      <c r="E500" s="19"/>
      <c r="F500" s="20"/>
      <c r="G500" s="21"/>
      <c r="H500" s="20"/>
      <c r="I500" s="23"/>
    </row>
    <row r="501" spans="2:9" ht="13.2" x14ac:dyDescent="0.25">
      <c r="B501" s="18"/>
      <c r="E501" s="19"/>
      <c r="F501" s="20"/>
      <c r="G501" s="21"/>
      <c r="H501" s="20"/>
      <c r="I501" s="23"/>
    </row>
    <row r="502" spans="2:9" ht="13.2" x14ac:dyDescent="0.25">
      <c r="B502" s="18"/>
      <c r="E502" s="19"/>
      <c r="F502" s="20"/>
      <c r="G502" s="21"/>
      <c r="H502" s="20"/>
      <c r="I502" s="23"/>
    </row>
    <row r="503" spans="2:9" ht="13.2" x14ac:dyDescent="0.25">
      <c r="B503" s="18"/>
      <c r="E503" s="19"/>
      <c r="F503" s="20"/>
      <c r="G503" s="21"/>
      <c r="H503" s="20"/>
      <c r="I503" s="23"/>
    </row>
    <row r="504" spans="2:9" ht="13.2" x14ac:dyDescent="0.25">
      <c r="B504" s="18"/>
      <c r="E504" s="19"/>
      <c r="F504" s="20"/>
      <c r="G504" s="21"/>
      <c r="H504" s="20"/>
      <c r="I504" s="23"/>
    </row>
    <row r="505" spans="2:9" ht="13.2" x14ac:dyDescent="0.25">
      <c r="B505" s="18"/>
      <c r="E505" s="19"/>
      <c r="F505" s="20"/>
      <c r="G505" s="21"/>
      <c r="H505" s="20"/>
      <c r="I505" s="23"/>
    </row>
    <row r="506" spans="2:9" ht="13.2" x14ac:dyDescent="0.25">
      <c r="B506" s="18"/>
      <c r="E506" s="19"/>
      <c r="F506" s="20"/>
      <c r="G506" s="21"/>
      <c r="H506" s="20"/>
      <c r="I506" s="23"/>
    </row>
    <row r="507" spans="2:9" ht="13.2" x14ac:dyDescent="0.25">
      <c r="B507" s="18"/>
      <c r="E507" s="19"/>
      <c r="F507" s="20"/>
      <c r="G507" s="21"/>
      <c r="H507" s="20"/>
      <c r="I507" s="23"/>
    </row>
    <row r="508" spans="2:9" ht="13.2" x14ac:dyDescent="0.25">
      <c r="B508" s="18"/>
      <c r="E508" s="19"/>
      <c r="F508" s="20"/>
      <c r="G508" s="21"/>
      <c r="H508" s="20"/>
      <c r="I508" s="23"/>
    </row>
    <row r="509" spans="2:9" ht="13.2" x14ac:dyDescent="0.25">
      <c r="B509" s="18"/>
      <c r="E509" s="19"/>
      <c r="F509" s="20"/>
      <c r="G509" s="21"/>
      <c r="H509" s="20"/>
      <c r="I509" s="23"/>
    </row>
    <row r="510" spans="2:9" ht="13.2" x14ac:dyDescent="0.25">
      <c r="B510" s="18"/>
      <c r="E510" s="19"/>
      <c r="F510" s="20"/>
      <c r="G510" s="21"/>
      <c r="H510" s="20"/>
      <c r="I510" s="23"/>
    </row>
    <row r="511" spans="2:9" ht="13.2" x14ac:dyDescent="0.25">
      <c r="B511" s="18"/>
      <c r="E511" s="19"/>
      <c r="F511" s="20"/>
      <c r="G511" s="21"/>
      <c r="H511" s="20"/>
      <c r="I511" s="23"/>
    </row>
    <row r="512" spans="2:9" ht="13.2" x14ac:dyDescent="0.25">
      <c r="B512" s="18"/>
      <c r="E512" s="19"/>
      <c r="F512" s="20"/>
      <c r="G512" s="21"/>
      <c r="H512" s="20"/>
      <c r="I512" s="23"/>
    </row>
    <row r="513" spans="2:9" ht="13.2" x14ac:dyDescent="0.25">
      <c r="B513" s="18"/>
      <c r="E513" s="19"/>
      <c r="F513" s="20"/>
      <c r="G513" s="21"/>
      <c r="H513" s="20"/>
      <c r="I513" s="23"/>
    </row>
    <row r="514" spans="2:9" ht="13.2" x14ac:dyDescent="0.25">
      <c r="B514" s="18"/>
      <c r="E514" s="19"/>
      <c r="F514" s="20"/>
      <c r="G514" s="21"/>
      <c r="H514" s="20"/>
      <c r="I514" s="23"/>
    </row>
    <row r="515" spans="2:9" ht="13.2" x14ac:dyDescent="0.25">
      <c r="B515" s="18"/>
      <c r="E515" s="19"/>
      <c r="F515" s="20"/>
      <c r="G515" s="21"/>
      <c r="H515" s="20"/>
      <c r="I515" s="23"/>
    </row>
    <row r="516" spans="2:9" ht="13.2" x14ac:dyDescent="0.25">
      <c r="B516" s="18"/>
      <c r="E516" s="19"/>
      <c r="F516" s="20"/>
      <c r="G516" s="21"/>
      <c r="H516" s="20"/>
      <c r="I516" s="23"/>
    </row>
    <row r="517" spans="2:9" ht="13.2" x14ac:dyDescent="0.25">
      <c r="B517" s="18"/>
      <c r="E517" s="19"/>
      <c r="F517" s="20"/>
      <c r="G517" s="21"/>
      <c r="H517" s="20"/>
      <c r="I517" s="23"/>
    </row>
    <row r="518" spans="2:9" ht="13.2" x14ac:dyDescent="0.25">
      <c r="B518" s="18"/>
      <c r="E518" s="19"/>
      <c r="F518" s="20"/>
      <c r="G518" s="21"/>
      <c r="H518" s="20"/>
      <c r="I518" s="23"/>
    </row>
    <row r="519" spans="2:9" ht="13.2" x14ac:dyDescent="0.25">
      <c r="B519" s="18"/>
      <c r="E519" s="19"/>
      <c r="F519" s="20"/>
      <c r="G519" s="21"/>
      <c r="H519" s="20"/>
      <c r="I519" s="23"/>
    </row>
    <row r="520" spans="2:9" ht="13.2" x14ac:dyDescent="0.25">
      <c r="B520" s="18"/>
      <c r="E520" s="19"/>
      <c r="F520" s="20"/>
      <c r="G520" s="21"/>
      <c r="H520" s="20"/>
      <c r="I520" s="23"/>
    </row>
    <row r="521" spans="2:9" ht="13.2" x14ac:dyDescent="0.25">
      <c r="B521" s="18"/>
      <c r="E521" s="19"/>
      <c r="F521" s="20"/>
      <c r="G521" s="21"/>
      <c r="H521" s="20"/>
      <c r="I521" s="23"/>
    </row>
    <row r="522" spans="2:9" ht="13.2" x14ac:dyDescent="0.25">
      <c r="B522" s="18"/>
      <c r="E522" s="19"/>
      <c r="F522" s="20"/>
      <c r="G522" s="21"/>
      <c r="H522" s="20"/>
      <c r="I522" s="23"/>
    </row>
    <row r="523" spans="2:9" ht="13.2" x14ac:dyDescent="0.25">
      <c r="B523" s="18"/>
      <c r="E523" s="19"/>
      <c r="F523" s="20"/>
      <c r="G523" s="21"/>
      <c r="H523" s="20"/>
      <c r="I523" s="23"/>
    </row>
    <row r="524" spans="2:9" ht="13.2" x14ac:dyDescent="0.25">
      <c r="B524" s="18"/>
      <c r="E524" s="19"/>
      <c r="F524" s="20"/>
      <c r="G524" s="21"/>
      <c r="H524" s="20"/>
      <c r="I524" s="23"/>
    </row>
    <row r="525" spans="2:9" ht="13.2" x14ac:dyDescent="0.25">
      <c r="B525" s="18"/>
      <c r="E525" s="19"/>
      <c r="F525" s="20"/>
      <c r="G525" s="21"/>
      <c r="H525" s="20"/>
      <c r="I525" s="23"/>
    </row>
    <row r="526" spans="2:9" ht="13.2" x14ac:dyDescent="0.25">
      <c r="B526" s="18"/>
      <c r="E526" s="19"/>
      <c r="F526" s="20"/>
      <c r="G526" s="21"/>
      <c r="H526" s="20"/>
      <c r="I526" s="23"/>
    </row>
    <row r="527" spans="2:9" ht="13.2" x14ac:dyDescent="0.25">
      <c r="B527" s="18"/>
      <c r="E527" s="19"/>
      <c r="F527" s="20"/>
      <c r="G527" s="21"/>
      <c r="H527" s="20"/>
      <c r="I527" s="23"/>
    </row>
    <row r="528" spans="2:9" ht="13.2" x14ac:dyDescent="0.25">
      <c r="B528" s="18"/>
      <c r="E528" s="19"/>
      <c r="F528" s="20"/>
      <c r="G528" s="21"/>
      <c r="H528" s="20"/>
      <c r="I528" s="23"/>
    </row>
    <row r="529" spans="2:9" ht="13.2" x14ac:dyDescent="0.25">
      <c r="B529" s="18"/>
      <c r="E529" s="19"/>
      <c r="F529" s="20"/>
      <c r="G529" s="21"/>
      <c r="H529" s="20"/>
      <c r="I529" s="23"/>
    </row>
    <row r="530" spans="2:9" ht="13.2" x14ac:dyDescent="0.25">
      <c r="B530" s="18"/>
      <c r="E530" s="19"/>
      <c r="F530" s="20"/>
      <c r="G530" s="21"/>
      <c r="H530" s="20"/>
      <c r="I530" s="23"/>
    </row>
    <row r="531" spans="2:9" ht="13.2" x14ac:dyDescent="0.25">
      <c r="B531" s="18"/>
      <c r="E531" s="19"/>
      <c r="F531" s="20"/>
      <c r="G531" s="21"/>
      <c r="H531" s="20"/>
      <c r="I531" s="23"/>
    </row>
    <row r="532" spans="2:9" ht="13.2" x14ac:dyDescent="0.25">
      <c r="B532" s="18"/>
      <c r="E532" s="19"/>
      <c r="F532" s="20"/>
      <c r="G532" s="21"/>
      <c r="H532" s="20"/>
      <c r="I532" s="23"/>
    </row>
    <row r="533" spans="2:9" ht="13.2" x14ac:dyDescent="0.25">
      <c r="B533" s="18"/>
      <c r="E533" s="19"/>
      <c r="F533" s="20"/>
      <c r="G533" s="21"/>
      <c r="H533" s="20"/>
      <c r="I533" s="23"/>
    </row>
    <row r="534" spans="2:9" ht="13.2" x14ac:dyDescent="0.25">
      <c r="B534" s="18"/>
      <c r="E534" s="19"/>
      <c r="F534" s="20"/>
      <c r="G534" s="21"/>
      <c r="H534" s="20"/>
      <c r="I534" s="23"/>
    </row>
    <row r="535" spans="2:9" ht="13.2" x14ac:dyDescent="0.25">
      <c r="B535" s="18"/>
      <c r="E535" s="19"/>
      <c r="F535" s="20"/>
      <c r="G535" s="21"/>
      <c r="H535" s="20"/>
      <c r="I535" s="23"/>
    </row>
    <row r="536" spans="2:9" ht="13.2" x14ac:dyDescent="0.25">
      <c r="B536" s="18"/>
      <c r="E536" s="19"/>
      <c r="F536" s="20"/>
      <c r="G536" s="21"/>
      <c r="H536" s="20"/>
      <c r="I536" s="23"/>
    </row>
    <row r="537" spans="2:9" ht="13.2" x14ac:dyDescent="0.25">
      <c r="B537" s="18"/>
      <c r="E537" s="19"/>
      <c r="F537" s="20"/>
      <c r="G537" s="21"/>
      <c r="H537" s="20"/>
      <c r="I537" s="23"/>
    </row>
    <row r="538" spans="2:9" ht="13.2" x14ac:dyDescent="0.25">
      <c r="B538" s="18"/>
      <c r="E538" s="19"/>
      <c r="F538" s="20"/>
      <c r="G538" s="21"/>
      <c r="H538" s="20"/>
      <c r="I538" s="23"/>
    </row>
    <row r="539" spans="2:9" ht="13.2" x14ac:dyDescent="0.25">
      <c r="B539" s="18"/>
      <c r="E539" s="19"/>
      <c r="F539" s="20"/>
      <c r="G539" s="21"/>
      <c r="H539" s="20"/>
      <c r="I539" s="23"/>
    </row>
    <row r="540" spans="2:9" ht="13.2" x14ac:dyDescent="0.25">
      <c r="B540" s="18"/>
      <c r="E540" s="19"/>
      <c r="F540" s="20"/>
      <c r="G540" s="21"/>
      <c r="H540" s="20"/>
      <c r="I540" s="23"/>
    </row>
    <row r="541" spans="2:9" ht="13.2" x14ac:dyDescent="0.25">
      <c r="B541" s="18"/>
      <c r="E541" s="19"/>
      <c r="F541" s="20"/>
      <c r="G541" s="21"/>
      <c r="H541" s="20"/>
      <c r="I541" s="23"/>
    </row>
    <row r="542" spans="2:9" ht="13.2" x14ac:dyDescent="0.25">
      <c r="B542" s="18"/>
      <c r="E542" s="19"/>
      <c r="F542" s="20"/>
      <c r="G542" s="21"/>
      <c r="H542" s="20"/>
      <c r="I542" s="23"/>
    </row>
    <row r="543" spans="2:9" ht="13.2" x14ac:dyDescent="0.25">
      <c r="B543" s="18"/>
      <c r="E543" s="19"/>
      <c r="F543" s="20"/>
      <c r="G543" s="21"/>
      <c r="H543" s="20"/>
      <c r="I543" s="23"/>
    </row>
    <row r="544" spans="2:9" ht="13.2" x14ac:dyDescent="0.25">
      <c r="B544" s="18"/>
      <c r="E544" s="19"/>
      <c r="F544" s="20"/>
      <c r="G544" s="21"/>
      <c r="H544" s="20"/>
      <c r="I544" s="23"/>
    </row>
    <row r="545" spans="2:9" ht="13.2" x14ac:dyDescent="0.25">
      <c r="B545" s="18"/>
      <c r="E545" s="19"/>
      <c r="F545" s="20"/>
      <c r="G545" s="21"/>
      <c r="H545" s="20"/>
      <c r="I545" s="23"/>
    </row>
    <row r="546" spans="2:9" ht="13.2" x14ac:dyDescent="0.25">
      <c r="B546" s="18"/>
      <c r="E546" s="19"/>
      <c r="F546" s="20"/>
      <c r="G546" s="21"/>
      <c r="H546" s="20"/>
      <c r="I546" s="23"/>
    </row>
    <row r="547" spans="2:9" ht="13.2" x14ac:dyDescent="0.25">
      <c r="B547" s="18"/>
      <c r="E547" s="19"/>
      <c r="F547" s="20"/>
      <c r="G547" s="21"/>
      <c r="H547" s="20"/>
      <c r="I547" s="23"/>
    </row>
    <row r="548" spans="2:9" ht="13.2" x14ac:dyDescent="0.25">
      <c r="B548" s="18"/>
      <c r="E548" s="19"/>
      <c r="F548" s="20"/>
      <c r="G548" s="21"/>
      <c r="H548" s="20"/>
      <c r="I548" s="23"/>
    </row>
    <row r="549" spans="2:9" ht="13.2" x14ac:dyDescent="0.25">
      <c r="B549" s="18"/>
      <c r="E549" s="19"/>
      <c r="F549" s="20"/>
      <c r="G549" s="21"/>
      <c r="H549" s="20"/>
      <c r="I549" s="23"/>
    </row>
    <row r="550" spans="2:9" ht="13.2" x14ac:dyDescent="0.25">
      <c r="B550" s="18"/>
      <c r="E550" s="19"/>
      <c r="F550" s="20"/>
      <c r="G550" s="21"/>
      <c r="H550" s="20"/>
      <c r="I550" s="23"/>
    </row>
    <row r="551" spans="2:9" ht="13.2" x14ac:dyDescent="0.25">
      <c r="B551" s="18"/>
      <c r="E551" s="19"/>
      <c r="F551" s="20"/>
      <c r="G551" s="21"/>
      <c r="H551" s="20"/>
      <c r="I551" s="23"/>
    </row>
    <row r="552" spans="2:9" ht="13.2" x14ac:dyDescent="0.25">
      <c r="B552" s="18"/>
      <c r="E552" s="19"/>
      <c r="F552" s="20"/>
      <c r="G552" s="21"/>
      <c r="H552" s="20"/>
      <c r="I552" s="23"/>
    </row>
    <row r="553" spans="2:9" ht="13.2" x14ac:dyDescent="0.25">
      <c r="B553" s="18"/>
      <c r="E553" s="19"/>
      <c r="F553" s="20"/>
      <c r="G553" s="21"/>
      <c r="H553" s="20"/>
      <c r="I553" s="23"/>
    </row>
    <row r="554" spans="2:9" ht="13.2" x14ac:dyDescent="0.25">
      <c r="B554" s="18"/>
      <c r="E554" s="19"/>
      <c r="F554" s="20"/>
      <c r="G554" s="21"/>
      <c r="H554" s="20"/>
      <c r="I554" s="23"/>
    </row>
    <row r="555" spans="2:9" ht="13.2" x14ac:dyDescent="0.25">
      <c r="B555" s="18"/>
      <c r="E555" s="19"/>
      <c r="F555" s="20"/>
      <c r="G555" s="21"/>
      <c r="H555" s="20"/>
      <c r="I555" s="23"/>
    </row>
    <row r="556" spans="2:9" ht="13.2" x14ac:dyDescent="0.25">
      <c r="B556" s="18"/>
      <c r="E556" s="19"/>
      <c r="F556" s="20"/>
      <c r="G556" s="21"/>
      <c r="H556" s="20"/>
      <c r="I556" s="23"/>
    </row>
    <row r="557" spans="2:9" ht="13.2" x14ac:dyDescent="0.25">
      <c r="B557" s="18"/>
      <c r="E557" s="19"/>
      <c r="F557" s="20"/>
      <c r="G557" s="21"/>
      <c r="H557" s="20"/>
      <c r="I557" s="23"/>
    </row>
    <row r="558" spans="2:9" ht="13.2" x14ac:dyDescent="0.25">
      <c r="B558" s="18"/>
      <c r="E558" s="19"/>
      <c r="F558" s="20"/>
      <c r="G558" s="21"/>
      <c r="H558" s="20"/>
      <c r="I558" s="23"/>
    </row>
    <row r="559" spans="2:9" ht="13.2" x14ac:dyDescent="0.25">
      <c r="B559" s="18"/>
      <c r="E559" s="19"/>
      <c r="F559" s="20"/>
      <c r="G559" s="21"/>
      <c r="H559" s="20"/>
      <c r="I559" s="23"/>
    </row>
    <row r="560" spans="2:9" ht="13.2" x14ac:dyDescent="0.25">
      <c r="B560" s="18"/>
      <c r="E560" s="19"/>
      <c r="F560" s="20"/>
      <c r="G560" s="21"/>
      <c r="H560" s="20"/>
      <c r="I560" s="23"/>
    </row>
    <row r="561" spans="2:9" ht="13.2" x14ac:dyDescent="0.25">
      <c r="B561" s="18"/>
      <c r="E561" s="19"/>
      <c r="F561" s="20"/>
      <c r="G561" s="21"/>
      <c r="H561" s="20"/>
      <c r="I561" s="23"/>
    </row>
    <row r="562" spans="2:9" ht="13.2" x14ac:dyDescent="0.25">
      <c r="B562" s="18"/>
      <c r="E562" s="19"/>
      <c r="F562" s="20"/>
      <c r="G562" s="21"/>
      <c r="H562" s="20"/>
      <c r="I562" s="23"/>
    </row>
    <row r="563" spans="2:9" ht="13.2" x14ac:dyDescent="0.25">
      <c r="B563" s="18"/>
      <c r="E563" s="19"/>
      <c r="F563" s="20"/>
      <c r="G563" s="21"/>
      <c r="H563" s="20"/>
      <c r="I563" s="23"/>
    </row>
    <row r="564" spans="2:9" ht="13.2" x14ac:dyDescent="0.25">
      <c r="B564" s="18"/>
      <c r="E564" s="19"/>
      <c r="F564" s="20"/>
      <c r="G564" s="21"/>
      <c r="H564" s="20"/>
      <c r="I564" s="23"/>
    </row>
    <row r="565" spans="2:9" ht="13.2" x14ac:dyDescent="0.25">
      <c r="B565" s="18"/>
      <c r="E565" s="19"/>
      <c r="F565" s="20"/>
      <c r="G565" s="21"/>
      <c r="H565" s="20"/>
      <c r="I565" s="23"/>
    </row>
    <row r="566" spans="2:9" ht="13.2" x14ac:dyDescent="0.25">
      <c r="B566" s="18"/>
      <c r="E566" s="19"/>
      <c r="F566" s="20"/>
      <c r="G566" s="21"/>
      <c r="H566" s="20"/>
      <c r="I566" s="23"/>
    </row>
    <row r="567" spans="2:9" ht="13.2" x14ac:dyDescent="0.25">
      <c r="B567" s="18"/>
      <c r="E567" s="19"/>
      <c r="F567" s="20"/>
      <c r="G567" s="21"/>
      <c r="H567" s="20"/>
      <c r="I567" s="23"/>
    </row>
    <row r="568" spans="2:9" ht="13.2" x14ac:dyDescent="0.25">
      <c r="B568" s="18"/>
      <c r="E568" s="19"/>
      <c r="F568" s="20"/>
      <c r="G568" s="21"/>
      <c r="H568" s="20"/>
      <c r="I568" s="23"/>
    </row>
    <row r="569" spans="2:9" ht="13.2" x14ac:dyDescent="0.25">
      <c r="B569" s="18"/>
      <c r="E569" s="19"/>
      <c r="F569" s="20"/>
      <c r="G569" s="21"/>
      <c r="H569" s="20"/>
      <c r="I569" s="23"/>
    </row>
    <row r="570" spans="2:9" ht="13.2" x14ac:dyDescent="0.25">
      <c r="B570" s="18"/>
      <c r="E570" s="19"/>
      <c r="F570" s="20"/>
      <c r="G570" s="21"/>
      <c r="H570" s="20"/>
      <c r="I570" s="23"/>
    </row>
    <row r="571" spans="2:9" ht="13.2" x14ac:dyDescent="0.25">
      <c r="B571" s="18"/>
      <c r="E571" s="19"/>
      <c r="F571" s="20"/>
      <c r="G571" s="21"/>
      <c r="H571" s="20"/>
      <c r="I571" s="23"/>
    </row>
    <row r="572" spans="2:9" ht="13.2" x14ac:dyDescent="0.25">
      <c r="B572" s="18"/>
      <c r="E572" s="19"/>
      <c r="F572" s="20"/>
      <c r="G572" s="21"/>
      <c r="H572" s="20"/>
      <c r="I572" s="23"/>
    </row>
    <row r="573" spans="2:9" ht="13.2" x14ac:dyDescent="0.25">
      <c r="B573" s="18"/>
      <c r="E573" s="19"/>
      <c r="F573" s="20"/>
      <c r="G573" s="21"/>
      <c r="H573" s="20"/>
      <c r="I573" s="23"/>
    </row>
    <row r="574" spans="2:9" ht="13.2" x14ac:dyDescent="0.25">
      <c r="B574" s="18"/>
      <c r="E574" s="19"/>
      <c r="F574" s="20"/>
      <c r="G574" s="21"/>
      <c r="H574" s="20"/>
      <c r="I574" s="23"/>
    </row>
    <row r="575" spans="2:9" ht="13.2" x14ac:dyDescent="0.25">
      <c r="B575" s="18"/>
      <c r="E575" s="19"/>
      <c r="F575" s="20"/>
      <c r="G575" s="21"/>
      <c r="H575" s="20"/>
      <c r="I575" s="23"/>
    </row>
    <row r="576" spans="2:9" ht="13.2" x14ac:dyDescent="0.25">
      <c r="B576" s="18"/>
      <c r="E576" s="19"/>
      <c r="F576" s="20"/>
      <c r="G576" s="21"/>
      <c r="H576" s="20"/>
      <c r="I576" s="23"/>
    </row>
    <row r="577" spans="2:9" ht="13.2" x14ac:dyDescent="0.25">
      <c r="B577" s="18"/>
      <c r="E577" s="19"/>
      <c r="F577" s="20"/>
      <c r="G577" s="21"/>
      <c r="H577" s="20"/>
      <c r="I577" s="23"/>
    </row>
    <row r="578" spans="2:9" ht="13.2" x14ac:dyDescent="0.25">
      <c r="B578" s="18"/>
      <c r="E578" s="19"/>
      <c r="F578" s="20"/>
      <c r="G578" s="21"/>
      <c r="H578" s="20"/>
      <c r="I578" s="23"/>
    </row>
    <row r="579" spans="2:9" ht="13.2" x14ac:dyDescent="0.25">
      <c r="B579" s="18"/>
      <c r="E579" s="19"/>
      <c r="F579" s="20"/>
      <c r="G579" s="21"/>
      <c r="H579" s="20"/>
      <c r="I579" s="23"/>
    </row>
    <row r="580" spans="2:9" ht="13.2" x14ac:dyDescent="0.25">
      <c r="B580" s="18"/>
      <c r="E580" s="19"/>
      <c r="F580" s="20"/>
      <c r="G580" s="21"/>
      <c r="H580" s="20"/>
      <c r="I580" s="23"/>
    </row>
    <row r="581" spans="2:9" ht="13.2" x14ac:dyDescent="0.25">
      <c r="B581" s="18"/>
      <c r="E581" s="19"/>
      <c r="F581" s="20"/>
      <c r="G581" s="21"/>
      <c r="H581" s="20"/>
      <c r="I581" s="23"/>
    </row>
    <row r="582" spans="2:9" ht="13.2" x14ac:dyDescent="0.25">
      <c r="B582" s="18"/>
      <c r="E582" s="19"/>
      <c r="F582" s="20"/>
      <c r="G582" s="21"/>
      <c r="H582" s="20"/>
      <c r="I582" s="23"/>
    </row>
    <row r="583" spans="2:9" ht="13.2" x14ac:dyDescent="0.25">
      <c r="B583" s="18"/>
      <c r="E583" s="19"/>
      <c r="F583" s="20"/>
      <c r="G583" s="21"/>
      <c r="H583" s="20"/>
      <c r="I583" s="23"/>
    </row>
    <row r="584" spans="2:9" ht="13.2" x14ac:dyDescent="0.25">
      <c r="B584" s="18"/>
      <c r="E584" s="19"/>
      <c r="F584" s="20"/>
      <c r="G584" s="21"/>
      <c r="H584" s="20"/>
      <c r="I584" s="23"/>
    </row>
    <row r="585" spans="2:9" ht="13.2" x14ac:dyDescent="0.25">
      <c r="B585" s="18"/>
      <c r="E585" s="19"/>
      <c r="F585" s="20"/>
      <c r="G585" s="21"/>
      <c r="H585" s="20"/>
      <c r="I585" s="23"/>
    </row>
    <row r="586" spans="2:9" ht="13.2" x14ac:dyDescent="0.25">
      <c r="B586" s="18"/>
      <c r="E586" s="19"/>
      <c r="F586" s="20"/>
      <c r="G586" s="21"/>
      <c r="H586" s="20"/>
      <c r="I586" s="23"/>
    </row>
    <row r="587" spans="2:9" ht="13.2" x14ac:dyDescent="0.25">
      <c r="B587" s="18"/>
      <c r="E587" s="19"/>
      <c r="F587" s="20"/>
      <c r="G587" s="21"/>
      <c r="H587" s="20"/>
      <c r="I587" s="23"/>
    </row>
    <row r="588" spans="2:9" ht="13.2" x14ac:dyDescent="0.25">
      <c r="B588" s="18"/>
      <c r="E588" s="19"/>
      <c r="F588" s="20"/>
      <c r="G588" s="21"/>
      <c r="H588" s="20"/>
      <c r="I588" s="23"/>
    </row>
    <row r="589" spans="2:9" ht="13.2" x14ac:dyDescent="0.25">
      <c r="B589" s="18"/>
      <c r="E589" s="19"/>
      <c r="F589" s="20"/>
      <c r="G589" s="21"/>
      <c r="H589" s="20"/>
      <c r="I589" s="23"/>
    </row>
    <row r="590" spans="2:9" ht="13.2" x14ac:dyDescent="0.25">
      <c r="B590" s="18"/>
      <c r="E590" s="19"/>
      <c r="F590" s="20"/>
      <c r="G590" s="21"/>
      <c r="H590" s="20"/>
      <c r="I590" s="23"/>
    </row>
    <row r="591" spans="2:9" ht="13.2" x14ac:dyDescent="0.25">
      <c r="B591" s="18"/>
      <c r="E591" s="19"/>
      <c r="F591" s="20"/>
      <c r="G591" s="21"/>
      <c r="H591" s="20"/>
      <c r="I591" s="23"/>
    </row>
    <row r="592" spans="2:9" ht="13.2" x14ac:dyDescent="0.25">
      <c r="B592" s="18"/>
      <c r="E592" s="19"/>
      <c r="F592" s="20"/>
      <c r="G592" s="21"/>
      <c r="H592" s="20"/>
      <c r="I592" s="23"/>
    </row>
    <row r="593" spans="2:9" ht="13.2" x14ac:dyDescent="0.25">
      <c r="B593" s="18"/>
      <c r="E593" s="19"/>
      <c r="F593" s="20"/>
      <c r="G593" s="21"/>
      <c r="H593" s="20"/>
      <c r="I593" s="23"/>
    </row>
    <row r="594" spans="2:9" ht="13.2" x14ac:dyDescent="0.25">
      <c r="B594" s="18"/>
      <c r="E594" s="19"/>
      <c r="F594" s="20"/>
      <c r="G594" s="21"/>
      <c r="H594" s="20"/>
      <c r="I594" s="23"/>
    </row>
    <row r="595" spans="2:9" ht="13.2" x14ac:dyDescent="0.25">
      <c r="B595" s="18"/>
      <c r="E595" s="19"/>
      <c r="F595" s="20"/>
      <c r="G595" s="21"/>
      <c r="H595" s="20"/>
      <c r="I595" s="23"/>
    </row>
    <row r="596" spans="2:9" ht="13.2" x14ac:dyDescent="0.25">
      <c r="B596" s="18"/>
      <c r="E596" s="19"/>
      <c r="F596" s="20"/>
      <c r="G596" s="21"/>
      <c r="H596" s="20"/>
      <c r="I596" s="23"/>
    </row>
    <row r="597" spans="2:9" ht="13.2" x14ac:dyDescent="0.25">
      <c r="B597" s="18"/>
      <c r="E597" s="19"/>
      <c r="F597" s="20"/>
      <c r="G597" s="21"/>
      <c r="H597" s="20"/>
      <c r="I597" s="23"/>
    </row>
    <row r="598" spans="2:9" ht="13.2" x14ac:dyDescent="0.25">
      <c r="B598" s="18"/>
      <c r="E598" s="19"/>
      <c r="F598" s="20"/>
      <c r="G598" s="21"/>
      <c r="H598" s="20"/>
      <c r="I598" s="23"/>
    </row>
    <row r="599" spans="2:9" ht="13.2" x14ac:dyDescent="0.25">
      <c r="B599" s="18"/>
      <c r="E599" s="19"/>
      <c r="F599" s="20"/>
      <c r="G599" s="21"/>
      <c r="H599" s="20"/>
      <c r="I599" s="23"/>
    </row>
    <row r="600" spans="2:9" ht="13.2" x14ac:dyDescent="0.25">
      <c r="B600" s="18"/>
      <c r="E600" s="19"/>
      <c r="F600" s="20"/>
      <c r="G600" s="21"/>
      <c r="H600" s="20"/>
      <c r="I600" s="23"/>
    </row>
    <row r="601" spans="2:9" ht="13.2" x14ac:dyDescent="0.25">
      <c r="B601" s="18"/>
      <c r="E601" s="19"/>
      <c r="F601" s="20"/>
      <c r="G601" s="21"/>
      <c r="H601" s="20"/>
      <c r="I601" s="23"/>
    </row>
    <row r="602" spans="2:9" ht="13.2" x14ac:dyDescent="0.25">
      <c r="B602" s="18"/>
      <c r="E602" s="19"/>
      <c r="F602" s="20"/>
      <c r="G602" s="21"/>
      <c r="H602" s="20"/>
      <c r="I602" s="23"/>
    </row>
    <row r="603" spans="2:9" ht="13.2" x14ac:dyDescent="0.25">
      <c r="B603" s="18"/>
      <c r="E603" s="19"/>
      <c r="F603" s="20"/>
      <c r="G603" s="21"/>
      <c r="H603" s="20"/>
      <c r="I603" s="23"/>
    </row>
    <row r="604" spans="2:9" ht="13.2" x14ac:dyDescent="0.25">
      <c r="B604" s="18"/>
      <c r="E604" s="19"/>
      <c r="F604" s="20"/>
      <c r="G604" s="21"/>
      <c r="H604" s="20"/>
      <c r="I604" s="23"/>
    </row>
    <row r="605" spans="2:9" ht="13.2" x14ac:dyDescent="0.25">
      <c r="B605" s="18"/>
      <c r="E605" s="19"/>
      <c r="F605" s="20"/>
      <c r="G605" s="21"/>
      <c r="H605" s="20"/>
      <c r="I605" s="23"/>
    </row>
    <row r="606" spans="2:9" ht="13.2" x14ac:dyDescent="0.25">
      <c r="B606" s="18"/>
      <c r="E606" s="19"/>
      <c r="F606" s="20"/>
      <c r="G606" s="21"/>
      <c r="H606" s="20"/>
      <c r="I606" s="23"/>
    </row>
    <row r="607" spans="2:9" ht="13.2" x14ac:dyDescent="0.25">
      <c r="B607" s="18"/>
      <c r="E607" s="19"/>
      <c r="F607" s="20"/>
      <c r="G607" s="21"/>
      <c r="H607" s="20"/>
      <c r="I607" s="23"/>
    </row>
    <row r="608" spans="2:9" ht="13.2" x14ac:dyDescent="0.25">
      <c r="B608" s="18"/>
      <c r="E608" s="19"/>
      <c r="F608" s="20"/>
      <c r="G608" s="21"/>
      <c r="H608" s="20"/>
      <c r="I608" s="23"/>
    </row>
    <row r="609" spans="2:9" ht="13.2" x14ac:dyDescent="0.25">
      <c r="B609" s="18"/>
      <c r="E609" s="19"/>
      <c r="F609" s="20"/>
      <c r="G609" s="21"/>
      <c r="H609" s="20"/>
      <c r="I609" s="23"/>
    </row>
    <row r="610" spans="2:9" ht="13.2" x14ac:dyDescent="0.25">
      <c r="B610" s="18"/>
      <c r="E610" s="19"/>
      <c r="F610" s="20"/>
      <c r="G610" s="21"/>
      <c r="H610" s="20"/>
      <c r="I610" s="23"/>
    </row>
    <row r="611" spans="2:9" ht="13.2" x14ac:dyDescent="0.25">
      <c r="B611" s="18"/>
      <c r="E611" s="19"/>
      <c r="F611" s="20"/>
      <c r="G611" s="21"/>
      <c r="H611" s="20"/>
      <c r="I611" s="23"/>
    </row>
    <row r="612" spans="2:9" ht="13.2" x14ac:dyDescent="0.25">
      <c r="B612" s="18"/>
      <c r="E612" s="19"/>
      <c r="F612" s="20"/>
      <c r="G612" s="21"/>
      <c r="H612" s="20"/>
      <c r="I612" s="23"/>
    </row>
    <row r="613" spans="2:9" ht="13.2" x14ac:dyDescent="0.25">
      <c r="B613" s="18"/>
      <c r="E613" s="19"/>
      <c r="F613" s="20"/>
      <c r="G613" s="21"/>
      <c r="H613" s="20"/>
      <c r="I613" s="23"/>
    </row>
    <row r="614" spans="2:9" ht="13.2" x14ac:dyDescent="0.25">
      <c r="B614" s="18"/>
      <c r="E614" s="19"/>
      <c r="F614" s="20"/>
      <c r="G614" s="21"/>
      <c r="H614" s="20"/>
      <c r="I614" s="23"/>
    </row>
    <row r="615" spans="2:9" ht="13.2" x14ac:dyDescent="0.25">
      <c r="B615" s="18"/>
      <c r="E615" s="19"/>
      <c r="F615" s="20"/>
      <c r="G615" s="21"/>
      <c r="H615" s="20"/>
      <c r="I615" s="23"/>
    </row>
    <row r="616" spans="2:9" ht="13.2" x14ac:dyDescent="0.25">
      <c r="B616" s="18"/>
      <c r="E616" s="19"/>
      <c r="F616" s="20"/>
      <c r="G616" s="21"/>
      <c r="H616" s="20"/>
      <c r="I616" s="23"/>
    </row>
    <row r="617" spans="2:9" ht="13.2" x14ac:dyDescent="0.25">
      <c r="B617" s="18"/>
      <c r="E617" s="19"/>
      <c r="F617" s="20"/>
      <c r="G617" s="21"/>
      <c r="H617" s="20"/>
      <c r="I617" s="23"/>
    </row>
    <row r="618" spans="2:9" ht="13.2" x14ac:dyDescent="0.25">
      <c r="B618" s="18"/>
      <c r="E618" s="19"/>
      <c r="F618" s="20"/>
      <c r="G618" s="21"/>
      <c r="H618" s="20"/>
      <c r="I618" s="23"/>
    </row>
    <row r="619" spans="2:9" ht="13.2" x14ac:dyDescent="0.25">
      <c r="B619" s="18"/>
      <c r="E619" s="19"/>
      <c r="F619" s="20"/>
      <c r="G619" s="21"/>
      <c r="H619" s="20"/>
      <c r="I619" s="23"/>
    </row>
    <row r="620" spans="2:9" ht="13.2" x14ac:dyDescent="0.25">
      <c r="B620" s="18"/>
      <c r="E620" s="19"/>
      <c r="F620" s="20"/>
      <c r="G620" s="21"/>
      <c r="H620" s="20"/>
      <c r="I620" s="23"/>
    </row>
    <row r="621" spans="2:9" ht="13.2" x14ac:dyDescent="0.25">
      <c r="B621" s="18"/>
      <c r="E621" s="19"/>
      <c r="F621" s="20"/>
      <c r="G621" s="21"/>
      <c r="H621" s="20"/>
      <c r="I621" s="23"/>
    </row>
    <row r="622" spans="2:9" ht="13.2" x14ac:dyDescent="0.25">
      <c r="B622" s="18"/>
      <c r="E622" s="19"/>
      <c r="F622" s="20"/>
      <c r="G622" s="21"/>
      <c r="H622" s="20"/>
      <c r="I622" s="23"/>
    </row>
    <row r="623" spans="2:9" ht="13.2" x14ac:dyDescent="0.25">
      <c r="B623" s="18"/>
      <c r="E623" s="19"/>
      <c r="F623" s="20"/>
      <c r="G623" s="21"/>
      <c r="H623" s="20"/>
      <c r="I623" s="23"/>
    </row>
    <row r="624" spans="2:9" ht="13.2" x14ac:dyDescent="0.25">
      <c r="B624" s="18"/>
      <c r="E624" s="19"/>
      <c r="F624" s="20"/>
      <c r="G624" s="21"/>
      <c r="H624" s="20"/>
      <c r="I624" s="23"/>
    </row>
    <row r="625" spans="2:9" ht="13.2" x14ac:dyDescent="0.25">
      <c r="B625" s="18"/>
      <c r="E625" s="19"/>
      <c r="F625" s="20"/>
      <c r="G625" s="21"/>
      <c r="H625" s="20"/>
      <c r="I625" s="23"/>
    </row>
    <row r="626" spans="2:9" ht="13.2" x14ac:dyDescent="0.25">
      <c r="B626" s="18"/>
      <c r="E626" s="19"/>
      <c r="F626" s="20"/>
      <c r="G626" s="21"/>
      <c r="H626" s="20"/>
      <c r="I626" s="23"/>
    </row>
    <row r="627" spans="2:9" ht="13.2" x14ac:dyDescent="0.25">
      <c r="B627" s="18"/>
      <c r="E627" s="19"/>
      <c r="F627" s="20"/>
      <c r="G627" s="21"/>
      <c r="H627" s="20"/>
      <c r="I627" s="23"/>
    </row>
    <row r="628" spans="2:9" ht="13.2" x14ac:dyDescent="0.25">
      <c r="B628" s="18"/>
      <c r="E628" s="19"/>
      <c r="F628" s="20"/>
      <c r="G628" s="21"/>
      <c r="H628" s="20"/>
      <c r="I628" s="23"/>
    </row>
    <row r="629" spans="2:9" ht="13.2" x14ac:dyDescent="0.25">
      <c r="B629" s="18"/>
      <c r="E629" s="19"/>
      <c r="F629" s="20"/>
      <c r="G629" s="21"/>
      <c r="H629" s="20"/>
      <c r="I629" s="23"/>
    </row>
    <row r="630" spans="2:9" ht="13.2" x14ac:dyDescent="0.25">
      <c r="B630" s="18"/>
      <c r="E630" s="19"/>
      <c r="F630" s="20"/>
      <c r="G630" s="21"/>
      <c r="H630" s="20"/>
      <c r="I630" s="23"/>
    </row>
    <row r="631" spans="2:9" ht="13.2" x14ac:dyDescent="0.25">
      <c r="B631" s="18"/>
      <c r="E631" s="19"/>
      <c r="F631" s="20"/>
      <c r="G631" s="21"/>
      <c r="H631" s="20"/>
      <c r="I631" s="23"/>
    </row>
    <row r="632" spans="2:9" ht="13.2" x14ac:dyDescent="0.25">
      <c r="B632" s="18"/>
      <c r="E632" s="19"/>
      <c r="F632" s="20"/>
      <c r="G632" s="21"/>
      <c r="H632" s="20"/>
      <c r="I632" s="23"/>
    </row>
    <row r="633" spans="2:9" ht="13.2" x14ac:dyDescent="0.25">
      <c r="B633" s="18"/>
      <c r="E633" s="19"/>
      <c r="F633" s="20"/>
      <c r="G633" s="21"/>
      <c r="H633" s="20"/>
      <c r="I633" s="23"/>
    </row>
    <row r="634" spans="2:9" ht="13.2" x14ac:dyDescent="0.25">
      <c r="B634" s="18"/>
      <c r="E634" s="19"/>
      <c r="F634" s="20"/>
      <c r="G634" s="21"/>
      <c r="H634" s="20"/>
      <c r="I634" s="23"/>
    </row>
    <row r="635" spans="2:9" ht="13.2" x14ac:dyDescent="0.25">
      <c r="B635" s="18"/>
      <c r="E635" s="19"/>
      <c r="F635" s="20"/>
      <c r="G635" s="21"/>
      <c r="H635" s="20"/>
      <c r="I635" s="23"/>
    </row>
    <row r="636" spans="2:9" ht="13.2" x14ac:dyDescent="0.25">
      <c r="B636" s="18"/>
      <c r="E636" s="19"/>
      <c r="F636" s="20"/>
      <c r="G636" s="21"/>
      <c r="H636" s="20"/>
      <c r="I636" s="23"/>
    </row>
    <row r="637" spans="2:9" ht="13.2" x14ac:dyDescent="0.25">
      <c r="B637" s="18"/>
      <c r="E637" s="19"/>
      <c r="F637" s="20"/>
      <c r="G637" s="21"/>
      <c r="H637" s="20"/>
      <c r="I637" s="23"/>
    </row>
    <row r="638" spans="2:9" ht="13.2" x14ac:dyDescent="0.25">
      <c r="B638" s="18"/>
      <c r="E638" s="19"/>
      <c r="F638" s="20"/>
      <c r="G638" s="21"/>
      <c r="H638" s="20"/>
      <c r="I638" s="23"/>
    </row>
    <row r="639" spans="2:9" ht="13.2" x14ac:dyDescent="0.25">
      <c r="B639" s="18"/>
      <c r="E639" s="19"/>
      <c r="F639" s="20"/>
      <c r="G639" s="21"/>
      <c r="H639" s="20"/>
      <c r="I639" s="23"/>
    </row>
    <row r="640" spans="2:9" ht="13.2" x14ac:dyDescent="0.25">
      <c r="B640" s="18"/>
      <c r="E640" s="19"/>
      <c r="F640" s="20"/>
      <c r="G640" s="21"/>
      <c r="H640" s="20"/>
      <c r="I640" s="23"/>
    </row>
    <row r="641" spans="2:9" ht="13.2" x14ac:dyDescent="0.25">
      <c r="B641" s="18"/>
      <c r="E641" s="19"/>
      <c r="F641" s="20"/>
      <c r="G641" s="21"/>
      <c r="H641" s="20"/>
      <c r="I641" s="23"/>
    </row>
    <row r="642" spans="2:9" ht="13.2" x14ac:dyDescent="0.25">
      <c r="B642" s="18"/>
      <c r="E642" s="19"/>
      <c r="F642" s="20"/>
      <c r="G642" s="21"/>
      <c r="H642" s="20"/>
      <c r="I642" s="23"/>
    </row>
    <row r="643" spans="2:9" ht="13.2" x14ac:dyDescent="0.25">
      <c r="B643" s="18"/>
      <c r="E643" s="19"/>
      <c r="F643" s="20"/>
      <c r="G643" s="21"/>
      <c r="H643" s="20"/>
      <c r="I643" s="23"/>
    </row>
    <row r="644" spans="2:9" ht="13.2" x14ac:dyDescent="0.25">
      <c r="B644" s="18"/>
      <c r="E644" s="19"/>
      <c r="F644" s="20"/>
      <c r="G644" s="21"/>
      <c r="H644" s="20"/>
      <c r="I644" s="23"/>
    </row>
    <row r="645" spans="2:9" ht="13.2" x14ac:dyDescent="0.25">
      <c r="B645" s="18"/>
      <c r="E645" s="19"/>
      <c r="F645" s="20"/>
      <c r="G645" s="21"/>
      <c r="H645" s="20"/>
      <c r="I645" s="23"/>
    </row>
    <row r="646" spans="2:9" ht="13.2" x14ac:dyDescent="0.25">
      <c r="B646" s="18"/>
      <c r="E646" s="19"/>
      <c r="F646" s="20"/>
      <c r="G646" s="21"/>
      <c r="H646" s="20"/>
      <c r="I646" s="23"/>
    </row>
    <row r="647" spans="2:9" ht="13.2" x14ac:dyDescent="0.25">
      <c r="B647" s="18"/>
      <c r="E647" s="19"/>
      <c r="F647" s="20"/>
      <c r="G647" s="21"/>
      <c r="H647" s="20"/>
      <c r="I647" s="23"/>
    </row>
    <row r="648" spans="2:9" ht="13.2" x14ac:dyDescent="0.25">
      <c r="B648" s="18"/>
      <c r="E648" s="19"/>
      <c r="F648" s="20"/>
      <c r="G648" s="21"/>
      <c r="H648" s="20"/>
      <c r="I648" s="23"/>
    </row>
    <row r="649" spans="2:9" ht="13.2" x14ac:dyDescent="0.25">
      <c r="B649" s="18"/>
      <c r="E649" s="19"/>
      <c r="F649" s="20"/>
      <c r="G649" s="21"/>
      <c r="H649" s="20"/>
      <c r="I649" s="23"/>
    </row>
    <row r="650" spans="2:9" ht="13.2" x14ac:dyDescent="0.25">
      <c r="B650" s="18"/>
      <c r="E650" s="19"/>
      <c r="F650" s="20"/>
      <c r="G650" s="21"/>
      <c r="H650" s="20"/>
      <c r="I650" s="23"/>
    </row>
    <row r="651" spans="2:9" ht="13.2" x14ac:dyDescent="0.25">
      <c r="B651" s="18"/>
      <c r="E651" s="19"/>
      <c r="F651" s="20"/>
      <c r="G651" s="21"/>
      <c r="H651" s="20"/>
      <c r="I651" s="23"/>
    </row>
    <row r="652" spans="2:9" ht="13.2" x14ac:dyDescent="0.25">
      <c r="B652" s="18"/>
      <c r="E652" s="19"/>
      <c r="F652" s="20"/>
      <c r="G652" s="21"/>
      <c r="H652" s="20"/>
      <c r="I652" s="23"/>
    </row>
    <row r="653" spans="2:9" ht="13.2" x14ac:dyDescent="0.25">
      <c r="B653" s="18"/>
      <c r="E653" s="19"/>
      <c r="F653" s="20"/>
      <c r="G653" s="21"/>
      <c r="H653" s="20"/>
      <c r="I653" s="23"/>
    </row>
    <row r="654" spans="2:9" ht="13.2" x14ac:dyDescent="0.25">
      <c r="B654" s="18"/>
      <c r="E654" s="19"/>
      <c r="F654" s="20"/>
      <c r="G654" s="21"/>
      <c r="H654" s="20"/>
      <c r="I654" s="23"/>
    </row>
    <row r="655" spans="2:9" ht="13.2" x14ac:dyDescent="0.25">
      <c r="B655" s="18"/>
      <c r="E655" s="19"/>
      <c r="F655" s="20"/>
      <c r="G655" s="21"/>
      <c r="H655" s="20"/>
      <c r="I655" s="23"/>
    </row>
    <row r="656" spans="2:9" ht="13.2" x14ac:dyDescent="0.25">
      <c r="B656" s="18"/>
      <c r="E656" s="19"/>
      <c r="F656" s="20"/>
      <c r="G656" s="21"/>
      <c r="H656" s="20"/>
      <c r="I656" s="23"/>
    </row>
    <row r="657" spans="2:9" ht="13.2" x14ac:dyDescent="0.25">
      <c r="B657" s="18"/>
      <c r="E657" s="19"/>
      <c r="F657" s="20"/>
      <c r="G657" s="21"/>
      <c r="H657" s="20"/>
      <c r="I657" s="23"/>
    </row>
    <row r="658" spans="2:9" ht="13.2" x14ac:dyDescent="0.25">
      <c r="B658" s="18"/>
      <c r="E658" s="19"/>
      <c r="F658" s="20"/>
      <c r="G658" s="21"/>
      <c r="H658" s="20"/>
      <c r="I658" s="23"/>
    </row>
    <row r="659" spans="2:9" ht="13.2" x14ac:dyDescent="0.25">
      <c r="B659" s="18"/>
      <c r="E659" s="19"/>
      <c r="F659" s="20"/>
      <c r="G659" s="21"/>
      <c r="H659" s="20"/>
      <c r="I659" s="23"/>
    </row>
    <row r="660" spans="2:9" ht="13.2" x14ac:dyDescent="0.25">
      <c r="B660" s="18"/>
      <c r="E660" s="19"/>
      <c r="F660" s="20"/>
      <c r="G660" s="21"/>
      <c r="H660" s="20"/>
      <c r="I660" s="23"/>
    </row>
    <row r="661" spans="2:9" ht="13.2" x14ac:dyDescent="0.25">
      <c r="B661" s="18"/>
      <c r="E661" s="19"/>
      <c r="F661" s="20"/>
      <c r="G661" s="21"/>
      <c r="H661" s="20"/>
      <c r="I661" s="23"/>
    </row>
    <row r="662" spans="2:9" ht="13.2" x14ac:dyDescent="0.25">
      <c r="B662" s="18"/>
      <c r="E662" s="19"/>
      <c r="F662" s="20"/>
      <c r="G662" s="21"/>
      <c r="H662" s="20"/>
      <c r="I662" s="23"/>
    </row>
    <row r="663" spans="2:9" ht="13.2" x14ac:dyDescent="0.25">
      <c r="B663" s="18"/>
      <c r="E663" s="19"/>
      <c r="F663" s="20"/>
      <c r="G663" s="21"/>
      <c r="H663" s="20"/>
      <c r="I663" s="23"/>
    </row>
    <row r="664" spans="2:9" ht="13.2" x14ac:dyDescent="0.25">
      <c r="B664" s="18"/>
      <c r="E664" s="19"/>
      <c r="F664" s="20"/>
      <c r="G664" s="21"/>
      <c r="H664" s="20"/>
      <c r="I664" s="23"/>
    </row>
    <row r="665" spans="2:9" ht="13.2" x14ac:dyDescent="0.25">
      <c r="B665" s="18"/>
      <c r="E665" s="19"/>
      <c r="F665" s="20"/>
      <c r="G665" s="21"/>
      <c r="H665" s="20"/>
      <c r="I665" s="23"/>
    </row>
    <row r="666" spans="2:9" ht="13.2" x14ac:dyDescent="0.25">
      <c r="B666" s="18"/>
      <c r="E666" s="19"/>
      <c r="F666" s="20"/>
      <c r="G666" s="21"/>
      <c r="H666" s="20"/>
      <c r="I666" s="23"/>
    </row>
    <row r="667" spans="2:9" ht="13.2" x14ac:dyDescent="0.25">
      <c r="B667" s="18"/>
      <c r="E667" s="19"/>
      <c r="F667" s="20"/>
      <c r="G667" s="21"/>
      <c r="H667" s="20"/>
      <c r="I667" s="23"/>
    </row>
    <row r="668" spans="2:9" ht="13.2" x14ac:dyDescent="0.25">
      <c r="B668" s="18"/>
      <c r="E668" s="19"/>
      <c r="F668" s="20"/>
      <c r="G668" s="21"/>
      <c r="H668" s="20"/>
      <c r="I668" s="23"/>
    </row>
    <row r="669" spans="2:9" ht="13.2" x14ac:dyDescent="0.25">
      <c r="B669" s="18"/>
      <c r="E669" s="19"/>
      <c r="F669" s="20"/>
      <c r="G669" s="21"/>
      <c r="H669" s="20"/>
      <c r="I669" s="23"/>
    </row>
    <row r="670" spans="2:9" ht="13.2" x14ac:dyDescent="0.25">
      <c r="B670" s="18"/>
      <c r="E670" s="19"/>
      <c r="F670" s="20"/>
      <c r="G670" s="21"/>
      <c r="H670" s="20"/>
      <c r="I670" s="23"/>
    </row>
    <row r="671" spans="2:9" ht="13.2" x14ac:dyDescent="0.25">
      <c r="B671" s="18"/>
      <c r="E671" s="19"/>
      <c r="F671" s="20"/>
      <c r="G671" s="21"/>
      <c r="H671" s="20"/>
      <c r="I671" s="23"/>
    </row>
    <row r="672" spans="2:9" ht="13.2" x14ac:dyDescent="0.25">
      <c r="B672" s="18"/>
      <c r="E672" s="19"/>
      <c r="F672" s="20"/>
      <c r="G672" s="21"/>
      <c r="H672" s="20"/>
      <c r="I672" s="23"/>
    </row>
    <row r="673" spans="2:9" ht="13.2" x14ac:dyDescent="0.25">
      <c r="B673" s="18"/>
      <c r="E673" s="19"/>
      <c r="F673" s="20"/>
      <c r="G673" s="21"/>
      <c r="H673" s="20"/>
      <c r="I673" s="23"/>
    </row>
    <row r="674" spans="2:9" ht="13.2" x14ac:dyDescent="0.25">
      <c r="B674" s="18"/>
      <c r="E674" s="19"/>
      <c r="F674" s="20"/>
      <c r="G674" s="21"/>
      <c r="H674" s="20"/>
      <c r="I674" s="23"/>
    </row>
  </sheetData>
  <mergeCells count="1">
    <mergeCell ref="C2:E2"/>
  </mergeCells>
  <conditionalFormatting sqref="A4:I674">
    <cfRule type="expression" dxfId="10" priority="9">
      <formula>REGEXMATCH($A4, "(?i)Ordinations")</formula>
    </cfRule>
    <cfRule type="expression" dxfId="9" priority="10">
      <formula>REGEXMATCH($A4, "(?i)Releasings")</formula>
    </cfRule>
    <cfRule type="expression" dxfId="8" priority="11">
      <formula>REGEXMATCH($A4, "(?i)Callings")</formula>
    </cfRule>
  </conditionalFormatting>
  <conditionalFormatting sqref="E4:E674">
    <cfRule type="containsText" dxfId="7" priority="5" operator="containsText" text="Call / Release">
      <formula>NOT(ISERROR(SEARCH(("Call / Release"),(E4))))</formula>
    </cfRule>
    <cfRule type="containsText" dxfId="6" priority="6" operator="containsText" text="Sustain / Set Apart">
      <formula>NOT(ISERROR(SEARCH(("Sustain / Set Apart"),(E4))))</formula>
    </cfRule>
    <cfRule type="containsText" dxfId="5" priority="7" operator="containsText" text="Approval">
      <formula>NOT(ISERROR(SEARCH(("Approval"),(E4))))</formula>
    </cfRule>
    <cfRule type="containsText" dxfId="4" priority="8" operator="containsText" text="Training">
      <formula>NOT(ISERROR(SEARCH(("Training"),(E4))))</formula>
    </cfRule>
  </conditionalFormatting>
  <conditionalFormatting sqref="G5:G674">
    <cfRule type="expression" dxfId="3" priority="1">
      <formula>IF($E5="Training",TRUE,FALSE)</formula>
    </cfRule>
  </conditionalFormatting>
  <conditionalFormatting sqref="G4:I674">
    <cfRule type="containsText" dxfId="2" priority="2" operator="containsText" text="Earl">
      <formula>NOT(ISERROR(SEARCH(("Earl"),(G4))))</formula>
    </cfRule>
    <cfRule type="containsText" dxfId="1" priority="3" operator="containsText" text="Rawson">
      <formula>NOT(ISERROR(SEARCH(("Rawson"),(G4))))</formula>
    </cfRule>
    <cfRule type="containsText" dxfId="0" priority="4" operator="containsText" text="Pierce">
      <formula>NOT(ISERROR(SEARCH(("Pierce"),(G4))))</formula>
    </cfRule>
  </conditionalFormatting>
  <hyperlinks>
    <hyperlink ref="I5" r:id="rId1" display="https://docs.google.com/forms/d/e/1FAIpQLSd37AKX0Ca1Yeje6eC6NuliFZj5Spn7I7mXRsa9kBsXMqB-Ag/viewform?edit2=2_ABaOnue8mI5AYqilJnQ-23IHeU09ipqfAONkBPAhQ3a3okU2s71v_L1uHn7A2GfefVIT5vE" xr:uid="{00000000-0004-0000-0600-000000000000}"/>
    <hyperlink ref="I6" r:id="rId2" display="https://docs.google.com/forms/d/e/1FAIpQLSd37AKX0Ca1Yeje6eC6NuliFZj5Spn7I7mXRsa9kBsXMqB-Ag/viewform?edit2=2_ABaOnucU6DOq6qcvz42zkHjhZlqUckdI_P7WQvTHT6kRvXPS0nedw-Lqwshw-TPP60rFl40" xr:uid="{00000000-0004-0000-0600-000001000000}"/>
    <hyperlink ref="I7" r:id="rId3" display="https://docs.google.com/forms/d/e/1FAIpQLSd37AKX0Ca1Yeje6eC6NuliFZj5Spn7I7mXRsa9kBsXMqB-Ag/viewform?edit2=2_ABaOnuerF-9S-0PUnAo-xLIpSHuJa6TuFg8a5-HK4pKoELYuVYouRoOvSYDtqHqjDqv1WPE" xr:uid="{00000000-0004-0000-0600-000002000000}"/>
    <hyperlink ref="I8" r:id="rId4" display="https://docs.google.com/forms/d/e/1FAIpQLSd37AKX0Ca1Yeje6eC6NuliFZj5Spn7I7mXRsa9kBsXMqB-Ag/viewform?edit2=2_ABaOnuf2j7989Basd7RqeWk5ShbfC9vglbQAYME_8G0y9KgxN5a2Sxu33yjZSF-7UYqZu8U" xr:uid="{00000000-0004-0000-0600-000003000000}"/>
    <hyperlink ref="I9" r:id="rId5" display="https://docs.google.com/forms/d/e/1FAIpQLScKfK1Xq_AfFRyZkOlyT2n4Ugr8FdePyUxPct4kYLgKJ3YlMQ/viewform?edit2=2_ABaOnucYlNz1YoXLPBAYyST6WlmELb1kBnM9BfkUaTxKov-rM8gB0ieRnkyVKFnayrBrwdE" xr:uid="{00000000-0004-0000-0600-000004000000}"/>
    <hyperlink ref="I10" r:id="rId6" display="https://docs.google.com/forms/d/e/1FAIpQLScKfK1Xq_AfFRyZkOlyT2n4Ugr8FdePyUxPct4kYLgKJ3YlMQ/viewform?edit2=2_ABaOnucINqfbL2HNtyT2-rdXO1PHIOPKQtPP-hALfOhqsXkOd_XPh6FLRTCqadIMuXnaou0" xr:uid="{00000000-0004-0000-0600-000005000000}"/>
    <hyperlink ref="I11" r:id="rId7" display="https://docs.google.com/forms/d/e/1FAIpQLSd37AKX0Ca1Yeje6eC6NuliFZj5Spn7I7mXRsa9kBsXMqB-Ag/viewform?edit2=2_ABaOnueza0QWbrwz8T7sWbuoj8RQ0uTYVPMjIOquJLrwomLqVasBXKQ7q4oPdU42q5sebnY" xr:uid="{00000000-0004-0000-0600-000006000000}"/>
    <hyperlink ref="I12" r:id="rId8" display="https://docs.google.com/forms/d/e/1FAIpQLSd37AKX0Ca1Yeje6eC6NuliFZj5Spn7I7mXRsa9kBsXMqB-Ag/viewform?edit2=2_ABaOnufG4qkFQOtlvqNs92E6J7QIRFpabq77LhYs1EKoIUylzebWNv8mFo_PoidwofkyZ0Y" xr:uid="{00000000-0004-0000-0600-000007000000}"/>
    <hyperlink ref="I13" r:id="rId9" display="https://docs.google.com/forms/d/e/1FAIpQLScKfK1Xq_AfFRyZkOlyT2n4Ugr8FdePyUxPct4kYLgKJ3YlMQ/viewform?edit2=2_ABaOnucIF0bUlpImPx8G5Cbwlu76fG6A5FGJO9bhSnfweqQLIYVGJ5NGuH1wd-Vrzig1ARY" xr:uid="{00000000-0004-0000-0600-000008000000}"/>
    <hyperlink ref="I14" r:id="rId10" display="https://docs.google.com/forms/d/e/1FAIpQLSd37AKX0Ca1Yeje6eC6NuliFZj5Spn7I7mXRsa9kBsXMqB-Ag/viewform?edit2=2_ABaOnufxkc3tlHnwqQgLBNKZgEJCUxXYMRiEDNla6guit9NDZ30z5t7XPOkPUIpmZDTO4O8" xr:uid="{00000000-0004-0000-0600-000009000000}"/>
    <hyperlink ref="I15" r:id="rId11" display="https://docs.google.com/forms/d/e/1FAIpQLSd37AKX0Ca1Yeje6eC6NuliFZj5Spn7I7mXRsa9kBsXMqB-Ag/viewform?edit2=2_ABaOnucRe9f_0GBTCwiHzMMmuvvc9b4qJ4soH6HsG-cy5Ec9DICJs5nC7loZPIoO4xbzc_M" xr:uid="{00000000-0004-0000-0600-00000A000000}"/>
    <hyperlink ref="I16" r:id="rId12" display="https://docs.google.com/forms/d/e/1FAIpQLSd37AKX0Ca1Yeje6eC6NuliFZj5Spn7I7mXRsa9kBsXMqB-Ag/viewform?edit2=2_ABaOnucA31zacn3JFu1qCuYTqRLZNhaLtSeyINIUJtzNgoY7EQeqtKu9wLz4rw9WsHG_BPs" xr:uid="{00000000-0004-0000-0600-00000B000000}"/>
    <hyperlink ref="I17" r:id="rId13" display="https://docs.google.com/forms/d/e/1FAIpQLSd37AKX0Ca1Yeje6eC6NuliFZj5Spn7I7mXRsa9kBsXMqB-Ag/viewform?edit2=2_ABaOnudDxXSRl5DbWNRLf0wn5v-nqeGjP0LiosAd6ThAG-F4xBoZQW8FXAUDTOqFq6dVLwI" xr:uid="{00000000-0004-0000-0600-00000C000000}"/>
    <hyperlink ref="I18" r:id="rId14" display="https://docs.google.com/forms/d/e/1FAIpQLSd37AKX0Ca1Yeje6eC6NuliFZj5Spn7I7mXRsa9kBsXMqB-Ag/viewform?edit2=2_ABaOnueYWLUCkhOyJAhdd6sl35WX-SzQl1fVfL0acBK39C3PrSGDfh5FKCpV-EWK10pwrqQ" xr:uid="{00000000-0004-0000-0600-00000D000000}"/>
    <hyperlink ref="I19" r:id="rId15" display="https://docs.google.com/forms/d/e/1FAIpQLSd37AKX0Ca1Yeje6eC6NuliFZj5Spn7I7mXRsa9kBsXMqB-Ag/viewform?edit2=2_ABaOnucjwEQQpKVtkpHfLLSdr7wlsJ123jmny_Y0VAZ3t1dzFLz17xf1AylOpEj0gIyz5Dg" xr:uid="{00000000-0004-0000-0600-00000E000000}"/>
    <hyperlink ref="I20" r:id="rId16" display="https://docs.google.com/forms/d/e/1FAIpQLScKfK1Xq_AfFRyZkOlyT2n4Ugr8FdePyUxPct4kYLgKJ3YlMQ/viewform?edit2=2_ABaOnucvgZ8hcmHj8eo8Gttfaa2Xb_k25Mz2N0V6ThqYfwGsiep8vt9_VOKJTNSs6iScXCU" xr:uid="{00000000-0004-0000-0600-00000F000000}"/>
    <hyperlink ref="I21" r:id="rId17" display="https://docs.google.com/forms/d/e/1FAIpQLSd37AKX0Ca1Yeje6eC6NuliFZj5Spn7I7mXRsa9kBsXMqB-Ag/viewform?edit2=2_ABaOnueGV1D7Xj7a5UiuNCsQBshom47Y4WPZn3PVWIRvV1ezyWBf4nAw1EfV1ynT_mKjcGA" xr:uid="{00000000-0004-0000-0600-000010000000}"/>
    <hyperlink ref="I22" r:id="rId18" display="https://docs.google.com/forms/d/e/1FAIpQLSd37AKX0Ca1Yeje6eC6NuliFZj5Spn7I7mXRsa9kBsXMqB-Ag/viewform?edit2=2_ABaOnufbV03AkBo9RdW1eUM4xxihGZCxZxrtpDHuj_Qa9D8X4Cfiemy7NEM7mIZWM42VFyA" xr:uid="{00000000-0004-0000-0600-000011000000}"/>
    <hyperlink ref="I23" r:id="rId19" display="https://docs.google.com/forms/d/e/1FAIpQLSd37AKX0Ca1Yeje6eC6NuliFZj5Spn7I7mXRsa9kBsXMqB-Ag/viewform?edit2=2_ABaOnudH55SYZfYSmbkIYwQkkht9AvvLykPnN9qHu--msSdQL8xr-twF84PLxu7NEweRgsA" xr:uid="{00000000-0004-0000-0600-000012000000}"/>
    <hyperlink ref="I24" r:id="rId20" display="https://docs.google.com/forms/d/e/1FAIpQLScKfK1Xq_AfFRyZkOlyT2n4Ugr8FdePyUxPct4kYLgKJ3YlMQ/viewform?edit2=2_ABaOnufrbZEpQ1VYeN9BXUBQ6v1OzvXmTFVGlu68JTR1rShH00C-sT1ViaSxcZ8c5g36hTc" xr:uid="{00000000-0004-0000-0600-000013000000}"/>
    <hyperlink ref="I25" r:id="rId21" display="https://docs.google.com/forms/d/e/1FAIpQLSd37AKX0Ca1Yeje6eC6NuliFZj5Spn7I7mXRsa9kBsXMqB-Ag/viewform?edit2=2_ABaOnucxId1hmpsDz6gRK7hNV_VfYF7Ljm--qJMJ1WHEGYrYk6cqVqaqC_ZrAoVuuRa0OZs" xr:uid="{00000000-0004-0000-0600-000014000000}"/>
    <hyperlink ref="I26" r:id="rId22" display="https://docs.google.com/forms/d/e/1FAIpQLSd37AKX0Ca1Yeje6eC6NuliFZj5Spn7I7mXRsa9kBsXMqB-Ag/viewform?edit2=2_ABaOnuccYH0o4h2SxHKKEb1DF41CCIj9Qlcjj535Y-OtOUeelvdwEFGsNYtsH42NN-yaJms" xr:uid="{00000000-0004-0000-0600-000015000000}"/>
    <hyperlink ref="I27" r:id="rId23" display="https://docs.google.com/forms/d/e/1FAIpQLSd37AKX0Ca1Yeje6eC6NuliFZj5Spn7I7mXRsa9kBsXMqB-Ag/viewform?edit2=2_ABaOnuf3ncTLu9rMQrtuYSdYB6wY2MaD6cBPF-ruKky8jNGdipWjeWa1LuFeurdRnHZ53v4" xr:uid="{00000000-0004-0000-0600-000016000000}"/>
    <hyperlink ref="I28" r:id="rId24" display="https://docs.google.com/forms/d/e/1FAIpQLSd37AKX0Ca1Yeje6eC6NuliFZj5Spn7I7mXRsa9kBsXMqB-Ag/viewform?edit2=2_ABaOnuduAuNuy0LPVF2WvFk0z94zUuE8zokX0hVnLbnIAICBr-sugpCs4I7SQ9GJeE9jGtU" xr:uid="{00000000-0004-0000-0600-000017000000}"/>
    <hyperlink ref="I29" r:id="rId25" display="https://docs.google.com/forms/d/e/1FAIpQLScKfK1Xq_AfFRyZkOlyT2n4Ugr8FdePyUxPct4kYLgKJ3YlMQ/viewform?edit2=2_ABaOnufjK8xhuiFA2hyUBTaEq6LVGLdbtrDPBexyDuYH7Ij3F2jxWiXRsszKp7UkAhq6w2w" xr:uid="{00000000-0004-0000-0600-000018000000}"/>
    <hyperlink ref="I30" r:id="rId26" display="https://docs.google.com/forms/d/e/1FAIpQLSd37AKX0Ca1Yeje6eC6NuliFZj5Spn7I7mXRsa9kBsXMqB-Ag/viewform?edit2=2_ABaOnuf6drCWA-IZBlNqDAotDEssKORUs-S1i6ryHOYbNmm5r74FiPSdK2RgyzyGz8V24y8" xr:uid="{00000000-0004-0000-0600-000019000000}"/>
    <hyperlink ref="I31" r:id="rId27" display="https://docs.google.com/forms/d/e/1FAIpQLSd37AKX0Ca1Yeje6eC6NuliFZj5Spn7I7mXRsa9kBsXMqB-Ag/viewform?edit2=2_ABaOnucXYh7TXzTa8Eiqh6G2iI9SDkB9z7HxXc-muPtZY1lxw5j5SfdnONWyGViUYdQGjOE" xr:uid="{00000000-0004-0000-0600-00001A000000}"/>
    <hyperlink ref="I32" r:id="rId28" display="https://docs.google.com/forms/d/e/1FAIpQLSd37AKX0Ca1Yeje6eC6NuliFZj5Spn7I7mXRsa9kBsXMqB-Ag/viewform?edit2=2_ABaOnueqOA9jOURj75fgFVzTPRoS4CvrWRrmHCOIfJ0-em66xU40R2VatgNoW4WQt5tTjMU" xr:uid="{00000000-0004-0000-0600-00001B000000}"/>
    <hyperlink ref="I33" r:id="rId29" display="https://docs.google.com/forms/d/e/1FAIpQLScKfK1Xq_AfFRyZkOlyT2n4Ugr8FdePyUxPct4kYLgKJ3YlMQ/viewform?edit2=2_ABaOnucfG3bYGvshe4WwfOGUK3uVop5MwarUCM8Dz2zoZnlJ3EKFUr5l140YAU18grrR6Jg" xr:uid="{00000000-0004-0000-0600-00001C000000}"/>
    <hyperlink ref="I34" r:id="rId30" display="https://docs.google.com/forms/d/e/1FAIpQLScKfK1Xq_AfFRyZkOlyT2n4Ugr8FdePyUxPct4kYLgKJ3YlMQ/viewform?edit2=2_ABaOnueBzNAJWdlR9Lt93Tux99b3FldCN3d7GgypcpVrLDy-6bAwlrNPRCs-i1euwAyyqaQ" xr:uid="{00000000-0004-0000-0600-00001D000000}"/>
    <hyperlink ref="I35" r:id="rId31" display="https://docs.google.com/forms/d/e/1FAIpQLScKfK1Xq_AfFRyZkOlyT2n4Ugr8FdePyUxPct4kYLgKJ3YlMQ/viewform?edit2=2_ABaOnuclPqeAJQSqGHtJmlpXSjJSapyprWpZux4R9d_vojADBzV8V4vkS47Auvu3HSa2bZA" xr:uid="{00000000-0004-0000-0600-00001E000000}"/>
    <hyperlink ref="I36" r:id="rId32" display="https://docs.google.com/forms/d/e/1FAIpQLScKfK1Xq_AfFRyZkOlyT2n4Ugr8FdePyUxPct4kYLgKJ3YlMQ/viewform?edit2=2_ABaOnufLliA2CJi29kg7rYKT-h87l0w8X4u7qJ1sLy7FAlkOe3QXfjX1FkbVGDpHIm5JPxk" xr:uid="{00000000-0004-0000-0600-00001F000000}"/>
    <hyperlink ref="I37" r:id="rId33" display="https://docs.google.com/forms/d/e/1FAIpQLScKfK1Xq_AfFRyZkOlyT2n4Ugr8FdePyUxPct4kYLgKJ3YlMQ/viewform?edit2=2_ABaOnucoVVW69SVQ3gNVqXcMOXeDIKpQsj0faJz8KwXftEjdhci2kGRFvnbK77xCKE72FXU" xr:uid="{00000000-0004-0000-0600-000020000000}"/>
    <hyperlink ref="I38" r:id="rId34" display="https://docs.google.com/forms/d/e/1FAIpQLSd37AKX0Ca1Yeje6eC6NuliFZj5Spn7I7mXRsa9kBsXMqB-Ag/viewform?edit2=2_ABaOnudXRG2Jwf0piX_HQSxUMHaFfZFf_zx8hjkhhFOzfWSHZQBU_Kr5WzdcVpA0V8amUX4" xr:uid="{00000000-0004-0000-0600-000021000000}"/>
    <hyperlink ref="I39" r:id="rId35" display="https://docs.google.com/forms/d/e/1FAIpQLSd37AKX0Ca1Yeje6eC6NuliFZj5Spn7I7mXRsa9kBsXMqB-Ag/viewform?edit2=2_ABaOnuff1NqAKnZeZFWYAZ37X-J5lZZRuI-4HxjIyakngMffc9MgN7mqhOsy4yZwbSwlM5A" xr:uid="{00000000-0004-0000-0600-000022000000}"/>
    <hyperlink ref="I40" r:id="rId36" display="https://docs.google.com/forms/d/e/1FAIpQLSd37AKX0Ca1Yeje6eC6NuliFZj5Spn7I7mXRsa9kBsXMqB-Ag/viewform?edit2=2_ABaOnudWeTedu4RM0xhhpxcAAl1Lm1czJ_a-WZCRd0yTmaIgnUPy2sTcZ0gkt0RadE-JDWc" xr:uid="{00000000-0004-0000-0600-000023000000}"/>
    <hyperlink ref="I41" r:id="rId37" display="https://docs.google.com/forms/d/e/1FAIpQLSd37AKX0Ca1Yeje6eC6NuliFZj5Spn7I7mXRsa9kBsXMqB-Ag/viewform?edit2=2_ABaOnudeQNpZK8qo5P01o5m8u1nK-nidTP440bH0iWjs2673t7t6cup8pQiFCCzYZAU0aPQ" xr:uid="{00000000-0004-0000-0600-000024000000}"/>
    <hyperlink ref="I42" r:id="rId38" display="https://docs.google.com/forms/d/e/1FAIpQLSd37AKX0Ca1Yeje6eC6NuliFZj5Spn7I7mXRsa9kBsXMqB-Ag/viewform?edit2=2_ABaOnuf1iClOzJhfEbDLVFFuk-RnA6L6BlaBrlXqRxJ2NuDHdspMURjFlJG0-iCLxv4fzTk" xr:uid="{00000000-0004-0000-0600-000025000000}"/>
    <hyperlink ref="I43" r:id="rId39" display="https://docs.google.com/forms/d/e/1FAIpQLSd37AKX0Ca1Yeje6eC6NuliFZj5Spn7I7mXRsa9kBsXMqB-Ag/viewform?edit2=2_ABaOnufa2u84Z9CN6X3pn2WNK3cgotIWLVUteaxy9v8K82fxhORjkSTo3bK92F89vvmHQQY" xr:uid="{00000000-0004-0000-0600-000026000000}"/>
    <hyperlink ref="I44" r:id="rId40" display="https://docs.google.com/forms/d/e/1FAIpQLSd37AKX0Ca1Yeje6eC6NuliFZj5Spn7I7mXRsa9kBsXMqB-Ag/viewform?edit2=2_ABaOnudAISoAiJoYPkJ2lu_q6gzTXwxsNXRzhLbYLaXYKzI8S6S1y9cf6QT8xeUl9qJhAC4" xr:uid="{00000000-0004-0000-0600-000027000000}"/>
    <hyperlink ref="I45" r:id="rId41" display="https://docs.google.com/forms/d/e/1FAIpQLSd37AKX0Ca1Yeje6eC6NuliFZj5Spn7I7mXRsa9kBsXMqB-Ag/viewform?edit2=2_ABaOnufDbwsAVAzVxdhcVcQPdr8KBiuCeP-KzqSydcuXV8bbcLj1GK3eHoRfDXLLb8m1RjU" xr:uid="{00000000-0004-0000-0600-000028000000}"/>
    <hyperlink ref="I46" r:id="rId42" display="https://docs.google.com/forms/d/e/1FAIpQLSd37AKX0Ca1Yeje6eC6NuliFZj5Spn7I7mXRsa9kBsXMqB-Ag/viewform?edit2=2_ABaOnucZs_yyqG64TTPx-HI7iKA2OneWgrigcOPOBMu_J3Zl1ZdW363tYAP1Ym-CI38rmSE" xr:uid="{00000000-0004-0000-0600-000029000000}"/>
    <hyperlink ref="I47" r:id="rId43" display="https://docs.google.com/forms/d/e/1FAIpQLScKfK1Xq_AfFRyZkOlyT2n4Ugr8FdePyUxPct4kYLgKJ3YlMQ/viewform?edit2=2_ABaOnueaQXOBWtLHbkKogiRYZwa9VzkGBCpJmWiZkzVO4au5iwOSPC1mbMUGgNtfFagtNIs" xr:uid="{00000000-0004-0000-0600-00002A000000}"/>
    <hyperlink ref="I48" r:id="rId44" display="https://docs.google.com/forms/d/e/1FAIpQLSd37AKX0Ca1Yeje6eC6NuliFZj5Spn7I7mXRsa9kBsXMqB-Ag/viewform?edit2=2_ABaOnufInSSzuHK0ymI3Fy1IGVCRCSAvpdzG556xi_OsvoFWA9spEFXOOdsQgO-nNUjADxg" xr:uid="{00000000-0004-0000-0600-00002B000000}"/>
    <hyperlink ref="I49" r:id="rId45" display="https://docs.google.com/forms/d/e/1FAIpQLSd37AKX0Ca1Yeje6eC6NuliFZj5Spn7I7mXRsa9kBsXMqB-Ag/viewform?edit2=2_ABaOnueKgqULeg8fIiucHcnX3HqJHzYNTk4rqINxF7ZIUn06UwtQLeolsXXTOdNfPiq1mAU" xr:uid="{00000000-0004-0000-0600-00002C000000}"/>
    <hyperlink ref="I50" r:id="rId46" display="https://docs.google.com/forms/d/e/1FAIpQLSd37AKX0Ca1Yeje6eC6NuliFZj5Spn7I7mXRsa9kBsXMqB-Ag/viewform?edit2=2_ABaOnudSaiTPxaFtHrreY46BnXEqShox50Z2ak0rHpewn71vVfmjiHgqI2ff57yXQ6YzcfA" xr:uid="{00000000-0004-0000-0600-00002D000000}"/>
    <hyperlink ref="I51" r:id="rId47" display="https://docs.google.com/forms/d/e/1FAIpQLSd37AKX0Ca1Yeje6eC6NuliFZj5Spn7I7mXRsa9kBsXMqB-Ag/viewform?edit2=2_ABaOnudPhJxPi-s6Hxz1T94O7eJHvc2vL6-lmN1KDpQ-VjVgY28VI3YP71BRdl6Wj6SLGek" xr:uid="{00000000-0004-0000-0600-00002E000000}"/>
    <hyperlink ref="I52" r:id="rId48" display="https://docs.google.com/forms/d/e/1FAIpQLSd37AKX0Ca1Yeje6eC6NuliFZj5Spn7I7mXRsa9kBsXMqB-Ag/viewform?edit2=2_ABaOnueqQ5WD4kzs8XFkpGxeBrDewIQChFYFkeCcx-r4wFHBdNPG4t_O0JkGnrd6V5GB4rY" xr:uid="{00000000-0004-0000-0600-00002F000000}"/>
    <hyperlink ref="I53" r:id="rId49" display="https://docs.google.com/forms/d/e/1FAIpQLSd37AKX0Ca1Yeje6eC6NuliFZj5Spn7I7mXRsa9kBsXMqB-Ag/viewform?edit2=2_ABaOnuestmawDRwNCrwWBbcFzvUi4IXI1Xou83xweNeZQ-Dv589ktMYRHtyGkw0HL1Ct-jc" xr:uid="{00000000-0004-0000-0600-000030000000}"/>
    <hyperlink ref="I54" r:id="rId50" display="https://docs.google.com/forms/d/e/1FAIpQLSd37AKX0Ca1Yeje6eC6NuliFZj5Spn7I7mXRsa9kBsXMqB-Ag/viewform?edit2=2_ABaOnudQe5Oq9buGueatTTD8lsR_7Yj1XLidI8BHf21R3f-FwDdocxmbnq_mTuBdA8-FDik" xr:uid="{00000000-0004-0000-0600-000031000000}"/>
    <hyperlink ref="I55" r:id="rId51" display="https://docs.google.com/forms/d/e/1FAIpQLSd37AKX0Ca1Yeje6eC6NuliFZj5Spn7I7mXRsa9kBsXMqB-Ag/viewform?edit2=2_ABaOnuf8c0icYyUPFHPd2h3zuTjDR-l6zOTIgLwInEiTpumMyjH86_Ipsc_T5CuYxODQ120" xr:uid="{00000000-0004-0000-0600-000032000000}"/>
    <hyperlink ref="I56" r:id="rId52" display="https://docs.google.com/forms/d/e/1FAIpQLSd37AKX0Ca1Yeje6eC6NuliFZj5Spn7I7mXRsa9kBsXMqB-Ag/viewform?edit2=2_ABaOnue66NZ8CHKfjK3R7gTxdxgvrjGpG3tqvtkmrm6FPFcQf-lImxmTrUVk97eWDxwsCdE" xr:uid="{00000000-0004-0000-0600-000033000000}"/>
    <hyperlink ref="I57" r:id="rId53" display="https://docs.google.com/forms/d/e/1FAIpQLSd37AKX0Ca1Yeje6eC6NuliFZj5Spn7I7mXRsa9kBsXMqB-Ag/viewform?edit2=2_ABaOnuf4xLDAU_tpsM5FswHCkMiBKatekUAKIOk22JwXmcpz6CwHer0sJGeR6cLALX-G5i8" xr:uid="{00000000-0004-0000-0600-000034000000}"/>
    <hyperlink ref="I58" r:id="rId54" display="https://docs.google.com/forms/d/e/1FAIpQLSd37AKX0Ca1Yeje6eC6NuliFZj5Spn7I7mXRsa9kBsXMqB-Ag/viewform?edit2=2_ABaOnuds8n1cXqEQges1keQ6gII34Wl56T73IIC2Ms4ZzOmva2PGEpao-nbgJlaOlo6WGJk" xr:uid="{00000000-0004-0000-0600-000035000000}"/>
    <hyperlink ref="I59" r:id="rId55" display="https://docs.google.com/forms/d/e/1FAIpQLSd37AKX0Ca1Yeje6eC6NuliFZj5Spn7I7mXRsa9kBsXMqB-Ag/viewform?edit2=2_ABaOnuciQxC4eTTBKIRCx9VtdD5b4Aw4GHipS6jqTlBmttCZv1BkF15QgwkCKnZEb9zBjUI" xr:uid="{00000000-0004-0000-0600-000036000000}"/>
    <hyperlink ref="I60" r:id="rId56" display="https://docs.google.com/forms/d/e/1FAIpQLSd37AKX0Ca1Yeje6eC6NuliFZj5Spn7I7mXRsa9kBsXMqB-Ag/viewform?edit2=2_ABaOnue59nTKwmLOFBeEDNy4A4E50G9m4_Taygd-t5Jtfj3LUJtYDs4lyYyNgEvaenq_DkA" xr:uid="{00000000-0004-0000-0600-000037000000}"/>
    <hyperlink ref="I61" r:id="rId57" display="https://docs.google.com/forms/d/e/1FAIpQLSd37AKX0Ca1Yeje6eC6NuliFZj5Spn7I7mXRsa9kBsXMqB-Ag/viewform?edit2=2_ABaOnueU6CV0L6qzYn4M7aGmwgquZmZu_wiXdlo63ftKLtzBRvGCv_JpzcPEO4tG3a6TmJo" xr:uid="{00000000-0004-0000-0600-000038000000}"/>
    <hyperlink ref="I62" r:id="rId58" display="https://docs.google.com/forms/d/e/1FAIpQLSd37AKX0Ca1Yeje6eC6NuliFZj5Spn7I7mXRsa9kBsXMqB-Ag/viewform?edit2=2_ABaOnueEPwh1foCkF5p13wFtRWpghPhSqtbCjBXGJ58UvmEhVSHxI8HVV_XNL4yER31Pfss" xr:uid="{00000000-0004-0000-0600-000039000000}"/>
    <hyperlink ref="I63" r:id="rId59" display="https://docs.google.com/forms/d/e/1FAIpQLSd37AKX0Ca1Yeje6eC6NuliFZj5Spn7I7mXRsa9kBsXMqB-Ag/viewform?edit2=2_ABaOnudWylz-N1brbnTL28kF5bF6e1dxnhA2Q37Althy3VAa_Lka6LX6nBQK3plxVt4RPjk" xr:uid="{00000000-0004-0000-0600-00003A000000}"/>
    <hyperlink ref="I64" r:id="rId60" display="https://docs.google.com/forms/d/e/1FAIpQLSd37AKX0Ca1Yeje6eC6NuliFZj5Spn7I7mXRsa9kBsXMqB-Ag/viewform?edit2=2_ABaOnufWFP9HETYNJ3J5EUfjOIhDoa5KZFj2apAnrBOV6JXJzgQYkHtCfkj4lP4wohCMwtE" xr:uid="{00000000-0004-0000-0600-00003B000000}"/>
    <hyperlink ref="I65" r:id="rId61" display="https://docs.google.com/forms/d/e/1FAIpQLSd37AKX0Ca1Yeje6eC6NuliFZj5Spn7I7mXRsa9kBsXMqB-Ag/viewform?edit2=2_ABaOnueQXAYHk584kJhjy388LUqazq7e-U9SR8htrfX_qegV5t1VyfqM-vER3RMIdSMR100" xr:uid="{00000000-0004-0000-0600-00003C000000}"/>
    <hyperlink ref="I66" r:id="rId62" display="https://docs.google.com/forms/d/e/1FAIpQLSd37AKX0Ca1Yeje6eC6NuliFZj5Spn7I7mXRsa9kBsXMqB-Ag/viewform?edit2=2_ABaOnudoNBvw3THZ41dqtCsdUKuAuJjB0DS61NMmaPCGruHj-T9AWO-iGHiUD40ToAaN_9I" xr:uid="{00000000-0004-0000-0600-00003D000000}"/>
    <hyperlink ref="I67" r:id="rId63" display="https://docs.google.com/forms/d/e/1FAIpQLSd37AKX0Ca1Yeje6eC6NuliFZj5Spn7I7mXRsa9kBsXMqB-Ag/viewform?edit2=2_ABaOnuc_fh3vMbyRgn43S5eCZwRDFgXS68lbvKe-_HVrVzwtCgXEVaKf_p0nJWByALtUk9w" xr:uid="{00000000-0004-0000-0600-00003E000000}"/>
    <hyperlink ref="I68" r:id="rId64" display="https://docs.google.com/forms/d/e/1FAIpQLSd37AKX0Ca1Yeje6eC6NuliFZj5Spn7I7mXRsa9kBsXMqB-Ag/viewform?edit2=2_ABaOnuevPvgCpRTtXzF_nEg8ubPB1kpyPumvlKqedug0yXA_NBt_zSEQ5A5elQPQn8Pz8MI" xr:uid="{00000000-0004-0000-0600-00003F000000}"/>
    <hyperlink ref="I69" r:id="rId65" display="https://docs.google.com/forms/d/e/1FAIpQLSd37AKX0Ca1Yeje6eC6NuliFZj5Spn7I7mXRsa9kBsXMqB-Ag/viewform?edit2=2_ABaOnue3Jad5W9Uar32FIQIIrw-Mr5hDOEOwWLRFXGzjIm6vlllA3_MpAdkc1Fc6niJcSVM" xr:uid="{00000000-0004-0000-0600-000040000000}"/>
    <hyperlink ref="I70" r:id="rId66" display="https://docs.google.com/forms/d/e/1FAIpQLSd37AKX0Ca1Yeje6eC6NuliFZj5Spn7I7mXRsa9kBsXMqB-Ag/viewform?edit2=2_ABaOnudW1H-nhw-T7zEA8a34IzysnsIArmJ9qBn2uDVh9vHWpaFI5zacowSx24UOdHJmwzM" xr:uid="{00000000-0004-0000-0600-000041000000}"/>
    <hyperlink ref="I71" r:id="rId67" display="https://docs.google.com/forms/d/e/1FAIpQLSd37AKX0Ca1Yeje6eC6NuliFZj5Spn7I7mXRsa9kBsXMqB-Ag/viewform?edit2=2_ABaOnude3YIYds7K8MD9MdM7f73dSR4nCYONQODTboBHgHM-FyGf0NVBzbPlqzgArPfCPjM" xr:uid="{00000000-0004-0000-0600-000042000000}"/>
    <hyperlink ref="I72" r:id="rId68" display="https://docs.google.com/forms/d/e/1FAIpQLSd37AKX0Ca1Yeje6eC6NuliFZj5Spn7I7mXRsa9kBsXMqB-Ag/viewform?edit2=2_ABaOnueQifeXrb58f2l-fn4zj1w6xN1zs3ijczgGpF_vSkGeA1cb48Av_vY2C04VZEkZzz4" xr:uid="{00000000-0004-0000-0600-000043000000}"/>
    <hyperlink ref="I73" r:id="rId69" display="https://docs.google.com/forms/d/e/1FAIpQLSd37AKX0Ca1Yeje6eC6NuliFZj5Spn7I7mXRsa9kBsXMqB-Ag/viewform?edit2=2_ABaOnudSPtf3N8SrkyU-NZ4noLqUaeQxb1pg_AcQiDTDSH1P5hEUdmsI32UCDPXITJ435Hs" xr:uid="{00000000-0004-0000-0600-000044000000}"/>
    <hyperlink ref="I74" r:id="rId70" display="https://docs.google.com/forms/d/e/1FAIpQLSeAkkqnSqisXk0g5wDtTZwQpSKdxgBvUG9NhZjoIJxKcGoYyw/viewform?edit2=2_ABaOnufMj3NlW--EHaLsoCZD5J6fe6i6LO9REUaBqFlRhTBdIQvlohrgzUJhl8nay87Px5E" xr:uid="{00000000-0004-0000-0600-000045000000}"/>
    <hyperlink ref="I75" r:id="rId71" display="https://docs.google.com/forms/d/e/1FAIpQLSd37AKX0Ca1Yeje6eC6NuliFZj5Spn7I7mXRsa9kBsXMqB-Ag/viewform?edit2=2_ABaOnue3Jad5W9Uar32FIQIIrw-Mr5hDOEOwWLRFXGzjIm6vlllA3_MpAdkc1Fc6niJcSVM" xr:uid="{00000000-0004-0000-0600-000046000000}"/>
    <hyperlink ref="I76" r:id="rId72" display="https://docs.google.com/forms/d/e/1FAIpQLSd37AKX0Ca1Yeje6eC6NuliFZj5Spn7I7mXRsa9kBsXMqB-Ag/viewform?edit2=2_ABaOnuf3RQD9xnlEVNEmdONsLpkXUQJ9qpVEJnJgh7KiGjXh_c9HZ6vF_CpBHi15w-gFsn8" xr:uid="{00000000-0004-0000-0600-000047000000}"/>
    <hyperlink ref="I77" r:id="rId73" display="https://docs.google.com/forms/d/e/1FAIpQLSd37AKX0Ca1Yeje6eC6NuliFZj5Spn7I7mXRsa9kBsXMqB-Ag/viewform?edit2=2_ABaOnuc2ce1OsnN4egnCH4EpgfP2ZGzmFF0P7bp3mPH7vn6kJ6Ik4LRVglrukwYZUMRxKVA" xr:uid="{00000000-0004-0000-0600-000048000000}"/>
    <hyperlink ref="I78" r:id="rId74" display="https://docs.google.com/forms/d/e/1FAIpQLSd37AKX0Ca1Yeje6eC6NuliFZj5Spn7I7mXRsa9kBsXMqB-Ag/viewform?edit2=2_ABaOnuc084FrjG7zAzRmpPq49Y4JP88xiAcq-g7-VvQwWFeceQLWBMs_PDHeU79-Vo2bATc" xr:uid="{00000000-0004-0000-0600-000049000000}"/>
    <hyperlink ref="I79" r:id="rId75" display="https://docs.google.com/forms/d/e/1FAIpQLScKfK1Xq_AfFRyZkOlyT2n4Ugr8FdePyUxPct4kYLgKJ3YlMQ/viewform?edit2=2_ABaOnueGhFrC5uwJ6Q-je3BKvFYe0pud2_pqm6TjJkW7ni5E5LbYmayQ36NyjMT57nHG4QQ" xr:uid="{00000000-0004-0000-0600-00004A000000}"/>
    <hyperlink ref="I80" r:id="rId76" display="https://docs.google.com/forms/d/e/1FAIpQLScKfK1Xq_AfFRyZkOlyT2n4Ugr8FdePyUxPct4kYLgKJ3YlMQ/viewform?edit2=2_ABaOnufpsK5vteWRiYTWB09D60Vi_h7LVrJujuDE72LhGIB_TbYDP2x7JBRNRVos15yKxWg" xr:uid="{00000000-0004-0000-0600-00004B000000}"/>
    <hyperlink ref="I81" r:id="rId77" display="https://docs.google.com/forms/d/e/1FAIpQLScKfK1Xq_AfFRyZkOlyT2n4Ugr8FdePyUxPct4kYLgKJ3YlMQ/viewform?edit2=2_ABaOnucwqywpbOhehWb_hRGv3iH7fBjYkd-bm7P_rKNcLL2CROHu5YVvp5s8tnLi4OXZoL4" xr:uid="{00000000-0004-0000-0600-00004C000000}"/>
    <hyperlink ref="I82" r:id="rId78" display="https://docs.google.com/forms/d/e/1FAIpQLScKfK1Xq_AfFRyZkOlyT2n4Ugr8FdePyUxPct4kYLgKJ3YlMQ/viewform?edit2=2_ABaOnudJZTctoBjl3qpNdm6etTylzvWAKVofQalrPmPOeai9zwWd22Zw3UJLRe8nR1ufFZM" xr:uid="{00000000-0004-0000-0600-00004D000000}"/>
    <hyperlink ref="I83" r:id="rId79" display="https://docs.google.com/forms/d/e/1FAIpQLScKfK1Xq_AfFRyZkOlyT2n4Ugr8FdePyUxPct4kYLgKJ3YlMQ/viewform?edit2=2_ABaOnufb-nE9EbyKTT6hORhEbvi6L_6OXRGSycMy2mU8zEVI91IfHurcQico_VTO24ptdi4" xr:uid="{00000000-0004-0000-0600-00004E000000}"/>
    <hyperlink ref="I84" r:id="rId80" display="https://docs.google.com/forms/d/e/1FAIpQLSd37AKX0Ca1Yeje6eC6NuliFZj5Spn7I7mXRsa9kBsXMqB-Ag/viewform?edit2=2_ABaOnudBgyxTJ6kToGY4rlfeqEwvUp5513GXUlIoSe3bdgVChJDDj4v_uo4Rx0BqYlxPY9o" xr:uid="{00000000-0004-0000-0600-00004F000000}"/>
    <hyperlink ref="I85" r:id="rId81" display="https://docs.google.com/forms/d/e/1FAIpQLSd37AKX0Ca1Yeje6eC6NuliFZj5Spn7I7mXRsa9kBsXMqB-Ag/viewform?edit2=2_ABaOnuf3SCs4io_fGe1Nhck3rNXdmd477nS50ghm4oVtuN0fNt6Li8BYgDvLqtiN5R2o0NQ" xr:uid="{00000000-0004-0000-0600-000050000000}"/>
    <hyperlink ref="I86" r:id="rId82" display="https://docs.google.com/forms/d/e/1FAIpQLSd37AKX0Ca1Yeje6eC6NuliFZj5Spn7I7mXRsa9kBsXMqB-Ag/viewform?edit2=2_ABaOnue-czhKjGPkXkZrV5eF95hFAUWCpn6FSAPg2JZFQ3_yooN-fESCvF2ydWi5RvfDF40" xr:uid="{00000000-0004-0000-0600-000051000000}"/>
    <hyperlink ref="I87" r:id="rId83" display="https://docs.google.com/forms/d/e/1FAIpQLSd37AKX0Ca1Yeje6eC6NuliFZj5Spn7I7mXRsa9kBsXMqB-Ag/viewform?edit2=2_ABaOnufoanDlczACBPN_cdZfkRzhGDeidnzQHXO7ba-esAKkYUlgvNYLHsVQh_6N8OgAazo" xr:uid="{00000000-0004-0000-0600-000052000000}"/>
    <hyperlink ref="I88" r:id="rId84" display="https://docs.google.com/forms/d/e/1FAIpQLScKfK1Xq_AfFRyZkOlyT2n4Ugr8FdePyUxPct4kYLgKJ3YlMQ/viewform?edit2=2_ABaOnuckX9HLj5QzQ9LwfrDlUIL7-AnDActIeviRvXP9cxFz8MIryFBflSpw7Rkwjz_xOdM" xr:uid="{00000000-0004-0000-0600-000053000000}"/>
    <hyperlink ref="I89" r:id="rId85" display="https://docs.google.com/forms/d/e/1FAIpQLSd37AKX0Ca1Yeje6eC6NuliFZj5Spn7I7mXRsa9kBsXMqB-Ag/viewform?edit2=2_ABaOnuewXCcvFlXhOgcuatfXfXCbnlU1jlU_B1S6DBUtQMER3HsVK1yN6hkKuzgrLcFEHRc" xr:uid="{00000000-0004-0000-0600-000054000000}"/>
    <hyperlink ref="I90" r:id="rId86" display="https://docs.google.com/forms/d/e/1FAIpQLScKfK1Xq_AfFRyZkOlyT2n4Ugr8FdePyUxPct4kYLgKJ3YlMQ/viewform?edit2=2_ABaOnue7ZcxSFV-kw8BD7ui03gHbtThwrlkt2O7khJQSu_Z13PplCE3CmnAuJqDwtrwMRHc" xr:uid="{00000000-0004-0000-0600-000055000000}"/>
    <hyperlink ref="I91" r:id="rId87" display="https://docs.google.com/forms/d/e/1FAIpQLSd37AKX0Ca1Yeje6eC6NuliFZj5Spn7I7mXRsa9kBsXMqB-Ag/viewform?edit2=2_ABaOnuefQXgchmGfHlHiXbdb6sPT6GGyslPT96oOIPMDv1uLwmQZBf4hPhnSoQPXwSwwWCo" xr:uid="{00000000-0004-0000-0600-000056000000}"/>
    <hyperlink ref="I92" r:id="rId88" display="https://docs.google.com/forms/d/e/1FAIpQLSd37AKX0Ca1Yeje6eC6NuliFZj5Spn7I7mXRsa9kBsXMqB-Ag/viewform?edit2=2_ABaOnuc6u94zQdric7ddkssmbIhd6cPvEDdWZoOXTRFNLEAy5slE11TDc2rCZnG698eeNHs" xr:uid="{00000000-0004-0000-0600-000057000000}"/>
    <hyperlink ref="I93" r:id="rId89" display="https://docs.google.com/forms/d/e/1FAIpQLSd37AKX0Ca1Yeje6eC6NuliFZj5Spn7I7mXRsa9kBsXMqB-Ag/viewform?edit2=2_ABaOnufS-nreBWFxPOyC72eR9s3g4FxQB6CNDe1z4p8VG1C-Z8nxN3WTFe2eHFZhUKAg3ho" xr:uid="{00000000-0004-0000-0600-000058000000}"/>
    <hyperlink ref="I94" r:id="rId90" display="https://docs.google.com/forms/d/e/1FAIpQLSd37AKX0Ca1Yeje6eC6NuliFZj5Spn7I7mXRsa9kBsXMqB-Ag/viewform?edit2=2_ABaOnucYWY2zuzm8es8eJ_-9FH9ayjyExmMZeKjX4-wl6cCrL0uykZ7cB6-yj6uUc6HAYvM" xr:uid="{00000000-0004-0000-0600-000059000000}"/>
    <hyperlink ref="I95" r:id="rId91" display="https://docs.google.com/forms/d/e/1FAIpQLSd37AKX0Ca1Yeje6eC6NuliFZj5Spn7I7mXRsa9kBsXMqB-Ag/viewform?edit2=2_ABaOnufqRJ9CZA1DZgXIPmBFI39RgSvBKjemJ5gdv9VfzXE2Y63oUhBQwgRKwJdOH8lyyeE" xr:uid="{00000000-0004-0000-0600-00005A000000}"/>
    <hyperlink ref="I96" r:id="rId92" display="https://docs.google.com/forms/d/e/1FAIpQLSd37AKX0Ca1Yeje6eC6NuliFZj5Spn7I7mXRsa9kBsXMqB-Ag/viewform?edit2=2_ABaOnud2OSKDZ02P_FamB8A30V_EW5FSbmzrAiHrkA835GgcC9c2YW-Rd4hKonIS6U_zBHE" xr:uid="{00000000-0004-0000-0600-00005B000000}"/>
    <hyperlink ref="I97" r:id="rId93" display="https://docs.google.com/forms/d/e/1FAIpQLSd37AKX0Ca1Yeje6eC6NuliFZj5Spn7I7mXRsa9kBsXMqB-Ag/viewform?edit2=2_ABaOnue1ZmkVCQ73gZfMpVV9jAOeECCSJOVWPkZUJbuX-UjITF8G09k3HqoNLPJR5YOovSg" xr:uid="{00000000-0004-0000-0600-00005C000000}"/>
    <hyperlink ref="I98" r:id="rId94" display="https://docs.google.com/forms/d/e/1FAIpQLSd37AKX0Ca1Yeje6eC6NuliFZj5Spn7I7mXRsa9kBsXMqB-Ag/viewform?edit2=2_ABaOnueEghC04Vykviesh9gQbyNMpFYEkj1GRRGToZI5mp9gsmCgkZq4p94y2qdwIg6X4oE" xr:uid="{00000000-0004-0000-0600-00005D000000}"/>
    <hyperlink ref="I99" r:id="rId95" display="https://docs.google.com/forms/d/e/1FAIpQLSd37AKX0Ca1Yeje6eC6NuliFZj5Spn7I7mXRsa9kBsXMqB-Ag/viewform?edit2=2_ABaOnueGu3sNZznE7OqaXdAANpC8VT8XqSdh3n-bztGtY8XN2ssDtclEFdzfW9yyi36Ubu0" xr:uid="{00000000-0004-0000-0600-00005E000000}"/>
    <hyperlink ref="I100" r:id="rId96" display="https://docs.google.com/forms/d/e/1FAIpQLSd37AKX0Ca1Yeje6eC6NuliFZj5Spn7I7mXRsa9kBsXMqB-Ag/viewform?edit2=2_ABaOnudMJvxTFQOdCluj0DW5gkN7siHYmo2cFZLQs-CNLK5s164lyZmuEgOv1Nnl33EhZng" xr:uid="{00000000-0004-0000-0600-00005F000000}"/>
    <hyperlink ref="I101" r:id="rId97" display="https://docs.google.com/forms/d/e/1FAIpQLSd37AKX0Ca1Yeje6eC6NuliFZj5Spn7I7mXRsa9kBsXMqB-Ag/viewform?edit2=2_ABaOnucjjv5_rTobnMm4ik6SidIvkk-2PeScJNL7aeMG456YOKbsbhP67njMT5uBHLUCZvY" xr:uid="{00000000-0004-0000-0600-000060000000}"/>
    <hyperlink ref="I102" r:id="rId98" display="https://docs.google.com/forms/d/e/1FAIpQLSd37AKX0Ca1Yeje6eC6NuliFZj5Spn7I7mXRsa9kBsXMqB-Ag/viewform?edit2=2_ABaOnudMvc4nYTck6z1P6LL-5zj5DgoxtiEgnPIpsxaQHqe255RgBZ_3yNiixA0o_EgsNpw" xr:uid="{00000000-0004-0000-0600-000061000000}"/>
    <hyperlink ref="I103" r:id="rId99" display="https://docs.google.com/forms/d/e/1FAIpQLSd37AKX0Ca1Yeje6eC6NuliFZj5Spn7I7mXRsa9kBsXMqB-Ag/viewform?edit2=2_ABaOnuekMbJPwsBIgdmAqSZzHZqSYnVxvFNd3_I1BoI0oDlFKWMmDFbCIIaJoVZa5M1B63U" xr:uid="{00000000-0004-0000-0600-000062000000}"/>
    <hyperlink ref="I104" r:id="rId100" display="https://docs.google.com/forms/d/e/1FAIpQLSd37AKX0Ca1Yeje6eC6NuliFZj5Spn7I7mXRsa9kBsXMqB-Ag/viewform?edit2=2_ABaOnue3S7SYaNWgEAznt3mTxRzvQxotTavY8JjGD9KRM2eqycfhYKXIiPmrHTmwMZ24hFE" xr:uid="{00000000-0004-0000-0600-000063000000}"/>
    <hyperlink ref="I105" r:id="rId101" display="https://docs.google.com/forms/d/e/1FAIpQLSd37AKX0Ca1Yeje6eC6NuliFZj5Spn7I7mXRsa9kBsXMqB-Ag/viewform?edit2=2_ABaOnuc9aPDoW6LgjCUsuHRny8nvvfgwUoe3-JYI93_0801K5cI0OOym4pS-MOQRTXsp9Ks" xr:uid="{00000000-0004-0000-0600-000064000000}"/>
    <hyperlink ref="I106" r:id="rId102" display="https://docs.google.com/forms/d/e/1FAIpQLSd37AKX0Ca1Yeje6eC6NuliFZj5Spn7I7mXRsa9kBsXMqB-Ag/viewform?edit2=2_ABaOnucaVkMPdH2aGVZIm0f1zpF_bCXekQWJWdFbytk8dMhXHHX1wDYUQqMxTB2Ogxjv0WQ" xr:uid="{00000000-0004-0000-0600-000065000000}"/>
    <hyperlink ref="I107" r:id="rId103" display="https://docs.google.com/forms/d/e/1FAIpQLSd37AKX0Ca1Yeje6eC6NuliFZj5Spn7I7mXRsa9kBsXMqB-Ag/viewform?edit2=2_ABaOnufThh1TB_IPf892J9xyxWhVaOvlulLXH8qQXSglTo6N8V11IP2XJ95JCc8HQufUTrM" xr:uid="{00000000-0004-0000-0600-000066000000}"/>
    <hyperlink ref="I108" r:id="rId104" display="https://docs.google.com/forms/d/e/1FAIpQLSd37AKX0Ca1Yeje6eC6NuliFZj5Spn7I7mXRsa9kBsXMqB-Ag/viewform?edit2=2_ABaOnudby-4veylhoBJyUaYsIzJl4nkQgy_XwWHmiPDS3UFh8dVuo4NR6X7BJ5cnZ2a2SqQ" xr:uid="{00000000-0004-0000-0600-000067000000}"/>
    <hyperlink ref="I109" r:id="rId105" display="https://docs.google.com/forms/d/e/1FAIpQLSd37AKX0Ca1Yeje6eC6NuliFZj5Spn7I7mXRsa9kBsXMqB-Ag/viewform?edit2=2_ABaOnudfb438iuRcTi97tc8h6ySeNFg1cWEUVOsVnxcGBUML2QyhQq8GjQTeRQOnS8J8mCI" xr:uid="{00000000-0004-0000-0600-000068000000}"/>
    <hyperlink ref="I110" r:id="rId106" display="https://docs.google.com/forms/d/e/1FAIpQLSd37AKX0Ca1Yeje6eC6NuliFZj5Spn7I7mXRsa9kBsXMqB-Ag/viewform?edit2=2_ABaOnuckIBKsSimnFjncb-wBKkjl74JnMIIMe9avQ_J1MIPd2zhy-sQZN8WX_vqZjEs15TI" xr:uid="{00000000-0004-0000-0600-000069000000}"/>
    <hyperlink ref="I111" r:id="rId107" display="https://docs.google.com/forms/d/e/1FAIpQLSd37AKX0Ca1Yeje6eC6NuliFZj5Spn7I7mXRsa9kBsXMqB-Ag/viewform?edit2=2_ABaOnudzaqiBgDs_DOUKSFclW-NDR1KV6fEm8JRNGbocyIUF0Tfs8PzyvxT-Vfr92SeFeOc" xr:uid="{00000000-0004-0000-0600-00006A000000}"/>
    <hyperlink ref="I112" r:id="rId108" display="https://docs.google.com/forms/d/e/1FAIpQLSd37AKX0Ca1Yeje6eC6NuliFZj5Spn7I7mXRsa9kBsXMqB-Ag/viewform?edit2=2_ABaOnufU7zcEy1svoPRIsre-wqkORHjiO3utFOjpKOKt7U0ohXLZpYLjHzv5UNS84SmGULc" xr:uid="{00000000-0004-0000-0600-00006B000000}"/>
    <hyperlink ref="I113" r:id="rId109" display="https://docs.google.com/forms/d/e/1FAIpQLSeAkkqnSqisXk0g5wDtTZwQpSKdxgBvUG9NhZjoIJxKcGoYyw/viewform?edit2=2_ABaOnufNWMXmwmsvaklQPKKywxKvSY2IKqCzH4IMwnbQWMspXLQJvoEmEYYJCa8PPi0aqVE" xr:uid="{00000000-0004-0000-0600-00006C000000}"/>
    <hyperlink ref="I114" r:id="rId110" display="https://docs.google.com/forms/d/e/1FAIpQLSd37AKX0Ca1Yeje6eC6NuliFZj5Spn7I7mXRsa9kBsXMqB-Ag/viewform?edit2=2_ABaOnud4EW4LFxUd09IvrAVJvMmxyr4QpglJt4SslXHdPbfb3rzw4wp069gzgRTYavKNjhg" xr:uid="{00000000-0004-0000-0600-00006D000000}"/>
    <hyperlink ref="I115" r:id="rId111" display="https://docs.google.com/forms/d/e/1FAIpQLSd37AKX0Ca1Yeje6eC6NuliFZj5Spn7I7mXRsa9kBsXMqB-Ag/viewform?edit2=2_ABaOnue8yF5k2g-A4YmMjFEroZTXPs21RlviJCb9l-8HQlydMe29OUNnwxbF1iHXhgVdNtk" xr:uid="{00000000-0004-0000-0600-00006E000000}"/>
    <hyperlink ref="I116" r:id="rId112" display="https://docs.google.com/forms/d/e/1FAIpQLSd37AKX0Ca1Yeje6eC6NuliFZj5Spn7I7mXRsa9kBsXMqB-Ag/viewform?edit2=2_ABaOnuc7PoC32VWoVEXH39DpjDebesaOvr_iNaYtsXDOxvzp87gNXySbFIOrZ6dZmDhAV1o" xr:uid="{00000000-0004-0000-0600-00006F000000}"/>
    <hyperlink ref="I117" r:id="rId113" display="https://docs.google.com/forms/d/e/1FAIpQLSd37AKX0Ca1Yeje6eC6NuliFZj5Spn7I7mXRsa9kBsXMqB-Ag/viewform?edit2=2_ABaOnuf0gWV5fOQOOVcysZnGnOx8CQlIGmS0bibqswYqIObp5hpU7HDk02089aULsPc5lPk&amp;edit2=2_ABaOnuf0gWV5fOQOOVcysZnGnOx8CQlIGmS0bibqswYqIObp5hpU7HDk02089aULsPc5lPk" xr:uid="{00000000-0004-0000-0600-000070000000}"/>
    <hyperlink ref="I118" r:id="rId114" display="https://docs.google.com/forms/d/e/1FAIpQLScKfK1Xq_AfFRyZkOlyT2n4Ugr8FdePyUxPct4kYLgKJ3YlMQ/viewform?edit2=2_ABaOnue7CDFJ-DLFszfXQgMJoyTYzlSz5vwYZhgFnuGWxLIc-RFbEe3y7lSVyIgRNwQnRds" xr:uid="{00000000-0004-0000-0600-000071000000}"/>
    <hyperlink ref="I119" r:id="rId115" display="https://docs.google.com/forms/d/e/1FAIpQLSd37AKX0Ca1Yeje6eC6NuliFZj5Spn7I7mXRsa9kBsXMqB-Ag/viewform?edit2=2_ABaOnuf4gGW7vsnNociziZsApjFJbJZT_TLYvuMaE1eQPoPBd85HoRkCBziarUwQkMTOZas" xr:uid="{00000000-0004-0000-0600-000072000000}"/>
    <hyperlink ref="I120" r:id="rId116" display="https://docs.google.com/forms/d/e/1FAIpQLSeAkkqnSqisXk0g5wDtTZwQpSKdxgBvUG9NhZjoIJxKcGoYyw/viewform?edit2=2_ABaOnuebNk365shfw_GXARw4ModPprWlVT-FfeGSr4N76dgL67fe1uA1Okb6W5sRaF7dM5s" xr:uid="{00000000-0004-0000-0600-000073000000}"/>
    <hyperlink ref="I121" r:id="rId117" display="https://docs.google.com/forms/d/e/1FAIpQLSeAkkqnSqisXk0g5wDtTZwQpSKdxgBvUG9NhZjoIJxKcGoYyw/viewform?edit2=2_ABaOnufLTenH_kMb604Ots-N46e3zV-iq1fDjEHod37Ph3QLyI5E1nU6g6lWbYzONAhG-NI" xr:uid="{00000000-0004-0000-0600-000074000000}"/>
    <hyperlink ref="I122" r:id="rId118" display="https://docs.google.com/forms/d/e/1FAIpQLSd37AKX0Ca1Yeje6eC6NuliFZj5Spn7I7mXRsa9kBsXMqB-Ag/viewform?edit2=2_ABaOnueaXMb4XYS3RWn2-BXXNnu28TyZ16N3ePYMzYhGrI-8lFAGcswIksYU9WyEuO0nWEk" xr:uid="{00000000-0004-0000-0600-000075000000}"/>
    <hyperlink ref="I123" r:id="rId119" display="https://docs.google.com/forms/d/e/1FAIpQLSd37AKX0Ca1Yeje6eC6NuliFZj5Spn7I7mXRsa9kBsXMqB-Ag/viewform?edit2=2_ABaOnudRr4OfOQc206_1VGQKKNAwL3_5mHcQFyPdxmyU0LpjNnJxpD10PFBEf4ZDqoI0pHY" xr:uid="{00000000-0004-0000-0600-000076000000}"/>
    <hyperlink ref="I124" r:id="rId120" display="https://docs.google.com/forms/d/e/1FAIpQLSd37AKX0Ca1Yeje6eC6NuliFZj5Spn7I7mXRsa9kBsXMqB-Ag/viewform?edit2=2_ABaOnucurna4iUGUId5P1dorQjBWTSofvkBubdqMkaJj_AvgEOkkQQ9TNmWvnWyeYLIyWJQ" xr:uid="{00000000-0004-0000-0600-000077000000}"/>
    <hyperlink ref="I125" r:id="rId121" display="https://docs.google.com/forms/d/e/1FAIpQLSd37AKX0Ca1Yeje6eC6NuliFZj5Spn7I7mXRsa9kBsXMqB-Ag/viewform?edit2=2_ABaOnuf8i_1ibWFJ6VgMt4FuGmNrPF96K9_CH4hRbQxlUrz6bWdTHG729bKNmX5ajkrlmxY" xr:uid="{00000000-0004-0000-0600-000078000000}"/>
    <hyperlink ref="I126" r:id="rId122" display="https://docs.google.com/forms/d/e/1FAIpQLSeAkkqnSqisXk0g5wDtTZwQpSKdxgBvUG9NhZjoIJxKcGoYyw/viewform?edit2=2_ABaOnueFqWyyIIvigZhaA-tiqJg1KB4hBuX-NGHRBpLNCYT777UlDtU6BQxQDUSBA9m1w9o" xr:uid="{00000000-0004-0000-0600-000079000000}"/>
    <hyperlink ref="I127" r:id="rId123" display="https://docs.google.com/forms/d/e/1FAIpQLSd37AKX0Ca1Yeje6eC6NuliFZj5Spn7I7mXRsa9kBsXMqB-Ag/viewform?edit2=2_ABaOnucrsJTyJA72tIls-EMRr9jmd2DO8yEsvqCQAshuZTl7gBFdTWbwF0EpY7-vg48QL2s" xr:uid="{00000000-0004-0000-0600-00007A000000}"/>
    <hyperlink ref="I128" r:id="rId124" display="https://docs.google.com/forms/d/e/1FAIpQLSd37AKX0Ca1Yeje6eC6NuliFZj5Spn7I7mXRsa9kBsXMqB-Ag/viewform?edit2=2_ABaOnuegoAWfQwCerkUBsKWgfPGSP28fjhF3W-rRTgX5F3rIj0vvB843QhnzBMblh_pdvGM" xr:uid="{00000000-0004-0000-0600-00007B000000}"/>
    <hyperlink ref="I129" r:id="rId125" display="https://docs.google.com/forms/d/e/1FAIpQLSd37AKX0Ca1Yeje6eC6NuliFZj5Spn7I7mXRsa9kBsXMqB-Ag/viewform?edit2=2_ABaOnucMiljbr35PfZwRjVx85LAwudMBx-db5Mu3pfHltwd91T3sp9bh9qeD_lKprqhqhNA" xr:uid="{00000000-0004-0000-0600-00007C000000}"/>
    <hyperlink ref="I130" r:id="rId126" display="https://docs.google.com/forms/d/e/1FAIpQLSd37AKX0Ca1Yeje6eC6NuliFZj5Spn7I7mXRsa9kBsXMqB-Ag/viewform?edit2=2_ABaOnufOQsWVxHBYkjQqm6CW3WVKnIJGYeQ3oSwoC0dqQOqZRxEXNc1ABw6_xA9WhrSYFRA" xr:uid="{00000000-0004-0000-0600-00007D000000}"/>
    <hyperlink ref="I131" r:id="rId127" display="https://docs.google.com/forms/d/e/1FAIpQLSd37AKX0Ca1Yeje6eC6NuliFZj5Spn7I7mXRsa9kBsXMqB-Ag/viewform?edit2=2_ABaOnuc-JT1GZayK7lrMPPARVhylY7p1ujjmxGClJM-yseQdlWPcQe-6ojAPuPP62HQcSOQ" xr:uid="{00000000-0004-0000-0600-00007E000000}"/>
    <hyperlink ref="I132" r:id="rId128" display="https://docs.google.com/forms/d/e/1FAIpQLSd37AKX0Ca1Yeje6eC6NuliFZj5Spn7I7mXRsa9kBsXMqB-Ag/viewform?edit2=2_ABaOnufa7eUFuYcoCFwshX7gtJmW7OsbUSzBdTKp2g7AuWjOIKhYaY-90BnVUP57bpmAsFY" xr:uid="{00000000-0004-0000-0600-00007F000000}"/>
    <hyperlink ref="I133" r:id="rId129" display="https://docs.google.com/forms/d/e/1FAIpQLSd37AKX0Ca1Yeje6eC6NuliFZj5Spn7I7mXRsa9kBsXMqB-Ag/viewform?edit2=2_ABaOnuctea7gRHjXs9C-4As1WGujWLSWwKZT7SS_3hLRawjPhjXJ3nyVsarAg2L_XmJJNeE" xr:uid="{00000000-0004-0000-0600-000080000000}"/>
    <hyperlink ref="I134" r:id="rId130" display="https://docs.google.com/forms/d/e/1FAIpQLSd37AKX0Ca1Yeje6eC6NuliFZj5Spn7I7mXRsa9kBsXMqB-Ag/viewform?edit2=2_ABaOnud5e4yCAN3vBJyUelXOmDUxVQehqVzTFbfoIpiYOPSY1h0k7YFm9pxhY7AwR4m58RY" xr:uid="{00000000-0004-0000-0600-000081000000}"/>
    <hyperlink ref="I135" r:id="rId131" display="https://docs.google.com/forms/d/e/1FAIpQLSd37AKX0Ca1Yeje6eC6NuliFZj5Spn7I7mXRsa9kBsXMqB-Ag/viewform?edit2=2_ABaOnucG-2sLWAop-_0dy4fC1KbTeQHy3N3jDDMU9_sndxZ95wNYLx3kzLO0JMQsOp_XPxw" xr:uid="{00000000-0004-0000-0600-000082000000}"/>
    <hyperlink ref="I136" r:id="rId132" display="https://docs.google.com/forms/d/e/1FAIpQLSd37AKX0Ca1Yeje6eC6NuliFZj5Spn7I7mXRsa9kBsXMqB-Ag/viewform?edit2=2_ABaOnucbWnEnY3db-EanKrrQCykZllDVPJkRXkAuE5nXj5oFvDuGB21CBl3v9zZCpKpqIVA" xr:uid="{00000000-0004-0000-0600-000083000000}"/>
    <hyperlink ref="I137" r:id="rId133" display="https://docs.google.com/forms/d/e/1FAIpQLSd37AKX0Ca1Yeje6eC6NuliFZj5Spn7I7mXRsa9kBsXMqB-Ag/viewform?edit2=2_ABaOnucZRxbyszk6_Rqw4hqgSN_6qYa7mt4K9VnT_0YUP4cwuNl75Jenc2vysavqGAWrm4U" xr:uid="{00000000-0004-0000-0600-000084000000}"/>
    <hyperlink ref="I138" r:id="rId134" display="https://docs.google.com/forms/d/e/1FAIpQLScKfK1Xq_AfFRyZkOlyT2n4Ugr8FdePyUxPct4kYLgKJ3YlMQ/viewform?edit2=2_ABaOnueEMnGSy-Ib83p88mIKnHigqyDDiDvfeqbgSSOoqZ2BLD1kh6gy_S8HH07a8Zqem5Q" xr:uid="{00000000-0004-0000-0600-000085000000}"/>
    <hyperlink ref="I139" r:id="rId135" display="https://docs.google.com/forms/d/e/1FAIpQLSd37AKX0Ca1Yeje6eC6NuliFZj5Spn7I7mXRsa9kBsXMqB-Ag/viewform?edit2=2_ABaOnue3hK20gMAQU3kqmQIEdcTGrnNth9OadKx1kt5SNe1tmGC3XQsjkqYuzJr-5f33WiA" xr:uid="{00000000-0004-0000-0600-000086000000}"/>
    <hyperlink ref="I140" r:id="rId136" display="https://docs.google.com/forms/d/e/1FAIpQLSd37AKX0Ca1Yeje6eC6NuliFZj5Spn7I7mXRsa9kBsXMqB-Ag/viewform?edit2=2_ABaOnuf5tuiudEnhEJew-XPr3xqbGuAhGyxpyUhVb10MnHPVVbG2MNMJ5Zydy4xzMNijPsI" xr:uid="{00000000-0004-0000-0600-000087000000}"/>
    <hyperlink ref="I141" r:id="rId137" display="https://docs.google.com/forms/d/e/1FAIpQLSd37AKX0Ca1Yeje6eC6NuliFZj5Spn7I7mXRsa9kBsXMqB-Ag/viewform?edit2=2_ABaOnufYhz03tp6HspcR05pRdZxYBQuIwwxJC-pFZXJTqdDo_1OqxEgpB3ZPuo9kUR0bGDc" xr:uid="{00000000-0004-0000-0600-000088000000}"/>
    <hyperlink ref="I142" r:id="rId138" display="https://docs.google.com/forms/d/e/1FAIpQLSd37AKX0Ca1Yeje6eC6NuliFZj5Spn7I7mXRsa9kBsXMqB-Ag/viewform?edit2=2_ABaOnucv7zjXsbMgf6n3RnmDCGbVOdqYS30WXIWXWaMP6UUNpED_-DVJqOBDYylKLiQABC0" xr:uid="{00000000-0004-0000-0600-000089000000}"/>
    <hyperlink ref="I143" r:id="rId139" display="https://docs.google.com/forms/d/e/1FAIpQLSeAkkqnSqisXk0g5wDtTZwQpSKdxgBvUG9NhZjoIJxKcGoYyw/viewform?edit2=2_ABaOnufoQWvV1LRdZfAvgN00YY1KHnvwXPjPG7S95jJMMKwhicVKRatphX_GEd6ePdQBDC0" xr:uid="{00000000-0004-0000-0600-00008A000000}"/>
    <hyperlink ref="I144" r:id="rId140" display="https://docs.google.com/forms/d/e/1FAIpQLSeAkkqnSqisXk0g5wDtTZwQpSKdxgBvUG9NhZjoIJxKcGoYyw/viewform?edit2=2_ABaOnufOs750n5SprfkNw40XljrSVyTuRQzqgJ-tg7D0FGpACtd7tQVNPLhwY8xSP8PkZqI" xr:uid="{00000000-0004-0000-0600-00008B000000}"/>
    <hyperlink ref="I145" r:id="rId141" display="https://docs.google.com/forms/d/e/1FAIpQLSeAkkqnSqisXk0g5wDtTZwQpSKdxgBvUG9NhZjoIJxKcGoYyw/viewform?edit2=2_ABaOnufIbfFNPPGqEB7AhV5z2luR8T1Eq9R-6NzYQeV4WAMtS09cxiJOyeAHQ-TeoLbnXLk" xr:uid="{00000000-0004-0000-0600-00008C000000}"/>
    <hyperlink ref="I146" r:id="rId142" display="https://docs.google.com/forms/d/e/1FAIpQLSd37AKX0Ca1Yeje6eC6NuliFZj5Spn7I7mXRsa9kBsXMqB-Ag/viewform?edit2=2_ABaOnuf0_Ys5OT03j8AL6ZsdKJ1VMu7pQpTWnCj2WDxhhm3HiAFt1Rb9VsicfNNSISCwTJE" xr:uid="{00000000-0004-0000-0600-00008D000000}"/>
    <hyperlink ref="I147" r:id="rId143" display="https://docs.google.com/forms/d/e/1FAIpQLSd37AKX0Ca1Yeje6eC6NuliFZj5Spn7I7mXRsa9kBsXMqB-Ag/viewform?edit2=2_ABaOnucAkaE5pGTSsOX36rlNw-NlGoLm0uWcJugpFOa7N3OuwuD7b_0Rdfp4z_3MZMALh0s" xr:uid="{00000000-0004-0000-0600-00008E000000}"/>
    <hyperlink ref="I148" r:id="rId144" display="https://docs.google.com/forms/d/e/1FAIpQLSd37AKX0Ca1Yeje6eC6NuliFZj5Spn7I7mXRsa9kBsXMqB-Ag/viewform?edit2=2_ABaOnueiJiidXdSDiyxCaSAKE7T1thpD_kpopXkUJbwzU_wYhEtxoBBGeLp8_3E0Pi7aqjU" xr:uid="{00000000-0004-0000-0600-00008F000000}"/>
    <hyperlink ref="I149" r:id="rId145" display="https://docs.google.com/forms/d/e/1FAIpQLSd37AKX0Ca1Yeje6eC6NuliFZj5Spn7I7mXRsa9kBsXMqB-Ag/viewform?edit2=2_ABaOnucwwT4Lk5AUltv8Gz0bpiWMfjIXotgxLEOvqucLRoJsxhTJUdL7bNxYY_oCOobTkBI" xr:uid="{00000000-0004-0000-0600-000090000000}"/>
    <hyperlink ref="I150" r:id="rId146" display="https://docs.google.com/forms/d/e/1FAIpQLSd37AKX0Ca1Yeje6eC6NuliFZj5Spn7I7mXRsa9kBsXMqB-Ag/viewform?edit2=2_ABaOnud1u5q384R3Dv43HaKIkm82f0Q0qFCx8ZB8u4UWLdMVI1g-rUuDhznwzq2I8pvf9I8" xr:uid="{00000000-0004-0000-0600-000091000000}"/>
    <hyperlink ref="I151" r:id="rId147" display="https://docs.google.com/forms/d/e/1FAIpQLSd37AKX0Ca1Yeje6eC6NuliFZj5Spn7I7mXRsa9kBsXMqB-Ag/viewform?edit2=2_ABaOnudm2vjmfShT_4DpiJ0iAsJn-R0mKsWsOiscUMMqRfHNRLqz-1ZMY2TjDd8K8hJT7Es" xr:uid="{00000000-0004-0000-0600-000092000000}"/>
    <hyperlink ref="I152" r:id="rId148" display="https://docs.google.com/forms/d/e/1FAIpQLScKfK1Xq_AfFRyZkOlyT2n4Ugr8FdePyUxPct4kYLgKJ3YlMQ/viewform?edit2=2_ABaOnufk8KX-0O4pwL1H97rUop8QABM8GJga19tD3RShvYnABmP5DuMvzjvMYWuhRdnXEEQ" xr:uid="{00000000-0004-0000-0600-000093000000}"/>
    <hyperlink ref="I153" r:id="rId149" display="https://docs.google.com/forms/d/e/1FAIpQLSd37AKX0Ca1Yeje6eC6NuliFZj5Spn7I7mXRsa9kBsXMqB-Ag/viewform?edit2=2_ABaOnucDw0yE-GsRBV82-aABpbm-UprdtAkaKKP87DYNM0IKcl9jBSBy9CwViCnJZzH_ZKk" xr:uid="{00000000-0004-0000-0600-000094000000}"/>
    <hyperlink ref="I154" r:id="rId150" display="https://docs.google.com/forms/d/e/1FAIpQLSd37AKX0Ca1Yeje6eC6NuliFZj5Spn7I7mXRsa9kBsXMqB-Ag/viewform?edit2=2_ABaOnucHYcn9XOdTlz_Jq0THdsMAQGFRRBu5BzT06HRJ4lHgl76ySdga0M0RksHnAh22KGQ" xr:uid="{00000000-0004-0000-0600-000095000000}"/>
    <hyperlink ref="I155" r:id="rId151" display="https://docs.google.com/forms/d/e/1FAIpQLSd37AKX0Ca1Yeje6eC6NuliFZj5Spn7I7mXRsa9kBsXMqB-Ag/viewform?edit2=2_ABaOnuescUIQyNNpcmukx5aNYdXQ5QGyTQN0lEZVhcU7vfGS-omoV_XkogpJRV7bi3i4Vqs" xr:uid="{00000000-0004-0000-0600-000096000000}"/>
    <hyperlink ref="I156" r:id="rId152" display="https://docs.google.com/forms/d/e/1FAIpQLSd37AKX0Ca1Yeje6eC6NuliFZj5Spn7I7mXRsa9kBsXMqB-Ag/viewform?edit2=2_ABaOnue03xgaPLwDvKaM-ovsXst6TmaJxnFhvjZKdLzpi7zp-nNg7xaOER81LD6OjWfiGMg" xr:uid="{00000000-0004-0000-0600-000097000000}"/>
    <hyperlink ref="I157" r:id="rId153" display="https://docs.google.com/forms/d/e/1FAIpQLSeAkkqnSqisXk0g5wDtTZwQpSKdxgBvUG9NhZjoIJxKcGoYyw/viewform?edit2=2_ABaOnud6tHN184mnq-ugDic-fkx0469lLwZpTXMcPvPtQoW0TKaL0Bohp0jL3__EKQtyxgw" xr:uid="{00000000-0004-0000-0600-000098000000}"/>
    <hyperlink ref="I158" r:id="rId154" display="https://docs.google.com/forms/d/e/1FAIpQLSd37AKX0Ca1Yeje6eC6NuliFZj5Spn7I7mXRsa9kBsXMqB-Ag/viewform?edit2=2_ABaOnucNtSqDhiLK9at8g6g1wdhcrXJ_4tH4REsugv1uGIL6tnbuVwWItnOwBh2kLLu0S1U" xr:uid="{00000000-0004-0000-0600-000099000000}"/>
    <hyperlink ref="I159" r:id="rId155" display="https://docs.google.com/forms/d/e/1FAIpQLSd37AKX0Ca1Yeje6eC6NuliFZj5Spn7I7mXRsa9kBsXMqB-Ag/viewform?edit2=2_ABaOnue4DNeXWkKe8BALeiY__SeG6eJlZswzmwIChZMlvcMBoNRPNaWkxjWfQ1N-0oBKnJw" xr:uid="{00000000-0004-0000-0600-00009A000000}"/>
    <hyperlink ref="I160" r:id="rId156" display="https://docs.google.com/forms/u/0/d/e/1FAIpQLSd37AKX0Ca1Yeje6eC6NuliFZj5Spn7I7mXRsa9kBsXMqB-Ag/viewform?usp=form_confirm&amp;edit2=2_ABaOnueNoEwYPJsuB6Kl3gaw-KYlsDWhprFHvh89-d6RRzS1g6XA6IRL0S4Fd-NsldESoBI" xr:uid="{00000000-0004-0000-0600-00009B000000}"/>
    <hyperlink ref="I161" r:id="rId157" display="https://docs.google.com/forms/d/e/1FAIpQLSd37AKX0Ca1Yeje6eC6NuliFZj5Spn7I7mXRsa9kBsXMqB-Ag/viewform?edit2=2_ABaOnueqRQQwyCTmMGmcEQxas_9LhYhRotsAvf6q6FNyHT2PkAS00PXt6M4qBFCDWkpdnzo" xr:uid="{00000000-0004-0000-0600-00009C000000}"/>
    <hyperlink ref="I162" r:id="rId158" display="https://docs.google.com/forms/d/e/1FAIpQLSd37AKX0Ca1Yeje6eC6NuliFZj5Spn7I7mXRsa9kBsXMqB-Ag/viewform?edit2=2_ABaOnudQsza_VbXO0RwEWsZEQXADe7f49eee5tp2F2uAWIcDG57CS-xL_1vjSZCf5JHZiSI" xr:uid="{00000000-0004-0000-0600-00009D000000}"/>
    <hyperlink ref="I163" r:id="rId159" display="https://docs.google.com/forms/u/0/d/e/1FAIpQLSd37AKX0Ca1Yeje6eC6NuliFZj5Spn7I7mXRsa9kBsXMqB-Ag/viewform?usp=form_confirm&amp;edit2=2_ABaOnufCUj6Jh26hnEY6KttVZbfpPs81YMeQ1U5N2v890MEUclV_g8GVvxm5JuGZVkwIeXU" xr:uid="{00000000-0004-0000-0600-00009E000000}"/>
    <hyperlink ref="I164" r:id="rId160" display="https://docs.google.com/forms/d/e/1FAIpQLSd37AKX0Ca1Yeje6eC6NuliFZj5Spn7I7mXRsa9kBsXMqB-Ag/viewform?edit2=2_ABaOnudCB7iHAmCalqVoWLOQWBzFjuvmHUJS0mdYa1vrMJLeYtBRz9DMQJFcwCemO54sVQ0" xr:uid="{00000000-0004-0000-0600-00009F000000}"/>
    <hyperlink ref="I165" r:id="rId161" display="https://docs.google.com/forms/u/0/d/e/1FAIpQLSd37AKX0Ca1Yeje6eC6NuliFZj5Spn7I7mXRsa9kBsXMqB-Ag/viewform?usp=form_confirm&amp;edit2=2_ABaOnueQ5nfdfxsukLPVCBtlypArFnEk9UTqezuPTFocB9ckgCV84ReKcTvLdiTp80fn4Lk" xr:uid="{00000000-0004-0000-0600-0000A0000000}"/>
    <hyperlink ref="I166" r:id="rId162" display="https://docs.google.com/forms/d/e/1FAIpQLSd37AKX0Ca1Yeje6eC6NuliFZj5Spn7I7mXRsa9kBsXMqB-Ag/viewform?edit2=2_ABaOnufUfLyjWTy9oYpmRrdtiQEkqdLGvVSdvE4PpTPbkxiETCbjv26SaG8WfWnFLD0Dd6w" xr:uid="{00000000-0004-0000-0600-0000A1000000}"/>
    <hyperlink ref="I167" r:id="rId163" display="https://docs.google.com/forms/d/e/1FAIpQLSeAkkqnSqisXk0g5wDtTZwQpSKdxgBvUG9NhZjoIJxKcGoYyw/viewform?edit2=2_ABaOnuc1LyNvUNuHPHcM-p1tZVFeFO3Mbq5dgiD-CRAYmoS07i2NyU984sBbJMSXlKXrB_Q" xr:uid="{00000000-0004-0000-0600-0000A2000000}"/>
    <hyperlink ref="I168" r:id="rId164" display="https://docs.google.com/forms/d/e/1FAIpQLSeAkkqnSqisXk0g5wDtTZwQpSKdxgBvUG9NhZjoIJxKcGoYyw/viewform?edit2=2_ABaOnuduP_zzH4d0H3dzllx1yqV3h4NflGsQ5Q4h2FnmXG-4M8ERdABAND-niRHdDEv-fqI" xr:uid="{00000000-0004-0000-0600-0000A3000000}"/>
    <hyperlink ref="I169" r:id="rId165" display="https://docs.google.com/forms/d/e/1FAIpQLSd37AKX0Ca1Yeje6eC6NuliFZj5Spn7I7mXRsa9kBsXMqB-Ag/viewform?edit2=2_ABaOnuc3xjNviUzkde2nnQGbYeaahJrmOUJlJsfd-pLJfjDantYB1QkwdaLdnRN932ECILw" xr:uid="{00000000-0004-0000-0600-0000A4000000}"/>
    <hyperlink ref="I170" r:id="rId166" display="https://docs.google.com/forms/d/e/1FAIpQLSd37AKX0Ca1Yeje6eC6NuliFZj5Spn7I7mXRsa9kBsXMqB-Ag/viewform?edit2=2_ABaOnue5Kgcgj4eGYLQ9QFeciVAb5GeZ00DWRjPM6w-WRlu1jVIK9mQM_1Org5Ygl-xqX6A" xr:uid="{00000000-0004-0000-0600-0000A5000000}"/>
    <hyperlink ref="I171" r:id="rId167" display="https://docs.google.com/forms/d/e/1FAIpQLSd37AKX0Ca1Yeje6eC6NuliFZj5Spn7I7mXRsa9kBsXMqB-Ag/viewform?edit2=2_ABaOnucfY4ANYvJpeTneEwoVFxI9NeLZ4dYH4bsbxF00gHjHIHt-M5k8eijWHn_iVKeB6E0" xr:uid="{00000000-0004-0000-0600-0000A6000000}"/>
    <hyperlink ref="I172" r:id="rId168" display="https://docs.google.com/forms/d/e/1FAIpQLSeAkkqnSqisXk0g5wDtTZwQpSKdxgBvUG9NhZjoIJxKcGoYyw/viewform?edit2=2_ABaOnucDXLE8BesxyJ1-nK6nHLSbL3JneEyTIVs2C-oq8ZxugubLv8C_70JK7r0EuwFnXDE" xr:uid="{00000000-0004-0000-0600-0000A7000000}"/>
    <hyperlink ref="I173" r:id="rId169" display="https://docs.google.com/forms/d/e/1FAIpQLSd37AKX0Ca1Yeje6eC6NuliFZj5Spn7I7mXRsa9kBsXMqB-Ag/viewform?edit2=2_ABaOnufYJnJ184fOsmKBtApO2iMFmOkR5pSMNbWqiRwAooao1KJBVEloya0H3PigUrp4NdQ" xr:uid="{00000000-0004-0000-0600-0000A8000000}"/>
    <hyperlink ref="I174" r:id="rId170" display="https://docs.google.com/forms/d/e/1FAIpQLSd37AKX0Ca1Yeje6eC6NuliFZj5Spn7I7mXRsa9kBsXMqB-Ag/viewform?edit2=2_ABaOnucymvpKJ7dsX0ziERlOSiDZakaPlzk4IG1NNRxN8UM5Kb1wE9vczDjeEPB1-2uPL64" xr:uid="{00000000-0004-0000-0600-0000A9000000}"/>
    <hyperlink ref="I175" r:id="rId171" display="https://docs.google.com/forms/d/e/1FAIpQLSd37AKX0Ca1Yeje6eC6NuliFZj5Spn7I7mXRsa9kBsXMqB-Ag/viewform?edit2=2_ABaOnueqpG1HknhaHwAjw_-av_CVSdsL3TqQKrH2fweJ17LsFZ5UkSyJj0yNLkBA1GNuO2Y" xr:uid="{00000000-0004-0000-0600-0000AA000000}"/>
    <hyperlink ref="I176" r:id="rId172" display="https://docs.google.com/forms/d/e/1FAIpQLSd37AKX0Ca1Yeje6eC6NuliFZj5Spn7I7mXRsa9kBsXMqB-Ag/viewform?edit2=2_ABaOnueQ19kzikZA4On-kY-0hNI3jDPl0vNleeZ2u8MhsZyJ00yDI2OE-UclYh8GGTuJJJY" xr:uid="{00000000-0004-0000-0600-0000AB000000}"/>
    <hyperlink ref="I177" r:id="rId173" display="https://docs.google.com/forms/u/0/d/e/1FAIpQLScKfK1Xq_AfFRyZkOlyT2n4Ugr8FdePyUxPct4kYLgKJ3YlMQ/viewform?usp=form_confirm&amp;edit2=2_ABaOnudIcQAMwBZ_rW3Arta-6ry8ErhYbg1iMQd2KWFEzv77TIkjhEEPHrLcN7fY7V7eMhI" xr:uid="{00000000-0004-0000-0600-0000AC000000}"/>
    <hyperlink ref="I178" r:id="rId174" display="https://docs.google.com/forms/d/e/1FAIpQLSeAkkqnSqisXk0g5wDtTZwQpSKdxgBvUG9NhZjoIJxKcGoYyw/viewform?edit2=2_ABaOnudOJsbtijaTcBMou2J7jq3r3_A3864NlvJoUra-fLIQ1Wvouzs7Lo-lzFE4mQeALDE" xr:uid="{00000000-0004-0000-0600-0000AD000000}"/>
    <hyperlink ref="I179" r:id="rId175" display="https://docs.google.com/forms/d/e/1FAIpQLSd37AKX0Ca1Yeje6eC6NuliFZj5Spn7I7mXRsa9kBsXMqB-Ag/viewform?edit2=2_ABaOnudeoy7bEdo69AhqS9Sp3RVsUd2is9ZwWEW4UM_u3QLmkcOy0NHhMxvjybLmGrlPdCM" xr:uid="{00000000-0004-0000-0600-0000AE000000}"/>
    <hyperlink ref="I180" r:id="rId176" display="https://docs.google.com/forms/d/e/1FAIpQLSd37AKX0Ca1Yeje6eC6NuliFZj5Spn7I7mXRsa9kBsXMqB-Ag/viewform?edit2=2_ABaOnudEnQJ64MdsAInJZSm9gT7kRJsI_jwn0MZlcOrNaEs_qyqskUOjye-Vro9Z3oCMFMQ" xr:uid="{00000000-0004-0000-0600-0000AF000000}"/>
    <hyperlink ref="I181" r:id="rId177" display="https://docs.google.com/forms/d/e/1FAIpQLSeAkkqnSqisXk0g5wDtTZwQpSKdxgBvUG9NhZjoIJxKcGoYyw/viewform?edit2=2_ABaOnuc-EvC9gubjMkNDG4efP0NWBzNThWKFe59_KMxTdhxzfuQYAm8XU2PPjZ6y0Qc_kKc" xr:uid="{00000000-0004-0000-0600-0000B0000000}"/>
    <hyperlink ref="I182" r:id="rId178" display="https://docs.google.com/forms/d/e/1FAIpQLSd37AKX0Ca1Yeje6eC6NuliFZj5Spn7I7mXRsa9kBsXMqB-Ag/viewform?edit2=2_ABaOnuepEXsuxZEmNBaYJVFHn0RDMrQZAYnw53yNE_teIT6rqYysAXrp0qCv_1evEfwZRE8" xr:uid="{00000000-0004-0000-0600-0000B1000000}"/>
    <hyperlink ref="I183" r:id="rId179" display="https://docs.google.com/forms/u/0/d/e/1FAIpQLSeAkkqnSqisXk0g5wDtTZwQpSKdxgBvUG9NhZjoIJxKcGoYyw/formResponse" xr:uid="{00000000-0004-0000-0600-0000B2000000}"/>
    <hyperlink ref="I184" r:id="rId180" display="https://docs.google.com/forms/u/0/d/e/1FAIpQLSeAkkqnSqisXk0g5wDtTZwQpSKdxgBvUG9NhZjoIJxKcGoYyw/formResponse" xr:uid="{00000000-0004-0000-0600-0000B3000000}"/>
    <hyperlink ref="I185" r:id="rId181" display="https://docs.google.com/forms/d/e/1FAIpQLSd37AKX0Ca1Yeje6eC6NuliFZj5Spn7I7mXRsa9kBsXMqB-Ag/viewform?edit2=2_ABaOnuebN9kRLUqeFs3rC4vYlW2GVScmCWeiOC68iTbheEkMb7XiMUzlEBEz46qIxCW0jP0" xr:uid="{00000000-0004-0000-0600-0000B4000000}"/>
    <hyperlink ref="I186" r:id="rId182" display="https://docs.google.com/forms/u/0/d/e/1FAIpQLSd37AKX0Ca1Yeje6eC6NuliFZj5Spn7I7mXRsa9kBsXMqB-Ag/viewform?usp=form_confirm&amp;edit2=2_ABaOnudDP-ZfNskiCwSfjEttDxpMckUejW6cpZizP2HkIA2_as-QJAX8aQ9F5GZXmXoYMug" xr:uid="{00000000-0004-0000-0600-0000B5000000}"/>
    <hyperlink ref="I187" r:id="rId183" display="https://docs.google.com/forms/d/e/1FAIpQLScKfK1Xq_AfFRyZkOlyT2n4Ugr8FdePyUxPct4kYLgKJ3YlMQ/viewform?edit2=2_ABaOnufH4GxkII0IFS3w7rZ-6_L8_UkUAz9k8A-lVv0Mpf9U0OtoIO8zCZrUlfWvzilXHFw" xr:uid="{00000000-0004-0000-0600-0000B6000000}"/>
    <hyperlink ref="I188" r:id="rId184" display="https://docs.google.com/forms/d/e/1FAIpQLScKfK1Xq_AfFRyZkOlyT2n4Ugr8FdePyUxPct4kYLgKJ3YlMQ/viewform?edit2=2_ABaOnue6n8eZLjQiLHZFVN-j77UIEqAX21Z9cAuKTpVbvbBce-IZ_-e9V7BmbmOGmH3SBes" xr:uid="{00000000-0004-0000-0600-0000B7000000}"/>
    <hyperlink ref="I189" r:id="rId185" display="https://docs.google.com/forms/u/0/d/e/1FAIpQLScKfK1Xq_AfFRyZkOlyT2n4Ugr8FdePyUxPct4kYLgKJ3YlMQ/viewform?usp=form_confirm&amp;edit2=2_ABaOnue4-bKV6Dn-BqpIg6DEA3le4oslWbXeV5t7VvmtpYh9fW2YhiQ-On2oe4v3PMh2bAo" xr:uid="{00000000-0004-0000-0600-0000B8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Y7"/>
  <sheetViews>
    <sheetView workbookViewId="0"/>
  </sheetViews>
  <sheetFormatPr defaultColWidth="12.6640625" defaultRowHeight="15.75" customHeight="1" x14ac:dyDescent="0.25"/>
  <cols>
    <col min="2" max="2" width="109.33203125" customWidth="1"/>
  </cols>
  <sheetData>
    <row r="1" spans="1:25" ht="13.2" x14ac:dyDescent="0.25">
      <c r="A1" s="110"/>
      <c r="B1" s="111" t="s">
        <v>914</v>
      </c>
    </row>
    <row r="2" spans="1:25" ht="27" customHeight="1" x14ac:dyDescent="0.25">
      <c r="A2" s="112" t="s">
        <v>915</v>
      </c>
      <c r="B2" s="113" t="s">
        <v>916</v>
      </c>
      <c r="C2" s="113"/>
      <c r="D2" s="113"/>
      <c r="E2" s="113"/>
      <c r="F2" s="113"/>
      <c r="G2" s="113"/>
      <c r="H2" s="113"/>
      <c r="I2" s="113"/>
      <c r="J2" s="113"/>
      <c r="K2" s="113"/>
      <c r="L2" s="113"/>
      <c r="M2" s="113"/>
      <c r="N2" s="113"/>
      <c r="O2" s="113"/>
      <c r="P2" s="113"/>
      <c r="Q2" s="113"/>
      <c r="R2" s="113"/>
      <c r="S2" s="113"/>
      <c r="T2" s="113"/>
      <c r="U2" s="113"/>
      <c r="V2" s="113"/>
      <c r="W2" s="113"/>
      <c r="X2" s="113"/>
      <c r="Y2" s="113"/>
    </row>
    <row r="3" spans="1:25" ht="27.75" customHeight="1" x14ac:dyDescent="0.25">
      <c r="A3" s="114" t="s">
        <v>917</v>
      </c>
      <c r="B3" s="7" t="s">
        <v>918</v>
      </c>
    </row>
    <row r="4" spans="1:25" ht="47.25" customHeight="1" x14ac:dyDescent="0.25">
      <c r="A4" s="114" t="s">
        <v>919</v>
      </c>
      <c r="B4" s="7" t="s">
        <v>920</v>
      </c>
    </row>
    <row r="5" spans="1:25" ht="13.2" x14ac:dyDescent="0.25">
      <c r="A5" s="114" t="s">
        <v>921</v>
      </c>
      <c r="B5" s="17"/>
    </row>
    <row r="6" spans="1:25" ht="13.2" x14ac:dyDescent="0.25">
      <c r="A6" s="114" t="s">
        <v>922</v>
      </c>
      <c r="B6" s="17" t="s">
        <v>923</v>
      </c>
    </row>
    <row r="7" spans="1:25" ht="13.2" x14ac:dyDescent="0.25">
      <c r="A7" s="114" t="s">
        <v>924</v>
      </c>
      <c r="B7" s="17" t="s">
        <v>925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Status Board</vt:lpstr>
      <vt:lpstr>Callings Releasings</vt:lpstr>
      <vt:lpstr>Ordinations</vt:lpstr>
      <vt:lpstr>Release Only</vt:lpstr>
      <vt:lpstr>History</vt:lpstr>
      <vt:lpstr>Email Message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Chris Hilgendorf</cp:lastModifiedBy>
  <dcterms:modified xsi:type="dcterms:W3CDTF">2026-05-29T20:36:11Z</dcterms:modified>
</cp:coreProperties>
</file>